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My Drive\warehouse\25-26\Wheat 2026\"/>
    </mc:Choice>
  </mc:AlternateContent>
  <xr:revisionPtr revIDLastSave="0" documentId="13_ncr:1_{C0A810BF-3911-495F-9922-B2EDA7D753D0}" xr6:coauthVersionLast="47" xr6:coauthVersionMax="47" xr10:uidLastSave="{00000000-0000-0000-0000-000000000000}"/>
  <bookViews>
    <workbookView xWindow="-110" yWindow="-110" windowWidth="19420" windowHeight="10300" tabRatio="829" activeTab="2" xr2:uid="{00000000-000D-0000-FFFF-FFFF00000000}"/>
  </bookViews>
  <sheets>
    <sheet name="daily aawak" sheetId="6" r:id="rId1"/>
    <sheet name="INWARDDATA" sheetId="1" r:id="rId2"/>
    <sheet name="GRADING PACKING" sheetId="2" r:id="rId3"/>
    <sheet name="Sheet1" sheetId="3" r:id="rId4"/>
    <sheet name="PACKING" sheetId="4" r:id="rId5"/>
    <sheet name="Database" sheetId="5" r:id="rId6"/>
    <sheet name="RATHI SHIFTING" sheetId="9" r:id="rId7"/>
  </sheets>
  <definedNames>
    <definedName name="_xlnm._FilterDatabase" localSheetId="0" hidden="1">'daily aawak'!$A$3:$O$115</definedName>
    <definedName name="_xlnm._FilterDatabase" localSheetId="6" hidden="1">'RATHI SHIFTING'!$B$2:$L$180</definedName>
    <definedName name="FARMERS">INWARDDATA!$J$4:$J$160</definedName>
    <definedName name="NativeTimeline_DATE">#REF!</definedName>
    <definedName name="_xlnm.Print_Area" localSheetId="2">'GRADING PACKING'!$S$4:$AA$30</definedName>
    <definedName name="Z_068D8CBF_3728_43F8_A6F5_B19A96B9F559_.wvu.Cols" localSheetId="4">PACKING!$S:$W</definedName>
    <definedName name="Z_068D8CBF_3728_43F8_A6F5_B19A96B9F559_.wvu.Rows" localSheetId="2">'GRADING PACKING'!$1:$3</definedName>
    <definedName name="Z_068D8CBF_3728_43F8_A6F5_B19A96B9F559_.wvu.Rows" localSheetId="4">PACKING!$1:$7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3" roundtripDataChecksum="dkIznbYNmwp3yy3UzhbVlcaR6dqw7k/Vh463RG9YCw8="/>
    </ext>
  </extLst>
</workbook>
</file>

<file path=xl/calcChain.xml><?xml version="1.0" encoding="utf-8"?>
<calcChain xmlns="http://schemas.openxmlformats.org/spreadsheetml/2006/main">
  <c r="K23" i="3" l="1"/>
  <c r="H2" i="1"/>
  <c r="M90" i="1"/>
  <c r="F10" i="3"/>
  <c r="F15" i="3"/>
  <c r="N1" i="2"/>
  <c r="M17" i="1"/>
  <c r="N17" i="1" s="1"/>
  <c r="M18" i="1"/>
  <c r="N18" i="1" s="1"/>
  <c r="M19" i="1"/>
  <c r="N19" i="1" s="1"/>
  <c r="M20" i="1"/>
  <c r="N20" i="1" s="1"/>
  <c r="M21" i="1"/>
  <c r="N21" i="1" s="1"/>
  <c r="F22" i="3"/>
  <c r="F21" i="3"/>
  <c r="F20" i="3"/>
  <c r="F19" i="3"/>
  <c r="F18" i="3"/>
  <c r="F17" i="3"/>
  <c r="F16" i="3"/>
  <c r="F14" i="3"/>
  <c r="F9" i="3"/>
  <c r="M59" i="1"/>
  <c r="N221" i="2" a="1"/>
  <c r="N221" i="2" l="1"/>
  <c r="F12" i="3"/>
  <c r="F23" i="3"/>
  <c r="M9" i="1"/>
  <c r="M8" i="1"/>
  <c r="M7" i="1"/>
  <c r="M6" i="1"/>
  <c r="M5" i="1"/>
  <c r="M4" i="1"/>
  <c r="BE590" i="1"/>
  <c r="BE589" i="1"/>
  <c r="BE588" i="1"/>
  <c r="BE587" i="1"/>
  <c r="BE586" i="1"/>
  <c r="BE585" i="1"/>
  <c r="BE584" i="1"/>
  <c r="BE583" i="1"/>
  <c r="BE582" i="1"/>
  <c r="BE581" i="1"/>
  <c r="BE580" i="1"/>
  <c r="BE579" i="1"/>
  <c r="BE578" i="1"/>
  <c r="BE577" i="1"/>
  <c r="BE576" i="1"/>
  <c r="BE575" i="1"/>
  <c r="BE574" i="1"/>
  <c r="BE573" i="1"/>
  <c r="BE572" i="1"/>
  <c r="BE571" i="1"/>
  <c r="BE570" i="1"/>
  <c r="BE569" i="1"/>
  <c r="BE568" i="1"/>
  <c r="BE567" i="1"/>
  <c r="BE566" i="1"/>
  <c r="BE565" i="1"/>
  <c r="BE564" i="1"/>
  <c r="BE563" i="1"/>
  <c r="BE562" i="1"/>
  <c r="BE561" i="1"/>
  <c r="BE560" i="1"/>
  <c r="BE559" i="1"/>
  <c r="BE558" i="1"/>
  <c r="BE557" i="1"/>
  <c r="BE556" i="1"/>
  <c r="BE555" i="1"/>
  <c r="BE554" i="1"/>
  <c r="BE553" i="1"/>
  <c r="BE552" i="1"/>
  <c r="BE551" i="1"/>
  <c r="BE550" i="1"/>
  <c r="BE549" i="1"/>
  <c r="BE548" i="1"/>
  <c r="BE547" i="1"/>
  <c r="BE546" i="1"/>
  <c r="BE545" i="1"/>
  <c r="BE544" i="1"/>
  <c r="BE543" i="1"/>
  <c r="BE542" i="1"/>
  <c r="BE541" i="1"/>
  <c r="BE540" i="1"/>
  <c r="BE539" i="1"/>
  <c r="BE538" i="1"/>
  <c r="BE537" i="1"/>
  <c r="BE536" i="1"/>
  <c r="BE535" i="1"/>
  <c r="BE534" i="1"/>
  <c r="BE533" i="1"/>
  <c r="BE532" i="1"/>
  <c r="BE531" i="1"/>
  <c r="BE530" i="1"/>
  <c r="BE529" i="1"/>
  <c r="BE528" i="1"/>
  <c r="BE527" i="1"/>
  <c r="BE526" i="1"/>
  <c r="BE525" i="1"/>
  <c r="BE524" i="1"/>
  <c r="BE523" i="1"/>
  <c r="BE522" i="1"/>
  <c r="BE521" i="1"/>
  <c r="BE520" i="1"/>
  <c r="BE519" i="1"/>
  <c r="BE518" i="1"/>
  <c r="BE517" i="1"/>
  <c r="BE516" i="1"/>
  <c r="BE515" i="1"/>
  <c r="BE514" i="1"/>
  <c r="BE513" i="1"/>
  <c r="BE512" i="1"/>
  <c r="BE511" i="1"/>
  <c r="BE510" i="1"/>
  <c r="BE509" i="1"/>
  <c r="BE508" i="1"/>
  <c r="BE507" i="1"/>
  <c r="BE506" i="1"/>
  <c r="BE505" i="1"/>
  <c r="BE504" i="1"/>
  <c r="BE503" i="1"/>
  <c r="BE502" i="1"/>
  <c r="BE501" i="1"/>
  <c r="BE500" i="1"/>
  <c r="BE499" i="1"/>
  <c r="BE498" i="1"/>
  <c r="BE497" i="1"/>
  <c r="BE496" i="1"/>
  <c r="BE495" i="1"/>
  <c r="BE494" i="1"/>
  <c r="BE493" i="1"/>
  <c r="BE492" i="1"/>
  <c r="BE491" i="1"/>
  <c r="BE490" i="1"/>
  <c r="BE489" i="1"/>
  <c r="BE488" i="1"/>
  <c r="BE487" i="1"/>
  <c r="BE486" i="1"/>
  <c r="BE485" i="1"/>
  <c r="BE484" i="1"/>
  <c r="BE483" i="1"/>
  <c r="BE482" i="1"/>
  <c r="BE481" i="1"/>
  <c r="BE480" i="1"/>
  <c r="BE479" i="1"/>
  <c r="BE478" i="1"/>
  <c r="BE477" i="1"/>
  <c r="BE476" i="1"/>
  <c r="BE475" i="1"/>
  <c r="BE474" i="1"/>
  <c r="BE473" i="1"/>
  <c r="BE472" i="1"/>
  <c r="BE471" i="1"/>
  <c r="BE470" i="1"/>
  <c r="BE469" i="1"/>
  <c r="BE468" i="1"/>
  <c r="BE467" i="1"/>
  <c r="BE466" i="1"/>
  <c r="BE465" i="1"/>
  <c r="BE464" i="1"/>
  <c r="BE463" i="1"/>
  <c r="BE462" i="1"/>
  <c r="BE461" i="1"/>
  <c r="BE460" i="1"/>
  <c r="BE459" i="1"/>
  <c r="BE458" i="1"/>
  <c r="BE457" i="1"/>
  <c r="BE456" i="1"/>
  <c r="BE455" i="1"/>
  <c r="BE454" i="1"/>
  <c r="BE453" i="1"/>
  <c r="BE452" i="1"/>
  <c r="BE451" i="1"/>
  <c r="BE450" i="1"/>
  <c r="BE449" i="1"/>
  <c r="BE448" i="1"/>
  <c r="BE447" i="1"/>
  <c r="BE446" i="1"/>
  <c r="BE445" i="1"/>
  <c r="BE444" i="1"/>
  <c r="BE443" i="1"/>
  <c r="BE442" i="1"/>
  <c r="BE441" i="1"/>
  <c r="BE440" i="1"/>
  <c r="BE439" i="1"/>
  <c r="BE438" i="1"/>
  <c r="BE437" i="1"/>
  <c r="BE436" i="1"/>
  <c r="BE435" i="1"/>
  <c r="BE434" i="1"/>
  <c r="BE433" i="1"/>
  <c r="BE432" i="1"/>
  <c r="BE431" i="1"/>
  <c r="BE430" i="1"/>
  <c r="BE429" i="1"/>
  <c r="BE428" i="1"/>
  <c r="BE427" i="1"/>
  <c r="BE426" i="1"/>
  <c r="BE425" i="1"/>
  <c r="BE424" i="1"/>
  <c r="BE423" i="1"/>
  <c r="BE422" i="1"/>
  <c r="BE421" i="1"/>
  <c r="BE420" i="1"/>
  <c r="BE419" i="1"/>
  <c r="BE418" i="1"/>
  <c r="BE417" i="1"/>
  <c r="BE416" i="1"/>
  <c r="BE415" i="1"/>
  <c r="BE414" i="1"/>
  <c r="BE413" i="1"/>
  <c r="BE412" i="1"/>
  <c r="BE411" i="1"/>
  <c r="BE410" i="1"/>
  <c r="BE409" i="1"/>
  <c r="BE408" i="1"/>
  <c r="BE407" i="1"/>
  <c r="BE406" i="1"/>
  <c r="BE405" i="1"/>
  <c r="BE404" i="1"/>
  <c r="BE403" i="1"/>
  <c r="BE402" i="1"/>
  <c r="BE401" i="1"/>
  <c r="BE400" i="1"/>
  <c r="BE399" i="1"/>
  <c r="BE398" i="1"/>
  <c r="BE397" i="1"/>
  <c r="BE396" i="1"/>
  <c r="BE395" i="1"/>
  <c r="BE394" i="1"/>
  <c r="BE393" i="1"/>
  <c r="BE392" i="1"/>
  <c r="BE391" i="1"/>
  <c r="BE390" i="1"/>
  <c r="BE389" i="1"/>
  <c r="BE388" i="1"/>
  <c r="BE387" i="1"/>
  <c r="BE386" i="1"/>
  <c r="BE385" i="1"/>
  <c r="BE384" i="1"/>
  <c r="BE383" i="1"/>
  <c r="BE382" i="1"/>
  <c r="BE381" i="1"/>
  <c r="BE380" i="1"/>
  <c r="BE379" i="1"/>
  <c r="BE378" i="1"/>
  <c r="BE377" i="1"/>
  <c r="BE376" i="1"/>
  <c r="BE375" i="1"/>
  <c r="BE374" i="1"/>
  <c r="BE373" i="1"/>
  <c r="BE372" i="1"/>
  <c r="BE371" i="1"/>
  <c r="BE370" i="1"/>
  <c r="BE369" i="1"/>
  <c r="BE368" i="1"/>
  <c r="BE367" i="1"/>
  <c r="BE366" i="1"/>
  <c r="BE365" i="1"/>
  <c r="BE364" i="1"/>
  <c r="BE363" i="1"/>
  <c r="BE362" i="1"/>
  <c r="BE361" i="1"/>
  <c r="BE360" i="1"/>
  <c r="BE359" i="1"/>
  <c r="BE358" i="1"/>
  <c r="BE357" i="1"/>
  <c r="BE356" i="1"/>
  <c r="BE355" i="1"/>
  <c r="BE354" i="1"/>
  <c r="BE353" i="1"/>
  <c r="BE352" i="1"/>
  <c r="BE351" i="1"/>
  <c r="BE350" i="1"/>
  <c r="BE349" i="1"/>
  <c r="BE348" i="1"/>
  <c r="BE347" i="1"/>
  <c r="BE346" i="1"/>
  <c r="BE345" i="1"/>
  <c r="BE344" i="1"/>
  <c r="BE343" i="1"/>
  <c r="BE342" i="1"/>
  <c r="BE341" i="1"/>
  <c r="BE340" i="1"/>
  <c r="BE339" i="1"/>
  <c r="BE338" i="1"/>
  <c r="BE337" i="1"/>
  <c r="BE336" i="1"/>
  <c r="BE335" i="1"/>
  <c r="BE334" i="1"/>
  <c r="BE333" i="1"/>
  <c r="BE332" i="1"/>
  <c r="BE331" i="1"/>
  <c r="BE330" i="1"/>
  <c r="BE329" i="1"/>
  <c r="BE328" i="1"/>
  <c r="BE327" i="1"/>
  <c r="BE326" i="1"/>
  <c r="BE325" i="1"/>
  <c r="BE324" i="1"/>
  <c r="BE323" i="1"/>
  <c r="BE322" i="1"/>
  <c r="BE321" i="1"/>
  <c r="BE320" i="1"/>
  <c r="BE319" i="1"/>
  <c r="BE318" i="1"/>
  <c r="BE317" i="1"/>
  <c r="BE316" i="1"/>
  <c r="BE315" i="1"/>
  <c r="BE314" i="1"/>
  <c r="BE313" i="1"/>
  <c r="BE312" i="1"/>
  <c r="BE311" i="1"/>
  <c r="BE310" i="1"/>
  <c r="BE309" i="1"/>
  <c r="BE308" i="1"/>
  <c r="BE307" i="1"/>
  <c r="BE306" i="1"/>
  <c r="BE305" i="1"/>
  <c r="BE304" i="1"/>
  <c r="BE303" i="1"/>
  <c r="BE302" i="1"/>
  <c r="BE301" i="1"/>
  <c r="BE300" i="1"/>
  <c r="BE299" i="1"/>
  <c r="BE298" i="1"/>
  <c r="BE297" i="1"/>
  <c r="BE296" i="1"/>
  <c r="BE295" i="1"/>
  <c r="BE294" i="1"/>
  <c r="BE293" i="1"/>
  <c r="BE292" i="1"/>
  <c r="BE291" i="1"/>
  <c r="BE290" i="1"/>
  <c r="BE289" i="1"/>
  <c r="BE288" i="1"/>
  <c r="BE287" i="1"/>
  <c r="BE286" i="1"/>
  <c r="BE285" i="1"/>
  <c r="BE284" i="1"/>
  <c r="BE283" i="1"/>
  <c r="BE282" i="1"/>
  <c r="BE281" i="1"/>
  <c r="BE280" i="1"/>
  <c r="BE279" i="1"/>
  <c r="BE278" i="1"/>
  <c r="BE277" i="1"/>
  <c r="BE276" i="1"/>
  <c r="BE275" i="1"/>
  <c r="BE274" i="1"/>
  <c r="BE273" i="1"/>
  <c r="BE272" i="1"/>
  <c r="BE271" i="1"/>
  <c r="BE270" i="1"/>
  <c r="BE269" i="1"/>
  <c r="BE268" i="1"/>
  <c r="BE267" i="1"/>
  <c r="BE266" i="1"/>
  <c r="BE265" i="1"/>
  <c r="BE264" i="1"/>
  <c r="BE263" i="1"/>
  <c r="BE262" i="1"/>
  <c r="BE261" i="1"/>
  <c r="BE260" i="1"/>
  <c r="BE259" i="1"/>
  <c r="BE258" i="1"/>
  <c r="BE257" i="1"/>
  <c r="BE256" i="1"/>
  <c r="BE255" i="1"/>
  <c r="BE254" i="1"/>
  <c r="BE253" i="1"/>
  <c r="BE252" i="1"/>
  <c r="BE251" i="1"/>
  <c r="BE250" i="1"/>
  <c r="BE249" i="1"/>
  <c r="BE248" i="1"/>
  <c r="BE247" i="1"/>
  <c r="BE246" i="1"/>
  <c r="BE245" i="1"/>
  <c r="BE244" i="1"/>
  <c r="BE243" i="1"/>
  <c r="BE242" i="1"/>
  <c r="BE241" i="1"/>
  <c r="BE240" i="1"/>
  <c r="BE239" i="1"/>
  <c r="BE238" i="1"/>
  <c r="BE237" i="1"/>
  <c r="BE236" i="1"/>
  <c r="BE235" i="1"/>
  <c r="BE234" i="1"/>
  <c r="BE233" i="1"/>
  <c r="BE232" i="1"/>
  <c r="BE231" i="1"/>
  <c r="BE230" i="1"/>
  <c r="BE229" i="1"/>
  <c r="BE228" i="1"/>
  <c r="BE227" i="1"/>
  <c r="BE226" i="1"/>
  <c r="BE225" i="1"/>
  <c r="BE224" i="1"/>
  <c r="BE223" i="1"/>
  <c r="BE222" i="1"/>
  <c r="BE221" i="1"/>
  <c r="BE220" i="1"/>
  <c r="BE219" i="1"/>
  <c r="BE218" i="1"/>
  <c r="BE217" i="1"/>
  <c r="BE216" i="1"/>
  <c r="BE215" i="1"/>
  <c r="BE214" i="1"/>
  <c r="BE213" i="1"/>
  <c r="BE212" i="1"/>
  <c r="BE211" i="1"/>
  <c r="BE210" i="1"/>
  <c r="BE209" i="1"/>
  <c r="BE208" i="1"/>
  <c r="BE207" i="1"/>
  <c r="BE206" i="1"/>
  <c r="BE205" i="1"/>
  <c r="BE204" i="1"/>
  <c r="BE203" i="1"/>
  <c r="BE202" i="1"/>
  <c r="BE201" i="1"/>
  <c r="BE200" i="1"/>
  <c r="BE199" i="1"/>
  <c r="BE198" i="1"/>
  <c r="BE197" i="1"/>
  <c r="BE196" i="1"/>
  <c r="BE195" i="1"/>
  <c r="BE194" i="1"/>
  <c r="BE193" i="1"/>
  <c r="BE192" i="1"/>
  <c r="BE191" i="1"/>
  <c r="BE190" i="1"/>
  <c r="BE189" i="1"/>
  <c r="BE188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60" i="1"/>
  <c r="BE159" i="1"/>
  <c r="BE158" i="1"/>
  <c r="BE157" i="1"/>
  <c r="BE156" i="1"/>
  <c r="BE155" i="1"/>
  <c r="BE154" i="1"/>
  <c r="BE153" i="1"/>
  <c r="BE152" i="1"/>
  <c r="BE151" i="1"/>
  <c r="BE150" i="1"/>
  <c r="BE149" i="1"/>
  <c r="BE148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2" i="1"/>
  <c r="BE131" i="1"/>
  <c r="BE130" i="1"/>
  <c r="BE129" i="1"/>
  <c r="BE128" i="1"/>
  <c r="BE127" i="1"/>
  <c r="BE126" i="1"/>
  <c r="BE125" i="1"/>
  <c r="BE124" i="1"/>
  <c r="BE123" i="1"/>
  <c r="BE122" i="1"/>
  <c r="BE121" i="1"/>
  <c r="BE120" i="1"/>
  <c r="BE119" i="1"/>
  <c r="BE118" i="1"/>
  <c r="BE117" i="1"/>
  <c r="BE116" i="1"/>
  <c r="BE115" i="1"/>
  <c r="BE114" i="1"/>
  <c r="BE113" i="1"/>
  <c r="BE112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7" i="1"/>
  <c r="BE6" i="1"/>
  <c r="BE5" i="1"/>
  <c r="G20" i="3" l="1"/>
  <c r="P12" i="5"/>
  <c r="P13" i="5" s="1"/>
  <c r="P14" i="5" s="1"/>
  <c r="H2" i="6" l="1"/>
  <c r="V2" i="1"/>
  <c r="K1" i="1" l="1"/>
  <c r="N21" i="2" a="1"/>
  <c r="N21" i="2" l="1"/>
  <c r="N5" i="1"/>
  <c r="BD5" i="1" s="1"/>
  <c r="N6" i="1"/>
  <c r="BD6" i="1" s="1"/>
  <c r="N7" i="1"/>
  <c r="BD7" i="1" s="1"/>
  <c r="N8" i="1"/>
  <c r="BD8" i="1" s="1"/>
  <c r="N9" i="1"/>
  <c r="BD9" i="1" s="1"/>
  <c r="M10" i="1"/>
  <c r="M11" i="1"/>
  <c r="N11" i="1" s="1"/>
  <c r="BD11" i="1" s="1"/>
  <c r="M12" i="1"/>
  <c r="N12" i="1" s="1"/>
  <c r="BD12" i="1" s="1"/>
  <c r="M13" i="1"/>
  <c r="N13" i="1" s="1"/>
  <c r="BD13" i="1" s="1"/>
  <c r="M14" i="1"/>
  <c r="N14" i="1" s="1"/>
  <c r="BD14" i="1" s="1"/>
  <c r="M15" i="1"/>
  <c r="N15" i="1" s="1"/>
  <c r="BD15" i="1" s="1"/>
  <c r="M16" i="1"/>
  <c r="N16" i="1" s="1"/>
  <c r="BD16" i="1" s="1"/>
  <c r="BD17" i="1"/>
  <c r="BD18" i="1"/>
  <c r="BD19" i="1"/>
  <c r="BD20" i="1"/>
  <c r="BD21" i="1"/>
  <c r="M22" i="1"/>
  <c r="N22" i="1" s="1"/>
  <c r="BD22" i="1" s="1"/>
  <c r="M23" i="1"/>
  <c r="N23" i="1" s="1"/>
  <c r="BD23" i="1" s="1"/>
  <c r="M24" i="1"/>
  <c r="N24" i="1" s="1"/>
  <c r="M25" i="1"/>
  <c r="N25" i="1" s="1"/>
  <c r="BD25" i="1" s="1"/>
  <c r="M26" i="1"/>
  <c r="N26" i="1" s="1"/>
  <c r="BD26" i="1" s="1"/>
  <c r="M27" i="1"/>
  <c r="N27" i="1" s="1"/>
  <c r="BD27" i="1" s="1"/>
  <c r="M28" i="1"/>
  <c r="N28" i="1" s="1"/>
  <c r="BD28" i="1" s="1"/>
  <c r="M29" i="1"/>
  <c r="N29" i="1" s="1"/>
  <c r="BD29" i="1" s="1"/>
  <c r="M30" i="1"/>
  <c r="N30" i="1" s="1"/>
  <c r="BD30" i="1" s="1"/>
  <c r="M31" i="1"/>
  <c r="N31" i="1" s="1"/>
  <c r="BD31" i="1" s="1"/>
  <c r="M32" i="1"/>
  <c r="N32" i="1" s="1"/>
  <c r="BD32" i="1" s="1"/>
  <c r="M33" i="1"/>
  <c r="N33" i="1" s="1"/>
  <c r="BD33" i="1" s="1"/>
  <c r="M34" i="1"/>
  <c r="N34" i="1" s="1"/>
  <c r="BD34" i="1" s="1"/>
  <c r="M35" i="1"/>
  <c r="N35" i="1" s="1"/>
  <c r="BD35" i="1" s="1"/>
  <c r="M36" i="1"/>
  <c r="N36" i="1" s="1"/>
  <c r="BD36" i="1" s="1"/>
  <c r="M37" i="1"/>
  <c r="N37" i="1" s="1"/>
  <c r="BD37" i="1" s="1"/>
  <c r="M38" i="1"/>
  <c r="N38" i="1" s="1"/>
  <c r="BD38" i="1" s="1"/>
  <c r="M39" i="1"/>
  <c r="N39" i="1" s="1"/>
  <c r="BD39" i="1" s="1"/>
  <c r="M40" i="1"/>
  <c r="N40" i="1" s="1"/>
  <c r="BD40" i="1" s="1"/>
  <c r="M41" i="1"/>
  <c r="N41" i="1" s="1"/>
  <c r="BD41" i="1" s="1"/>
  <c r="M42" i="1"/>
  <c r="N42" i="1" s="1"/>
  <c r="BD42" i="1" s="1"/>
  <c r="M43" i="1"/>
  <c r="N43" i="1" s="1"/>
  <c r="BD43" i="1" s="1"/>
  <c r="M44" i="1"/>
  <c r="N44" i="1" s="1"/>
  <c r="BD44" i="1" s="1"/>
  <c r="M45" i="1"/>
  <c r="N45" i="1" s="1"/>
  <c r="BD45" i="1" s="1"/>
  <c r="M46" i="1"/>
  <c r="N46" i="1" s="1"/>
  <c r="BD46" i="1" s="1"/>
  <c r="M47" i="1"/>
  <c r="N47" i="1" s="1"/>
  <c r="BD47" i="1" s="1"/>
  <c r="M48" i="1"/>
  <c r="N48" i="1" s="1"/>
  <c r="BD48" i="1" s="1"/>
  <c r="M49" i="1"/>
  <c r="N49" i="1" s="1"/>
  <c r="BD49" i="1" s="1"/>
  <c r="M50" i="1"/>
  <c r="N50" i="1" s="1"/>
  <c r="BD50" i="1" s="1"/>
  <c r="M51" i="1"/>
  <c r="N51" i="1" s="1"/>
  <c r="BD51" i="1" s="1"/>
  <c r="M52" i="1"/>
  <c r="N52" i="1" s="1"/>
  <c r="BD52" i="1" s="1"/>
  <c r="M53" i="1"/>
  <c r="N53" i="1" s="1"/>
  <c r="BD53" i="1" s="1"/>
  <c r="M54" i="1"/>
  <c r="N54" i="1" s="1"/>
  <c r="BD54" i="1" s="1"/>
  <c r="M55" i="1"/>
  <c r="N55" i="1" s="1"/>
  <c r="BD55" i="1" s="1"/>
  <c r="M56" i="1"/>
  <c r="N56" i="1" s="1"/>
  <c r="BD56" i="1" s="1"/>
  <c r="M57" i="1"/>
  <c r="N57" i="1" s="1"/>
  <c r="BD57" i="1" s="1"/>
  <c r="M58" i="1"/>
  <c r="N58" i="1" s="1"/>
  <c r="BD58" i="1" s="1"/>
  <c r="N59" i="1"/>
  <c r="BD59" i="1" s="1"/>
  <c r="M60" i="1"/>
  <c r="N60" i="1" s="1"/>
  <c r="BD60" i="1" s="1"/>
  <c r="M61" i="1"/>
  <c r="N61" i="1" s="1"/>
  <c r="BD61" i="1" s="1"/>
  <c r="M62" i="1"/>
  <c r="N62" i="1" s="1"/>
  <c r="BD62" i="1" s="1"/>
  <c r="M63" i="1"/>
  <c r="N63" i="1" s="1"/>
  <c r="BD63" i="1" s="1"/>
  <c r="M64" i="1"/>
  <c r="N64" i="1" s="1"/>
  <c r="BD64" i="1" s="1"/>
  <c r="M65" i="1"/>
  <c r="N65" i="1" s="1"/>
  <c r="BD65" i="1" s="1"/>
  <c r="M66" i="1"/>
  <c r="N66" i="1" s="1"/>
  <c r="BD66" i="1" s="1"/>
  <c r="M67" i="1"/>
  <c r="N67" i="1" s="1"/>
  <c r="BD67" i="1" s="1"/>
  <c r="M68" i="1"/>
  <c r="N68" i="1" s="1"/>
  <c r="BD68" i="1" s="1"/>
  <c r="M69" i="1"/>
  <c r="N69" i="1" s="1"/>
  <c r="BD69" i="1" s="1"/>
  <c r="M70" i="1"/>
  <c r="N70" i="1" s="1"/>
  <c r="BD70" i="1" s="1"/>
  <c r="M71" i="1"/>
  <c r="N71" i="1" s="1"/>
  <c r="BD71" i="1" s="1"/>
  <c r="M72" i="1"/>
  <c r="N72" i="1" s="1"/>
  <c r="BD72" i="1" s="1"/>
  <c r="M73" i="1"/>
  <c r="N73" i="1" s="1"/>
  <c r="BD73" i="1" s="1"/>
  <c r="M74" i="1"/>
  <c r="N74" i="1" s="1"/>
  <c r="BD74" i="1" s="1"/>
  <c r="M75" i="1"/>
  <c r="N75" i="1" s="1"/>
  <c r="BD75" i="1" s="1"/>
  <c r="M76" i="1"/>
  <c r="N76" i="1" s="1"/>
  <c r="BD76" i="1" s="1"/>
  <c r="M77" i="1"/>
  <c r="N77" i="1" s="1"/>
  <c r="BD77" i="1" s="1"/>
  <c r="M78" i="1"/>
  <c r="N78" i="1" s="1"/>
  <c r="BD78" i="1" s="1"/>
  <c r="M79" i="1"/>
  <c r="N79" i="1" s="1"/>
  <c r="BD79" i="1" s="1"/>
  <c r="M80" i="1"/>
  <c r="N80" i="1" s="1"/>
  <c r="BD80" i="1" s="1"/>
  <c r="M81" i="1"/>
  <c r="N81" i="1" s="1"/>
  <c r="BD81" i="1" s="1"/>
  <c r="M82" i="1"/>
  <c r="N82" i="1" s="1"/>
  <c r="BD82" i="1" s="1"/>
  <c r="M83" i="1"/>
  <c r="N83" i="1" s="1"/>
  <c r="BD83" i="1" s="1"/>
  <c r="M84" i="1"/>
  <c r="N84" i="1" s="1"/>
  <c r="BD84" i="1" s="1"/>
  <c r="M85" i="1"/>
  <c r="N85" i="1" s="1"/>
  <c r="BD85" i="1" s="1"/>
  <c r="M86" i="1"/>
  <c r="N86" i="1" s="1"/>
  <c r="BD86" i="1" s="1"/>
  <c r="M87" i="1"/>
  <c r="N87" i="1" s="1"/>
  <c r="BD87" i="1" s="1"/>
  <c r="M88" i="1"/>
  <c r="N88" i="1" s="1"/>
  <c r="BD88" i="1" s="1"/>
  <c r="M89" i="1"/>
  <c r="N89" i="1" s="1"/>
  <c r="BD89" i="1" s="1"/>
  <c r="N90" i="1"/>
  <c r="BD90" i="1" s="1"/>
  <c r="M91" i="1"/>
  <c r="N91" i="1" s="1"/>
  <c r="BD91" i="1" s="1"/>
  <c r="M92" i="1"/>
  <c r="N92" i="1" s="1"/>
  <c r="BD92" i="1" s="1"/>
  <c r="M93" i="1"/>
  <c r="N93" i="1" s="1"/>
  <c r="BD93" i="1" s="1"/>
  <c r="M94" i="1"/>
  <c r="N94" i="1" s="1"/>
  <c r="BD94" i="1" s="1"/>
  <c r="M95" i="1"/>
  <c r="N95" i="1" s="1"/>
  <c r="BD95" i="1" s="1"/>
  <c r="M96" i="1"/>
  <c r="N96" i="1" s="1"/>
  <c r="BD96" i="1" s="1"/>
  <c r="M97" i="1"/>
  <c r="N97" i="1" s="1"/>
  <c r="BD97" i="1" s="1"/>
  <c r="M98" i="1"/>
  <c r="N98" i="1" s="1"/>
  <c r="BD98" i="1" s="1"/>
  <c r="M99" i="1"/>
  <c r="N99" i="1" s="1"/>
  <c r="BD99" i="1" s="1"/>
  <c r="M100" i="1"/>
  <c r="N100" i="1" s="1"/>
  <c r="BD100" i="1" s="1"/>
  <c r="M101" i="1"/>
  <c r="N101" i="1" s="1"/>
  <c r="BD101" i="1" s="1"/>
  <c r="M102" i="1"/>
  <c r="N102" i="1" s="1"/>
  <c r="BD102" i="1" s="1"/>
  <c r="M103" i="1"/>
  <c r="N103" i="1" s="1"/>
  <c r="BD103" i="1" s="1"/>
  <c r="M104" i="1"/>
  <c r="N104" i="1" s="1"/>
  <c r="BD104" i="1" s="1"/>
  <c r="M105" i="1"/>
  <c r="N105" i="1" s="1"/>
  <c r="BD105" i="1" s="1"/>
  <c r="M106" i="1"/>
  <c r="N106" i="1" s="1"/>
  <c r="BD106" i="1" s="1"/>
  <c r="M107" i="1"/>
  <c r="N107" i="1" s="1"/>
  <c r="BD107" i="1" s="1"/>
  <c r="M108" i="1"/>
  <c r="N108" i="1" s="1"/>
  <c r="BD108" i="1" s="1"/>
  <c r="M109" i="1"/>
  <c r="N109" i="1" s="1"/>
  <c r="BD109" i="1" s="1"/>
  <c r="M110" i="1"/>
  <c r="N110" i="1" s="1"/>
  <c r="BD110" i="1" s="1"/>
  <c r="M111" i="1"/>
  <c r="N111" i="1" s="1"/>
  <c r="BD111" i="1" s="1"/>
  <c r="M112" i="1"/>
  <c r="N112" i="1" s="1"/>
  <c r="BD112" i="1" s="1"/>
  <c r="M113" i="1"/>
  <c r="N113" i="1" s="1"/>
  <c r="BD113" i="1" s="1"/>
  <c r="M114" i="1"/>
  <c r="N114" i="1" s="1"/>
  <c r="BD114" i="1" s="1"/>
  <c r="M115" i="1"/>
  <c r="N115" i="1" s="1"/>
  <c r="BD115" i="1" s="1"/>
  <c r="M116" i="1"/>
  <c r="N116" i="1" s="1"/>
  <c r="BD116" i="1" s="1"/>
  <c r="M117" i="1"/>
  <c r="N117" i="1" s="1"/>
  <c r="BD117" i="1" s="1"/>
  <c r="M118" i="1"/>
  <c r="N118" i="1" s="1"/>
  <c r="BD118" i="1" s="1"/>
  <c r="M119" i="1"/>
  <c r="N119" i="1" s="1"/>
  <c r="BD119" i="1" s="1"/>
  <c r="M120" i="1"/>
  <c r="N120" i="1" s="1"/>
  <c r="BD120" i="1" s="1"/>
  <c r="M121" i="1"/>
  <c r="N121" i="1" s="1"/>
  <c r="BD121" i="1" s="1"/>
  <c r="M122" i="1"/>
  <c r="N122" i="1" s="1"/>
  <c r="BD122" i="1" s="1"/>
  <c r="M123" i="1"/>
  <c r="N123" i="1" s="1"/>
  <c r="BD123" i="1" s="1"/>
  <c r="M124" i="1"/>
  <c r="N124" i="1" s="1"/>
  <c r="BD124" i="1" s="1"/>
  <c r="M125" i="1"/>
  <c r="N125" i="1" s="1"/>
  <c r="BD125" i="1" s="1"/>
  <c r="M126" i="1"/>
  <c r="N126" i="1" s="1"/>
  <c r="BD126" i="1" s="1"/>
  <c r="M127" i="1"/>
  <c r="N127" i="1" s="1"/>
  <c r="BD127" i="1" s="1"/>
  <c r="M128" i="1"/>
  <c r="N128" i="1" s="1"/>
  <c r="BD128" i="1" s="1"/>
  <c r="M129" i="1"/>
  <c r="N129" i="1" s="1"/>
  <c r="BD129" i="1" s="1"/>
  <c r="M130" i="1"/>
  <c r="N130" i="1" s="1"/>
  <c r="BD130" i="1" s="1"/>
  <c r="M131" i="1"/>
  <c r="N131" i="1" s="1"/>
  <c r="BD131" i="1" s="1"/>
  <c r="M132" i="1"/>
  <c r="N132" i="1" s="1"/>
  <c r="BD132" i="1" s="1"/>
  <c r="M133" i="1"/>
  <c r="N133" i="1" s="1"/>
  <c r="BD133" i="1" s="1"/>
  <c r="M134" i="1"/>
  <c r="N134" i="1" s="1"/>
  <c r="BD134" i="1" s="1"/>
  <c r="M135" i="1"/>
  <c r="N135" i="1" s="1"/>
  <c r="BD135" i="1" s="1"/>
  <c r="M136" i="1"/>
  <c r="N136" i="1" s="1"/>
  <c r="BD136" i="1" s="1"/>
  <c r="M137" i="1"/>
  <c r="N137" i="1" s="1"/>
  <c r="BD137" i="1" s="1"/>
  <c r="M138" i="1"/>
  <c r="N138" i="1" s="1"/>
  <c r="BD138" i="1" s="1"/>
  <c r="M139" i="1"/>
  <c r="N139" i="1" s="1"/>
  <c r="BD139" i="1" s="1"/>
  <c r="M140" i="1"/>
  <c r="N140" i="1" s="1"/>
  <c r="BD140" i="1" s="1"/>
  <c r="M141" i="1"/>
  <c r="N141" i="1" s="1"/>
  <c r="BD141" i="1" s="1"/>
  <c r="M142" i="1"/>
  <c r="N142" i="1" s="1"/>
  <c r="BD142" i="1" s="1"/>
  <c r="M143" i="1"/>
  <c r="N143" i="1" s="1"/>
  <c r="BD143" i="1" s="1"/>
  <c r="M144" i="1"/>
  <c r="N144" i="1" s="1"/>
  <c r="BD144" i="1" s="1"/>
  <c r="M145" i="1"/>
  <c r="N145" i="1" s="1"/>
  <c r="BD145" i="1" s="1"/>
  <c r="M146" i="1"/>
  <c r="N146" i="1" s="1"/>
  <c r="BD146" i="1" s="1"/>
  <c r="M147" i="1"/>
  <c r="N147" i="1" s="1"/>
  <c r="BD147" i="1" s="1"/>
  <c r="M148" i="1"/>
  <c r="N148" i="1" s="1"/>
  <c r="BD148" i="1" s="1"/>
  <c r="M149" i="1"/>
  <c r="N149" i="1" s="1"/>
  <c r="BD149" i="1" s="1"/>
  <c r="M150" i="1"/>
  <c r="N150" i="1" s="1"/>
  <c r="BD150" i="1" s="1"/>
  <c r="M151" i="1"/>
  <c r="N151" i="1" s="1"/>
  <c r="BD151" i="1" s="1"/>
  <c r="M152" i="1"/>
  <c r="N152" i="1" s="1"/>
  <c r="BD152" i="1" s="1"/>
  <c r="M153" i="1"/>
  <c r="N153" i="1" s="1"/>
  <c r="BD153" i="1" s="1"/>
  <c r="M154" i="1"/>
  <c r="N154" i="1" s="1"/>
  <c r="BD154" i="1" s="1"/>
  <c r="M155" i="1"/>
  <c r="N155" i="1" s="1"/>
  <c r="BD155" i="1" s="1"/>
  <c r="M156" i="1"/>
  <c r="N156" i="1" s="1"/>
  <c r="BD156" i="1" s="1"/>
  <c r="M157" i="1"/>
  <c r="N157" i="1" s="1"/>
  <c r="BD157" i="1" s="1"/>
  <c r="M158" i="1"/>
  <c r="N158" i="1" s="1"/>
  <c r="BD158" i="1" s="1"/>
  <c r="M159" i="1"/>
  <c r="N159" i="1" s="1"/>
  <c r="BD159" i="1" s="1"/>
  <c r="M160" i="1"/>
  <c r="N160" i="1" s="1"/>
  <c r="BD160" i="1" s="1"/>
  <c r="M161" i="1"/>
  <c r="N161" i="1" s="1"/>
  <c r="BD161" i="1" s="1"/>
  <c r="M162" i="1"/>
  <c r="N162" i="1" s="1"/>
  <c r="BD162" i="1" s="1"/>
  <c r="M163" i="1"/>
  <c r="N163" i="1" s="1"/>
  <c r="BD163" i="1" s="1"/>
  <c r="M164" i="1"/>
  <c r="N164" i="1" s="1"/>
  <c r="BD164" i="1" s="1"/>
  <c r="M165" i="1"/>
  <c r="N165" i="1" s="1"/>
  <c r="BD165" i="1" s="1"/>
  <c r="M166" i="1"/>
  <c r="N166" i="1" s="1"/>
  <c r="BD166" i="1" s="1"/>
  <c r="M167" i="1"/>
  <c r="N167" i="1" s="1"/>
  <c r="BD167" i="1" s="1"/>
  <c r="M168" i="1"/>
  <c r="N168" i="1" s="1"/>
  <c r="BD168" i="1" s="1"/>
  <c r="M169" i="1"/>
  <c r="N169" i="1" s="1"/>
  <c r="BD169" i="1" s="1"/>
  <c r="M170" i="1"/>
  <c r="N170" i="1" s="1"/>
  <c r="BD170" i="1" s="1"/>
  <c r="M171" i="1"/>
  <c r="N171" i="1" s="1"/>
  <c r="BD171" i="1" s="1"/>
  <c r="M172" i="1"/>
  <c r="N172" i="1" s="1"/>
  <c r="BD172" i="1" s="1"/>
  <c r="M173" i="1"/>
  <c r="N173" i="1" s="1"/>
  <c r="BD173" i="1" s="1"/>
  <c r="M174" i="1"/>
  <c r="N174" i="1" s="1"/>
  <c r="BD174" i="1" s="1"/>
  <c r="M175" i="1"/>
  <c r="N175" i="1" s="1"/>
  <c r="BD175" i="1" s="1"/>
  <c r="M176" i="1"/>
  <c r="N176" i="1" s="1"/>
  <c r="BD176" i="1" s="1"/>
  <c r="M177" i="1"/>
  <c r="N177" i="1" s="1"/>
  <c r="BD177" i="1" s="1"/>
  <c r="M178" i="1"/>
  <c r="N178" i="1" s="1"/>
  <c r="BD178" i="1" s="1"/>
  <c r="M179" i="1"/>
  <c r="N179" i="1" s="1"/>
  <c r="BD179" i="1" s="1"/>
  <c r="M180" i="1"/>
  <c r="N180" i="1" s="1"/>
  <c r="BD180" i="1" s="1"/>
  <c r="M181" i="1"/>
  <c r="N181" i="1" s="1"/>
  <c r="BD181" i="1" s="1"/>
  <c r="M182" i="1"/>
  <c r="N182" i="1" s="1"/>
  <c r="BD182" i="1" s="1"/>
  <c r="M183" i="1"/>
  <c r="N183" i="1" s="1"/>
  <c r="BD183" i="1" s="1"/>
  <c r="M184" i="1"/>
  <c r="N184" i="1" s="1"/>
  <c r="BD184" i="1" s="1"/>
  <c r="M185" i="1"/>
  <c r="N185" i="1" s="1"/>
  <c r="BD185" i="1" s="1"/>
  <c r="M186" i="1"/>
  <c r="N186" i="1" s="1"/>
  <c r="BD186" i="1" s="1"/>
  <c r="M187" i="1"/>
  <c r="N187" i="1" s="1"/>
  <c r="BD187" i="1" s="1"/>
  <c r="M188" i="1"/>
  <c r="N188" i="1" s="1"/>
  <c r="BD188" i="1" s="1"/>
  <c r="M189" i="1"/>
  <c r="N189" i="1" s="1"/>
  <c r="BD189" i="1" s="1"/>
  <c r="M190" i="1"/>
  <c r="N190" i="1" s="1"/>
  <c r="BD190" i="1" s="1"/>
  <c r="M191" i="1"/>
  <c r="N191" i="1" s="1"/>
  <c r="BD191" i="1" s="1"/>
  <c r="M192" i="1"/>
  <c r="N192" i="1" s="1"/>
  <c r="BD192" i="1" s="1"/>
  <c r="M193" i="1"/>
  <c r="N193" i="1" s="1"/>
  <c r="BD193" i="1" s="1"/>
  <c r="M194" i="1"/>
  <c r="N194" i="1" s="1"/>
  <c r="BD194" i="1" s="1"/>
  <c r="M195" i="1"/>
  <c r="N195" i="1" s="1"/>
  <c r="BD195" i="1" s="1"/>
  <c r="M196" i="1"/>
  <c r="N196" i="1" s="1"/>
  <c r="BD196" i="1" s="1"/>
  <c r="M197" i="1"/>
  <c r="N197" i="1" s="1"/>
  <c r="BD197" i="1" s="1"/>
  <c r="M198" i="1"/>
  <c r="N198" i="1" s="1"/>
  <c r="BD198" i="1" s="1"/>
  <c r="M199" i="1"/>
  <c r="N199" i="1" s="1"/>
  <c r="BD199" i="1" s="1"/>
  <c r="M200" i="1"/>
  <c r="N200" i="1" s="1"/>
  <c r="BD200" i="1" s="1"/>
  <c r="M201" i="1"/>
  <c r="N201" i="1" s="1"/>
  <c r="BD201" i="1" s="1"/>
  <c r="M202" i="1"/>
  <c r="N202" i="1" s="1"/>
  <c r="BD202" i="1" s="1"/>
  <c r="M203" i="1"/>
  <c r="N203" i="1" s="1"/>
  <c r="BD203" i="1" s="1"/>
  <c r="M204" i="1"/>
  <c r="N204" i="1" s="1"/>
  <c r="BD204" i="1" s="1"/>
  <c r="M205" i="1"/>
  <c r="N205" i="1" s="1"/>
  <c r="BD205" i="1" s="1"/>
  <c r="M206" i="1"/>
  <c r="N206" i="1" s="1"/>
  <c r="BD206" i="1" s="1"/>
  <c r="M207" i="1"/>
  <c r="N207" i="1" s="1"/>
  <c r="BD207" i="1" s="1"/>
  <c r="M208" i="1"/>
  <c r="N208" i="1" s="1"/>
  <c r="BD208" i="1" s="1"/>
  <c r="M209" i="1"/>
  <c r="N209" i="1" s="1"/>
  <c r="BD209" i="1" s="1"/>
  <c r="M210" i="1"/>
  <c r="N210" i="1" s="1"/>
  <c r="BD210" i="1" s="1"/>
  <c r="M211" i="1"/>
  <c r="N211" i="1" s="1"/>
  <c r="BD211" i="1" s="1"/>
  <c r="M212" i="1"/>
  <c r="N212" i="1" s="1"/>
  <c r="BD212" i="1" s="1"/>
  <c r="M213" i="1"/>
  <c r="N213" i="1" s="1"/>
  <c r="BD213" i="1" s="1"/>
  <c r="M214" i="1"/>
  <c r="N214" i="1" s="1"/>
  <c r="BD214" i="1" s="1"/>
  <c r="M215" i="1"/>
  <c r="N215" i="1" s="1"/>
  <c r="BD215" i="1" s="1"/>
  <c r="M216" i="1"/>
  <c r="N216" i="1" s="1"/>
  <c r="BD216" i="1" s="1"/>
  <c r="M217" i="1"/>
  <c r="N217" i="1" s="1"/>
  <c r="BD217" i="1" s="1"/>
  <c r="M218" i="1"/>
  <c r="N218" i="1" s="1"/>
  <c r="BD218" i="1" s="1"/>
  <c r="M219" i="1"/>
  <c r="N219" i="1" s="1"/>
  <c r="BD219" i="1" s="1"/>
  <c r="M220" i="1"/>
  <c r="N220" i="1" s="1"/>
  <c r="BD220" i="1" s="1"/>
  <c r="M221" i="1"/>
  <c r="N221" i="1" s="1"/>
  <c r="BD221" i="1" s="1"/>
  <c r="M222" i="1"/>
  <c r="N222" i="1" s="1"/>
  <c r="BD222" i="1" s="1"/>
  <c r="M223" i="1"/>
  <c r="N223" i="1" s="1"/>
  <c r="BD223" i="1" s="1"/>
  <c r="M224" i="1"/>
  <c r="N224" i="1" s="1"/>
  <c r="BD224" i="1" s="1"/>
  <c r="M225" i="1"/>
  <c r="N225" i="1" s="1"/>
  <c r="BD225" i="1" s="1"/>
  <c r="M226" i="1"/>
  <c r="N226" i="1" s="1"/>
  <c r="BD226" i="1" s="1"/>
  <c r="M227" i="1"/>
  <c r="N227" i="1" s="1"/>
  <c r="BD227" i="1" s="1"/>
  <c r="M228" i="1"/>
  <c r="N228" i="1" s="1"/>
  <c r="BD228" i="1" s="1"/>
  <c r="M229" i="1"/>
  <c r="N229" i="1" s="1"/>
  <c r="BD229" i="1" s="1"/>
  <c r="M230" i="1"/>
  <c r="N230" i="1" s="1"/>
  <c r="BD230" i="1" s="1"/>
  <c r="M231" i="1"/>
  <c r="N231" i="1" s="1"/>
  <c r="BD231" i="1" s="1"/>
  <c r="M232" i="1"/>
  <c r="N232" i="1" s="1"/>
  <c r="BD232" i="1" s="1"/>
  <c r="M233" i="1"/>
  <c r="N233" i="1" s="1"/>
  <c r="BD233" i="1" s="1"/>
  <c r="M234" i="1"/>
  <c r="N234" i="1" s="1"/>
  <c r="BD234" i="1" s="1"/>
  <c r="M235" i="1"/>
  <c r="N235" i="1" s="1"/>
  <c r="BD235" i="1" s="1"/>
  <c r="M236" i="1"/>
  <c r="N236" i="1" s="1"/>
  <c r="BD236" i="1" s="1"/>
  <c r="M237" i="1"/>
  <c r="N237" i="1" s="1"/>
  <c r="BD237" i="1" s="1"/>
  <c r="M238" i="1"/>
  <c r="N238" i="1" s="1"/>
  <c r="BD238" i="1" s="1"/>
  <c r="M239" i="1"/>
  <c r="N239" i="1" s="1"/>
  <c r="BD239" i="1" s="1"/>
  <c r="M240" i="1"/>
  <c r="N240" i="1" s="1"/>
  <c r="BD240" i="1" s="1"/>
  <c r="M241" i="1"/>
  <c r="N241" i="1" s="1"/>
  <c r="BD241" i="1" s="1"/>
  <c r="M242" i="1"/>
  <c r="N242" i="1" s="1"/>
  <c r="BD242" i="1" s="1"/>
  <c r="M243" i="1"/>
  <c r="N243" i="1" s="1"/>
  <c r="BD243" i="1" s="1"/>
  <c r="M244" i="1"/>
  <c r="N244" i="1" s="1"/>
  <c r="BD244" i="1" s="1"/>
  <c r="M245" i="1"/>
  <c r="N245" i="1" s="1"/>
  <c r="BD245" i="1" s="1"/>
  <c r="M246" i="1"/>
  <c r="N246" i="1" s="1"/>
  <c r="BD246" i="1" s="1"/>
  <c r="M247" i="1"/>
  <c r="N247" i="1" s="1"/>
  <c r="BD247" i="1" s="1"/>
  <c r="M248" i="1"/>
  <c r="N248" i="1" s="1"/>
  <c r="BD248" i="1" s="1"/>
  <c r="M249" i="1"/>
  <c r="N249" i="1" s="1"/>
  <c r="BD249" i="1" s="1"/>
  <c r="M250" i="1"/>
  <c r="N250" i="1" s="1"/>
  <c r="BD250" i="1" s="1"/>
  <c r="M251" i="1"/>
  <c r="N251" i="1" s="1"/>
  <c r="BD251" i="1" s="1"/>
  <c r="M252" i="1"/>
  <c r="N252" i="1" s="1"/>
  <c r="BD252" i="1" s="1"/>
  <c r="M253" i="1"/>
  <c r="N253" i="1" s="1"/>
  <c r="BD253" i="1" s="1"/>
  <c r="M254" i="1"/>
  <c r="N254" i="1" s="1"/>
  <c r="BD254" i="1" s="1"/>
  <c r="M255" i="1"/>
  <c r="N255" i="1" s="1"/>
  <c r="BD255" i="1" s="1"/>
  <c r="M256" i="1"/>
  <c r="N256" i="1" s="1"/>
  <c r="BD256" i="1" s="1"/>
  <c r="M257" i="1"/>
  <c r="N257" i="1" s="1"/>
  <c r="BD257" i="1" s="1"/>
  <c r="M258" i="1"/>
  <c r="N258" i="1" s="1"/>
  <c r="BD258" i="1" s="1"/>
  <c r="M259" i="1"/>
  <c r="N259" i="1" s="1"/>
  <c r="BD259" i="1" s="1"/>
  <c r="M260" i="1"/>
  <c r="N260" i="1" s="1"/>
  <c r="BD260" i="1" s="1"/>
  <c r="M261" i="1"/>
  <c r="N261" i="1" s="1"/>
  <c r="BD261" i="1" s="1"/>
  <c r="M262" i="1"/>
  <c r="N262" i="1" s="1"/>
  <c r="BD262" i="1" s="1"/>
  <c r="M263" i="1"/>
  <c r="N263" i="1" s="1"/>
  <c r="BD263" i="1" s="1"/>
  <c r="M264" i="1"/>
  <c r="N264" i="1" s="1"/>
  <c r="BD264" i="1" s="1"/>
  <c r="M265" i="1"/>
  <c r="N265" i="1" s="1"/>
  <c r="BD265" i="1" s="1"/>
  <c r="M266" i="1"/>
  <c r="N266" i="1" s="1"/>
  <c r="BD266" i="1" s="1"/>
  <c r="M267" i="1"/>
  <c r="N267" i="1" s="1"/>
  <c r="BD267" i="1" s="1"/>
  <c r="M268" i="1"/>
  <c r="N268" i="1" s="1"/>
  <c r="BD268" i="1" s="1"/>
  <c r="M269" i="1"/>
  <c r="N269" i="1" s="1"/>
  <c r="BD269" i="1" s="1"/>
  <c r="M270" i="1"/>
  <c r="N270" i="1" s="1"/>
  <c r="BD270" i="1" s="1"/>
  <c r="M271" i="1"/>
  <c r="N271" i="1" s="1"/>
  <c r="BD271" i="1" s="1"/>
  <c r="M272" i="1"/>
  <c r="N272" i="1" s="1"/>
  <c r="BD272" i="1" s="1"/>
  <c r="M273" i="1"/>
  <c r="N273" i="1" s="1"/>
  <c r="BD273" i="1" s="1"/>
  <c r="M274" i="1"/>
  <c r="N274" i="1" s="1"/>
  <c r="BD274" i="1" s="1"/>
  <c r="M275" i="1"/>
  <c r="N275" i="1" s="1"/>
  <c r="BD275" i="1" s="1"/>
  <c r="M276" i="1"/>
  <c r="N276" i="1" s="1"/>
  <c r="BD276" i="1" s="1"/>
  <c r="M277" i="1"/>
  <c r="N277" i="1" s="1"/>
  <c r="BD277" i="1" s="1"/>
  <c r="M278" i="1"/>
  <c r="N278" i="1" s="1"/>
  <c r="BD278" i="1" s="1"/>
  <c r="M279" i="1"/>
  <c r="N279" i="1" s="1"/>
  <c r="BD279" i="1" s="1"/>
  <c r="M280" i="1"/>
  <c r="N280" i="1" s="1"/>
  <c r="BD280" i="1" s="1"/>
  <c r="M281" i="1"/>
  <c r="N281" i="1" s="1"/>
  <c r="BD281" i="1" s="1"/>
  <c r="M282" i="1"/>
  <c r="N282" i="1" s="1"/>
  <c r="BD282" i="1" s="1"/>
  <c r="M283" i="1"/>
  <c r="N283" i="1" s="1"/>
  <c r="BD283" i="1" s="1"/>
  <c r="M284" i="1"/>
  <c r="N284" i="1" s="1"/>
  <c r="BD284" i="1" s="1"/>
  <c r="M285" i="1"/>
  <c r="N285" i="1" s="1"/>
  <c r="BD285" i="1" s="1"/>
  <c r="M286" i="1"/>
  <c r="N286" i="1" s="1"/>
  <c r="BD286" i="1" s="1"/>
  <c r="M287" i="1"/>
  <c r="N287" i="1" s="1"/>
  <c r="BD287" i="1" s="1"/>
  <c r="M288" i="1"/>
  <c r="N288" i="1" s="1"/>
  <c r="BD288" i="1" s="1"/>
  <c r="M289" i="1"/>
  <c r="N289" i="1" s="1"/>
  <c r="BD289" i="1" s="1"/>
  <c r="M290" i="1"/>
  <c r="N290" i="1" s="1"/>
  <c r="BD290" i="1" s="1"/>
  <c r="M291" i="1"/>
  <c r="N291" i="1" s="1"/>
  <c r="BD291" i="1" s="1"/>
  <c r="M292" i="1"/>
  <c r="N292" i="1" s="1"/>
  <c r="BD292" i="1" s="1"/>
  <c r="M293" i="1"/>
  <c r="N293" i="1" s="1"/>
  <c r="BD293" i="1" s="1"/>
  <c r="M294" i="1"/>
  <c r="N294" i="1" s="1"/>
  <c r="BD294" i="1" s="1"/>
  <c r="M295" i="1"/>
  <c r="N295" i="1" s="1"/>
  <c r="BD295" i="1" s="1"/>
  <c r="M296" i="1"/>
  <c r="N296" i="1" s="1"/>
  <c r="BD296" i="1" s="1"/>
  <c r="M297" i="1"/>
  <c r="N297" i="1" s="1"/>
  <c r="BD297" i="1" s="1"/>
  <c r="M298" i="1"/>
  <c r="N298" i="1" s="1"/>
  <c r="BD298" i="1" s="1"/>
  <c r="M299" i="1"/>
  <c r="N299" i="1" s="1"/>
  <c r="BD299" i="1" s="1"/>
  <c r="M300" i="1"/>
  <c r="N300" i="1" s="1"/>
  <c r="BD300" i="1" s="1"/>
  <c r="M301" i="1"/>
  <c r="N301" i="1" s="1"/>
  <c r="BD301" i="1" s="1"/>
  <c r="M302" i="1"/>
  <c r="N302" i="1" s="1"/>
  <c r="BD302" i="1" s="1"/>
  <c r="M303" i="1"/>
  <c r="N303" i="1" s="1"/>
  <c r="BD303" i="1" s="1"/>
  <c r="M304" i="1"/>
  <c r="N304" i="1" s="1"/>
  <c r="BD304" i="1" s="1"/>
  <c r="M305" i="1"/>
  <c r="N305" i="1" s="1"/>
  <c r="BD305" i="1" s="1"/>
  <c r="M306" i="1"/>
  <c r="N306" i="1" s="1"/>
  <c r="BD306" i="1" s="1"/>
  <c r="M307" i="1"/>
  <c r="N307" i="1" s="1"/>
  <c r="BD307" i="1" s="1"/>
  <c r="M308" i="1"/>
  <c r="N308" i="1" s="1"/>
  <c r="BD308" i="1" s="1"/>
  <c r="M309" i="1"/>
  <c r="N309" i="1" s="1"/>
  <c r="BD309" i="1" s="1"/>
  <c r="M310" i="1"/>
  <c r="N310" i="1" s="1"/>
  <c r="BD310" i="1" s="1"/>
  <c r="M311" i="1"/>
  <c r="N311" i="1" s="1"/>
  <c r="BD311" i="1" s="1"/>
  <c r="M312" i="1"/>
  <c r="N312" i="1" s="1"/>
  <c r="BD312" i="1" s="1"/>
  <c r="M313" i="1"/>
  <c r="N313" i="1" s="1"/>
  <c r="BD313" i="1" s="1"/>
  <c r="M314" i="1"/>
  <c r="N314" i="1" s="1"/>
  <c r="BD314" i="1" s="1"/>
  <c r="M315" i="1"/>
  <c r="N315" i="1" s="1"/>
  <c r="BD315" i="1" s="1"/>
  <c r="M316" i="1"/>
  <c r="N316" i="1" s="1"/>
  <c r="BD316" i="1" s="1"/>
  <c r="M317" i="1"/>
  <c r="N317" i="1" s="1"/>
  <c r="BD317" i="1" s="1"/>
  <c r="M318" i="1"/>
  <c r="N318" i="1" s="1"/>
  <c r="BD318" i="1" s="1"/>
  <c r="M319" i="1"/>
  <c r="N319" i="1" s="1"/>
  <c r="BD319" i="1" s="1"/>
  <c r="M320" i="1"/>
  <c r="N320" i="1" s="1"/>
  <c r="BD320" i="1" s="1"/>
  <c r="M321" i="1"/>
  <c r="N321" i="1" s="1"/>
  <c r="BD321" i="1" s="1"/>
  <c r="M322" i="1"/>
  <c r="N322" i="1" s="1"/>
  <c r="BD322" i="1" s="1"/>
  <c r="M323" i="1"/>
  <c r="N323" i="1" s="1"/>
  <c r="BD323" i="1" s="1"/>
  <c r="M324" i="1"/>
  <c r="N324" i="1" s="1"/>
  <c r="BD324" i="1" s="1"/>
  <c r="M325" i="1"/>
  <c r="N325" i="1" s="1"/>
  <c r="BD325" i="1" s="1"/>
  <c r="M326" i="1"/>
  <c r="N326" i="1" s="1"/>
  <c r="BD326" i="1" s="1"/>
  <c r="M327" i="1"/>
  <c r="N327" i="1" s="1"/>
  <c r="BD327" i="1" s="1"/>
  <c r="M328" i="1"/>
  <c r="N328" i="1" s="1"/>
  <c r="BD328" i="1" s="1"/>
  <c r="M329" i="1"/>
  <c r="N329" i="1" s="1"/>
  <c r="BD329" i="1" s="1"/>
  <c r="M330" i="1"/>
  <c r="N330" i="1" s="1"/>
  <c r="BD330" i="1" s="1"/>
  <c r="M331" i="1"/>
  <c r="N331" i="1" s="1"/>
  <c r="BD331" i="1" s="1"/>
  <c r="M332" i="1"/>
  <c r="N332" i="1" s="1"/>
  <c r="BD332" i="1" s="1"/>
  <c r="M333" i="1"/>
  <c r="N333" i="1" s="1"/>
  <c r="BD333" i="1" s="1"/>
  <c r="M334" i="1"/>
  <c r="N334" i="1" s="1"/>
  <c r="BD334" i="1" s="1"/>
  <c r="M335" i="1"/>
  <c r="N335" i="1" s="1"/>
  <c r="BD335" i="1" s="1"/>
  <c r="M336" i="1"/>
  <c r="N336" i="1" s="1"/>
  <c r="BD336" i="1" s="1"/>
  <c r="M337" i="1"/>
  <c r="N337" i="1" s="1"/>
  <c r="BD337" i="1" s="1"/>
  <c r="M338" i="1"/>
  <c r="N338" i="1" s="1"/>
  <c r="BD338" i="1" s="1"/>
  <c r="M339" i="1"/>
  <c r="N339" i="1" s="1"/>
  <c r="BD339" i="1" s="1"/>
  <c r="M340" i="1"/>
  <c r="N340" i="1" s="1"/>
  <c r="BD340" i="1" s="1"/>
  <c r="M341" i="1"/>
  <c r="N341" i="1" s="1"/>
  <c r="BD341" i="1" s="1"/>
  <c r="M342" i="1"/>
  <c r="N342" i="1" s="1"/>
  <c r="BD342" i="1" s="1"/>
  <c r="M343" i="1"/>
  <c r="N343" i="1" s="1"/>
  <c r="BD343" i="1" s="1"/>
  <c r="M344" i="1"/>
  <c r="N344" i="1" s="1"/>
  <c r="BD344" i="1" s="1"/>
  <c r="M345" i="1"/>
  <c r="N345" i="1" s="1"/>
  <c r="BD345" i="1" s="1"/>
  <c r="M346" i="1"/>
  <c r="N346" i="1" s="1"/>
  <c r="BD346" i="1" s="1"/>
  <c r="M347" i="1"/>
  <c r="N347" i="1" s="1"/>
  <c r="BD347" i="1" s="1"/>
  <c r="M348" i="1"/>
  <c r="N348" i="1" s="1"/>
  <c r="BD348" i="1" s="1"/>
  <c r="M349" i="1"/>
  <c r="N349" i="1" s="1"/>
  <c r="BD349" i="1" s="1"/>
  <c r="M350" i="1"/>
  <c r="N350" i="1" s="1"/>
  <c r="BD350" i="1" s="1"/>
  <c r="M351" i="1"/>
  <c r="N351" i="1" s="1"/>
  <c r="BD351" i="1" s="1"/>
  <c r="M352" i="1"/>
  <c r="N352" i="1" s="1"/>
  <c r="BD352" i="1" s="1"/>
  <c r="M353" i="1"/>
  <c r="N353" i="1" s="1"/>
  <c r="BD353" i="1" s="1"/>
  <c r="M354" i="1"/>
  <c r="N354" i="1" s="1"/>
  <c r="BD354" i="1" s="1"/>
  <c r="M355" i="1"/>
  <c r="N355" i="1" s="1"/>
  <c r="BD355" i="1" s="1"/>
  <c r="M356" i="1"/>
  <c r="N356" i="1" s="1"/>
  <c r="BD356" i="1" s="1"/>
  <c r="M357" i="1"/>
  <c r="N357" i="1" s="1"/>
  <c r="BD357" i="1" s="1"/>
  <c r="M358" i="1"/>
  <c r="N358" i="1" s="1"/>
  <c r="BD358" i="1" s="1"/>
  <c r="M359" i="1"/>
  <c r="N359" i="1" s="1"/>
  <c r="BD359" i="1" s="1"/>
  <c r="M360" i="1"/>
  <c r="N360" i="1" s="1"/>
  <c r="BD360" i="1" s="1"/>
  <c r="M361" i="1"/>
  <c r="N361" i="1" s="1"/>
  <c r="BD361" i="1" s="1"/>
  <c r="M362" i="1"/>
  <c r="N362" i="1" s="1"/>
  <c r="BD362" i="1" s="1"/>
  <c r="M363" i="1"/>
  <c r="N363" i="1" s="1"/>
  <c r="BD363" i="1" s="1"/>
  <c r="M364" i="1"/>
  <c r="N364" i="1" s="1"/>
  <c r="BD364" i="1" s="1"/>
  <c r="M365" i="1"/>
  <c r="N365" i="1" s="1"/>
  <c r="BD365" i="1" s="1"/>
  <c r="M366" i="1"/>
  <c r="N366" i="1" s="1"/>
  <c r="BD366" i="1" s="1"/>
  <c r="M367" i="1"/>
  <c r="N367" i="1" s="1"/>
  <c r="BD367" i="1" s="1"/>
  <c r="M368" i="1"/>
  <c r="N368" i="1" s="1"/>
  <c r="BD368" i="1" s="1"/>
  <c r="M369" i="1"/>
  <c r="N369" i="1" s="1"/>
  <c r="BD369" i="1" s="1"/>
  <c r="M370" i="1"/>
  <c r="N370" i="1" s="1"/>
  <c r="BD370" i="1" s="1"/>
  <c r="M371" i="1"/>
  <c r="N371" i="1" s="1"/>
  <c r="BD371" i="1" s="1"/>
  <c r="M372" i="1"/>
  <c r="N372" i="1" s="1"/>
  <c r="BD372" i="1" s="1"/>
  <c r="M373" i="1"/>
  <c r="N373" i="1" s="1"/>
  <c r="BD373" i="1" s="1"/>
  <c r="M374" i="1"/>
  <c r="N374" i="1" s="1"/>
  <c r="BD374" i="1" s="1"/>
  <c r="M375" i="1"/>
  <c r="N375" i="1" s="1"/>
  <c r="BD375" i="1" s="1"/>
  <c r="M376" i="1"/>
  <c r="N376" i="1" s="1"/>
  <c r="BD376" i="1" s="1"/>
  <c r="M377" i="1"/>
  <c r="N377" i="1" s="1"/>
  <c r="BD377" i="1" s="1"/>
  <c r="M378" i="1"/>
  <c r="N378" i="1" s="1"/>
  <c r="BD378" i="1" s="1"/>
  <c r="M379" i="1"/>
  <c r="N379" i="1" s="1"/>
  <c r="BD379" i="1" s="1"/>
  <c r="M380" i="1"/>
  <c r="N380" i="1" s="1"/>
  <c r="BD380" i="1" s="1"/>
  <c r="M381" i="1"/>
  <c r="N381" i="1" s="1"/>
  <c r="BD381" i="1" s="1"/>
  <c r="M382" i="1"/>
  <c r="N382" i="1" s="1"/>
  <c r="BD382" i="1" s="1"/>
  <c r="M383" i="1"/>
  <c r="N383" i="1" s="1"/>
  <c r="BD383" i="1" s="1"/>
  <c r="M384" i="1"/>
  <c r="N384" i="1" s="1"/>
  <c r="BD384" i="1" s="1"/>
  <c r="M385" i="1"/>
  <c r="N385" i="1" s="1"/>
  <c r="BD385" i="1" s="1"/>
  <c r="M386" i="1"/>
  <c r="N386" i="1" s="1"/>
  <c r="BD386" i="1" s="1"/>
  <c r="M387" i="1"/>
  <c r="N387" i="1" s="1"/>
  <c r="BD387" i="1" s="1"/>
  <c r="M388" i="1"/>
  <c r="N388" i="1" s="1"/>
  <c r="BD388" i="1" s="1"/>
  <c r="M389" i="1"/>
  <c r="N389" i="1" s="1"/>
  <c r="BD389" i="1" s="1"/>
  <c r="M390" i="1"/>
  <c r="N390" i="1" s="1"/>
  <c r="BD390" i="1" s="1"/>
  <c r="M391" i="1"/>
  <c r="N391" i="1" s="1"/>
  <c r="BD391" i="1" s="1"/>
  <c r="M392" i="1"/>
  <c r="N392" i="1" s="1"/>
  <c r="BD392" i="1" s="1"/>
  <c r="M393" i="1"/>
  <c r="N393" i="1" s="1"/>
  <c r="BD393" i="1" s="1"/>
  <c r="M394" i="1"/>
  <c r="N394" i="1" s="1"/>
  <c r="BD394" i="1" s="1"/>
  <c r="M395" i="1"/>
  <c r="N395" i="1" s="1"/>
  <c r="BD395" i="1" s="1"/>
  <c r="M396" i="1"/>
  <c r="N396" i="1" s="1"/>
  <c r="BD396" i="1" s="1"/>
  <c r="M397" i="1"/>
  <c r="N397" i="1" s="1"/>
  <c r="BD397" i="1" s="1"/>
  <c r="M398" i="1"/>
  <c r="N398" i="1" s="1"/>
  <c r="BD398" i="1" s="1"/>
  <c r="M399" i="1"/>
  <c r="N399" i="1" s="1"/>
  <c r="BD399" i="1" s="1"/>
  <c r="M400" i="1"/>
  <c r="N400" i="1" s="1"/>
  <c r="BD400" i="1" s="1"/>
  <c r="M401" i="1"/>
  <c r="N401" i="1" s="1"/>
  <c r="BD401" i="1" s="1"/>
  <c r="M402" i="1"/>
  <c r="N402" i="1" s="1"/>
  <c r="BD402" i="1" s="1"/>
  <c r="M403" i="1"/>
  <c r="N403" i="1" s="1"/>
  <c r="BD403" i="1" s="1"/>
  <c r="M404" i="1"/>
  <c r="N404" i="1" s="1"/>
  <c r="BD404" i="1" s="1"/>
  <c r="M405" i="1"/>
  <c r="N405" i="1" s="1"/>
  <c r="BD405" i="1" s="1"/>
  <c r="M406" i="1"/>
  <c r="N406" i="1" s="1"/>
  <c r="BD406" i="1" s="1"/>
  <c r="M407" i="1"/>
  <c r="N407" i="1" s="1"/>
  <c r="BD407" i="1" s="1"/>
  <c r="M408" i="1"/>
  <c r="N408" i="1" s="1"/>
  <c r="BD408" i="1" s="1"/>
  <c r="M409" i="1"/>
  <c r="N409" i="1" s="1"/>
  <c r="BD409" i="1" s="1"/>
  <c r="M410" i="1"/>
  <c r="N410" i="1" s="1"/>
  <c r="BD410" i="1" s="1"/>
  <c r="M411" i="1"/>
  <c r="N411" i="1" s="1"/>
  <c r="BD411" i="1" s="1"/>
  <c r="M412" i="1"/>
  <c r="N412" i="1" s="1"/>
  <c r="BD412" i="1" s="1"/>
  <c r="M413" i="1"/>
  <c r="N413" i="1" s="1"/>
  <c r="BD413" i="1" s="1"/>
  <c r="M414" i="1"/>
  <c r="N414" i="1" s="1"/>
  <c r="BD414" i="1" s="1"/>
  <c r="M415" i="1"/>
  <c r="N415" i="1" s="1"/>
  <c r="BD415" i="1" s="1"/>
  <c r="M416" i="1"/>
  <c r="N416" i="1" s="1"/>
  <c r="BD416" i="1" s="1"/>
  <c r="M417" i="1"/>
  <c r="N417" i="1" s="1"/>
  <c r="BD417" i="1" s="1"/>
  <c r="M418" i="1"/>
  <c r="N418" i="1" s="1"/>
  <c r="BD418" i="1" s="1"/>
  <c r="M419" i="1"/>
  <c r="N419" i="1" s="1"/>
  <c r="BD419" i="1" s="1"/>
  <c r="M420" i="1"/>
  <c r="N420" i="1" s="1"/>
  <c r="BD420" i="1" s="1"/>
  <c r="M421" i="1"/>
  <c r="N421" i="1" s="1"/>
  <c r="BD421" i="1" s="1"/>
  <c r="M422" i="1"/>
  <c r="N422" i="1" s="1"/>
  <c r="BD422" i="1" s="1"/>
  <c r="M423" i="1"/>
  <c r="N423" i="1" s="1"/>
  <c r="BD423" i="1" s="1"/>
  <c r="M424" i="1"/>
  <c r="N424" i="1" s="1"/>
  <c r="BD424" i="1" s="1"/>
  <c r="M425" i="1"/>
  <c r="N425" i="1" s="1"/>
  <c r="BD425" i="1" s="1"/>
  <c r="M426" i="1"/>
  <c r="N426" i="1" s="1"/>
  <c r="BD426" i="1" s="1"/>
  <c r="M427" i="1"/>
  <c r="N427" i="1" s="1"/>
  <c r="BD427" i="1" s="1"/>
  <c r="M428" i="1"/>
  <c r="N428" i="1" s="1"/>
  <c r="BD428" i="1" s="1"/>
  <c r="M429" i="1"/>
  <c r="N429" i="1" s="1"/>
  <c r="BD429" i="1" s="1"/>
  <c r="M430" i="1"/>
  <c r="N430" i="1" s="1"/>
  <c r="BD430" i="1" s="1"/>
  <c r="M431" i="1"/>
  <c r="N431" i="1" s="1"/>
  <c r="BD431" i="1" s="1"/>
  <c r="M432" i="1"/>
  <c r="N432" i="1" s="1"/>
  <c r="BD432" i="1" s="1"/>
  <c r="M433" i="1"/>
  <c r="N433" i="1" s="1"/>
  <c r="BD433" i="1" s="1"/>
  <c r="M434" i="1"/>
  <c r="N434" i="1" s="1"/>
  <c r="BD434" i="1" s="1"/>
  <c r="M435" i="1"/>
  <c r="N435" i="1" s="1"/>
  <c r="BD435" i="1" s="1"/>
  <c r="M436" i="1"/>
  <c r="N436" i="1" s="1"/>
  <c r="BD436" i="1" s="1"/>
  <c r="M437" i="1"/>
  <c r="N437" i="1" s="1"/>
  <c r="BD437" i="1" s="1"/>
  <c r="M438" i="1"/>
  <c r="N438" i="1" s="1"/>
  <c r="BD438" i="1" s="1"/>
  <c r="M439" i="1"/>
  <c r="N439" i="1" s="1"/>
  <c r="BD439" i="1" s="1"/>
  <c r="M440" i="1"/>
  <c r="N440" i="1" s="1"/>
  <c r="BD440" i="1" s="1"/>
  <c r="M441" i="1"/>
  <c r="N441" i="1" s="1"/>
  <c r="BD441" i="1" s="1"/>
  <c r="M442" i="1"/>
  <c r="N442" i="1" s="1"/>
  <c r="BD442" i="1" s="1"/>
  <c r="M443" i="1"/>
  <c r="N443" i="1" s="1"/>
  <c r="BD443" i="1" s="1"/>
  <c r="M444" i="1"/>
  <c r="N444" i="1" s="1"/>
  <c r="BD444" i="1" s="1"/>
  <c r="M445" i="1"/>
  <c r="N445" i="1" s="1"/>
  <c r="BD445" i="1" s="1"/>
  <c r="M446" i="1"/>
  <c r="N446" i="1" s="1"/>
  <c r="BD446" i="1" s="1"/>
  <c r="M447" i="1"/>
  <c r="N447" i="1" s="1"/>
  <c r="BD447" i="1" s="1"/>
  <c r="M448" i="1"/>
  <c r="N448" i="1" s="1"/>
  <c r="BD448" i="1" s="1"/>
  <c r="M449" i="1"/>
  <c r="N449" i="1" s="1"/>
  <c r="BD449" i="1" s="1"/>
  <c r="M450" i="1"/>
  <c r="N450" i="1" s="1"/>
  <c r="BD450" i="1" s="1"/>
  <c r="M451" i="1"/>
  <c r="N451" i="1" s="1"/>
  <c r="BD451" i="1" s="1"/>
  <c r="M452" i="1"/>
  <c r="N452" i="1" s="1"/>
  <c r="BD452" i="1" s="1"/>
  <c r="M453" i="1"/>
  <c r="N453" i="1" s="1"/>
  <c r="BD453" i="1" s="1"/>
  <c r="M454" i="1"/>
  <c r="N454" i="1" s="1"/>
  <c r="BD454" i="1" s="1"/>
  <c r="M455" i="1"/>
  <c r="N455" i="1" s="1"/>
  <c r="BD455" i="1" s="1"/>
  <c r="M456" i="1"/>
  <c r="N456" i="1" s="1"/>
  <c r="BD456" i="1" s="1"/>
  <c r="M457" i="1"/>
  <c r="N457" i="1" s="1"/>
  <c r="BD457" i="1" s="1"/>
  <c r="M458" i="1"/>
  <c r="N458" i="1" s="1"/>
  <c r="BD458" i="1" s="1"/>
  <c r="M459" i="1"/>
  <c r="N459" i="1" s="1"/>
  <c r="BD459" i="1" s="1"/>
  <c r="M460" i="1"/>
  <c r="N460" i="1" s="1"/>
  <c r="BD460" i="1" s="1"/>
  <c r="M461" i="1"/>
  <c r="N461" i="1" s="1"/>
  <c r="BD461" i="1" s="1"/>
  <c r="M462" i="1"/>
  <c r="N462" i="1" s="1"/>
  <c r="BD462" i="1" s="1"/>
  <c r="M463" i="1"/>
  <c r="N463" i="1" s="1"/>
  <c r="BD463" i="1" s="1"/>
  <c r="M464" i="1"/>
  <c r="N464" i="1" s="1"/>
  <c r="BD464" i="1" s="1"/>
  <c r="M465" i="1"/>
  <c r="N465" i="1" s="1"/>
  <c r="BD465" i="1" s="1"/>
  <c r="M466" i="1"/>
  <c r="N466" i="1" s="1"/>
  <c r="BD466" i="1" s="1"/>
  <c r="M467" i="1"/>
  <c r="N467" i="1" s="1"/>
  <c r="BD467" i="1" s="1"/>
  <c r="M468" i="1"/>
  <c r="N468" i="1" s="1"/>
  <c r="BD468" i="1" s="1"/>
  <c r="M469" i="1"/>
  <c r="N469" i="1" s="1"/>
  <c r="BD469" i="1" s="1"/>
  <c r="M470" i="1"/>
  <c r="N470" i="1" s="1"/>
  <c r="BD470" i="1" s="1"/>
  <c r="M471" i="1"/>
  <c r="N471" i="1" s="1"/>
  <c r="BD471" i="1" s="1"/>
  <c r="M472" i="1"/>
  <c r="N472" i="1" s="1"/>
  <c r="BD472" i="1" s="1"/>
  <c r="M473" i="1"/>
  <c r="N473" i="1" s="1"/>
  <c r="BD473" i="1" s="1"/>
  <c r="M474" i="1"/>
  <c r="N474" i="1" s="1"/>
  <c r="BD474" i="1" s="1"/>
  <c r="M475" i="1"/>
  <c r="N475" i="1" s="1"/>
  <c r="BD475" i="1" s="1"/>
  <c r="M476" i="1"/>
  <c r="N476" i="1" s="1"/>
  <c r="BD476" i="1" s="1"/>
  <c r="M477" i="1"/>
  <c r="N477" i="1" s="1"/>
  <c r="BD477" i="1" s="1"/>
  <c r="M478" i="1"/>
  <c r="N478" i="1" s="1"/>
  <c r="BD478" i="1" s="1"/>
  <c r="M479" i="1"/>
  <c r="N479" i="1" s="1"/>
  <c r="BD479" i="1" s="1"/>
  <c r="M480" i="1"/>
  <c r="N480" i="1" s="1"/>
  <c r="BD480" i="1" s="1"/>
  <c r="M481" i="1"/>
  <c r="N481" i="1" s="1"/>
  <c r="BD481" i="1" s="1"/>
  <c r="M482" i="1"/>
  <c r="N482" i="1" s="1"/>
  <c r="BD482" i="1" s="1"/>
  <c r="M483" i="1"/>
  <c r="N483" i="1" s="1"/>
  <c r="BD483" i="1" s="1"/>
  <c r="M484" i="1"/>
  <c r="N484" i="1" s="1"/>
  <c r="BD484" i="1" s="1"/>
  <c r="M485" i="1"/>
  <c r="N485" i="1" s="1"/>
  <c r="BD485" i="1" s="1"/>
  <c r="M486" i="1"/>
  <c r="N486" i="1" s="1"/>
  <c r="BD486" i="1" s="1"/>
  <c r="M487" i="1"/>
  <c r="N487" i="1" s="1"/>
  <c r="BD487" i="1" s="1"/>
  <c r="M488" i="1"/>
  <c r="N488" i="1" s="1"/>
  <c r="BD488" i="1" s="1"/>
  <c r="M489" i="1"/>
  <c r="N489" i="1" s="1"/>
  <c r="BD489" i="1" s="1"/>
  <c r="M490" i="1"/>
  <c r="N490" i="1" s="1"/>
  <c r="BD490" i="1" s="1"/>
  <c r="M491" i="1"/>
  <c r="N491" i="1" s="1"/>
  <c r="BD491" i="1" s="1"/>
  <c r="M492" i="1"/>
  <c r="N492" i="1" s="1"/>
  <c r="BD492" i="1" s="1"/>
  <c r="M493" i="1"/>
  <c r="N493" i="1" s="1"/>
  <c r="BD493" i="1" s="1"/>
  <c r="M494" i="1"/>
  <c r="N494" i="1" s="1"/>
  <c r="BD494" i="1" s="1"/>
  <c r="M495" i="1"/>
  <c r="N495" i="1" s="1"/>
  <c r="BD495" i="1" s="1"/>
  <c r="M496" i="1"/>
  <c r="N496" i="1" s="1"/>
  <c r="BD496" i="1" s="1"/>
  <c r="M497" i="1"/>
  <c r="N497" i="1" s="1"/>
  <c r="BD497" i="1" s="1"/>
  <c r="M498" i="1"/>
  <c r="N498" i="1" s="1"/>
  <c r="BD498" i="1" s="1"/>
  <c r="M499" i="1"/>
  <c r="N499" i="1" s="1"/>
  <c r="BD499" i="1" s="1"/>
  <c r="M500" i="1"/>
  <c r="N500" i="1" s="1"/>
  <c r="BD500" i="1" s="1"/>
  <c r="M501" i="1"/>
  <c r="N501" i="1" s="1"/>
  <c r="BD501" i="1" s="1"/>
  <c r="M502" i="1"/>
  <c r="N502" i="1" s="1"/>
  <c r="BD502" i="1" s="1"/>
  <c r="M503" i="1"/>
  <c r="N503" i="1" s="1"/>
  <c r="BD503" i="1" s="1"/>
  <c r="M504" i="1"/>
  <c r="N504" i="1" s="1"/>
  <c r="BD504" i="1" s="1"/>
  <c r="M505" i="1"/>
  <c r="N505" i="1" s="1"/>
  <c r="BD505" i="1" s="1"/>
  <c r="M506" i="1"/>
  <c r="N506" i="1" s="1"/>
  <c r="BD506" i="1" s="1"/>
  <c r="M507" i="1"/>
  <c r="N507" i="1" s="1"/>
  <c r="BD507" i="1" s="1"/>
  <c r="M508" i="1"/>
  <c r="N508" i="1" s="1"/>
  <c r="BD508" i="1" s="1"/>
  <c r="M509" i="1"/>
  <c r="N509" i="1" s="1"/>
  <c r="BD509" i="1" s="1"/>
  <c r="M510" i="1"/>
  <c r="N510" i="1" s="1"/>
  <c r="BD510" i="1" s="1"/>
  <c r="M511" i="1"/>
  <c r="N511" i="1" s="1"/>
  <c r="BD511" i="1" s="1"/>
  <c r="M512" i="1"/>
  <c r="N512" i="1" s="1"/>
  <c r="BD512" i="1" s="1"/>
  <c r="M513" i="1"/>
  <c r="N513" i="1" s="1"/>
  <c r="BD513" i="1" s="1"/>
  <c r="M514" i="1"/>
  <c r="N514" i="1" s="1"/>
  <c r="BD514" i="1" s="1"/>
  <c r="M515" i="1"/>
  <c r="N515" i="1" s="1"/>
  <c r="BD515" i="1" s="1"/>
  <c r="M516" i="1"/>
  <c r="N516" i="1" s="1"/>
  <c r="BD516" i="1" s="1"/>
  <c r="M517" i="1"/>
  <c r="N517" i="1" s="1"/>
  <c r="BD517" i="1" s="1"/>
  <c r="M518" i="1"/>
  <c r="N518" i="1" s="1"/>
  <c r="BD518" i="1" s="1"/>
  <c r="M519" i="1"/>
  <c r="N519" i="1" s="1"/>
  <c r="BD519" i="1" s="1"/>
  <c r="M520" i="1"/>
  <c r="N520" i="1" s="1"/>
  <c r="BD520" i="1" s="1"/>
  <c r="M521" i="1"/>
  <c r="N521" i="1" s="1"/>
  <c r="BD521" i="1" s="1"/>
  <c r="M522" i="1"/>
  <c r="N522" i="1" s="1"/>
  <c r="BD522" i="1" s="1"/>
  <c r="M523" i="1"/>
  <c r="N523" i="1" s="1"/>
  <c r="BD523" i="1" s="1"/>
  <c r="M524" i="1"/>
  <c r="N524" i="1" s="1"/>
  <c r="BD524" i="1" s="1"/>
  <c r="M525" i="1"/>
  <c r="N525" i="1" s="1"/>
  <c r="BD525" i="1" s="1"/>
  <c r="M526" i="1"/>
  <c r="N526" i="1" s="1"/>
  <c r="BD526" i="1" s="1"/>
  <c r="M527" i="1"/>
  <c r="N527" i="1" s="1"/>
  <c r="BD527" i="1" s="1"/>
  <c r="M528" i="1"/>
  <c r="N528" i="1" s="1"/>
  <c r="BD528" i="1" s="1"/>
  <c r="M529" i="1"/>
  <c r="N529" i="1" s="1"/>
  <c r="BD529" i="1" s="1"/>
  <c r="M530" i="1"/>
  <c r="N530" i="1" s="1"/>
  <c r="BD530" i="1" s="1"/>
  <c r="M531" i="1"/>
  <c r="N531" i="1" s="1"/>
  <c r="BD531" i="1" s="1"/>
  <c r="M532" i="1"/>
  <c r="N532" i="1" s="1"/>
  <c r="BD532" i="1" s="1"/>
  <c r="M533" i="1"/>
  <c r="N533" i="1" s="1"/>
  <c r="BD533" i="1" s="1"/>
  <c r="M534" i="1"/>
  <c r="N534" i="1" s="1"/>
  <c r="BD534" i="1" s="1"/>
  <c r="M535" i="1"/>
  <c r="N535" i="1" s="1"/>
  <c r="BD535" i="1" s="1"/>
  <c r="M536" i="1"/>
  <c r="N536" i="1" s="1"/>
  <c r="BD536" i="1" s="1"/>
  <c r="M537" i="1"/>
  <c r="N537" i="1" s="1"/>
  <c r="BD537" i="1" s="1"/>
  <c r="M538" i="1"/>
  <c r="N538" i="1" s="1"/>
  <c r="BD538" i="1" s="1"/>
  <c r="M539" i="1"/>
  <c r="N539" i="1" s="1"/>
  <c r="BD539" i="1" s="1"/>
  <c r="M540" i="1"/>
  <c r="N540" i="1" s="1"/>
  <c r="BD540" i="1" s="1"/>
  <c r="M541" i="1"/>
  <c r="N541" i="1" s="1"/>
  <c r="BD541" i="1" s="1"/>
  <c r="M542" i="1"/>
  <c r="N542" i="1" s="1"/>
  <c r="BD542" i="1" s="1"/>
  <c r="M543" i="1"/>
  <c r="N543" i="1" s="1"/>
  <c r="BD543" i="1" s="1"/>
  <c r="M544" i="1"/>
  <c r="N544" i="1" s="1"/>
  <c r="BD544" i="1" s="1"/>
  <c r="M545" i="1"/>
  <c r="N545" i="1" s="1"/>
  <c r="BD545" i="1" s="1"/>
  <c r="M546" i="1"/>
  <c r="N546" i="1" s="1"/>
  <c r="BD546" i="1" s="1"/>
  <c r="M547" i="1"/>
  <c r="N547" i="1" s="1"/>
  <c r="BD547" i="1" s="1"/>
  <c r="M548" i="1"/>
  <c r="N548" i="1" s="1"/>
  <c r="BD548" i="1" s="1"/>
  <c r="M549" i="1"/>
  <c r="N549" i="1" s="1"/>
  <c r="BD549" i="1" s="1"/>
  <c r="M550" i="1"/>
  <c r="N550" i="1" s="1"/>
  <c r="BD550" i="1" s="1"/>
  <c r="M551" i="1"/>
  <c r="N551" i="1" s="1"/>
  <c r="BD551" i="1" s="1"/>
  <c r="M552" i="1"/>
  <c r="N552" i="1" s="1"/>
  <c r="BD552" i="1" s="1"/>
  <c r="M553" i="1"/>
  <c r="N553" i="1" s="1"/>
  <c r="BD553" i="1" s="1"/>
  <c r="M554" i="1"/>
  <c r="N554" i="1" s="1"/>
  <c r="BD554" i="1" s="1"/>
  <c r="M555" i="1"/>
  <c r="N555" i="1" s="1"/>
  <c r="BD555" i="1" s="1"/>
  <c r="M556" i="1"/>
  <c r="N556" i="1" s="1"/>
  <c r="BD556" i="1" s="1"/>
  <c r="M557" i="1"/>
  <c r="N557" i="1" s="1"/>
  <c r="BD557" i="1" s="1"/>
  <c r="M558" i="1"/>
  <c r="N558" i="1" s="1"/>
  <c r="BD558" i="1" s="1"/>
  <c r="M559" i="1"/>
  <c r="N559" i="1" s="1"/>
  <c r="BD559" i="1" s="1"/>
  <c r="M560" i="1"/>
  <c r="N560" i="1" s="1"/>
  <c r="BD560" i="1" s="1"/>
  <c r="M561" i="1"/>
  <c r="N561" i="1" s="1"/>
  <c r="BD561" i="1" s="1"/>
  <c r="M562" i="1"/>
  <c r="N562" i="1" s="1"/>
  <c r="BD562" i="1" s="1"/>
  <c r="M563" i="1"/>
  <c r="N563" i="1" s="1"/>
  <c r="BD563" i="1" s="1"/>
  <c r="M564" i="1"/>
  <c r="N564" i="1" s="1"/>
  <c r="BD564" i="1" s="1"/>
  <c r="M565" i="1"/>
  <c r="N565" i="1" s="1"/>
  <c r="BD565" i="1" s="1"/>
  <c r="M566" i="1"/>
  <c r="N566" i="1" s="1"/>
  <c r="BD566" i="1" s="1"/>
  <c r="M567" i="1"/>
  <c r="N567" i="1" s="1"/>
  <c r="BD567" i="1" s="1"/>
  <c r="M568" i="1"/>
  <c r="N568" i="1" s="1"/>
  <c r="BD568" i="1" s="1"/>
  <c r="M569" i="1"/>
  <c r="N569" i="1" s="1"/>
  <c r="BD569" i="1" s="1"/>
  <c r="M570" i="1"/>
  <c r="N570" i="1" s="1"/>
  <c r="BD570" i="1" s="1"/>
  <c r="M571" i="1"/>
  <c r="N571" i="1" s="1"/>
  <c r="BD571" i="1" s="1"/>
  <c r="M572" i="1"/>
  <c r="N572" i="1" s="1"/>
  <c r="BD572" i="1" s="1"/>
  <c r="M573" i="1"/>
  <c r="N573" i="1" s="1"/>
  <c r="BD573" i="1" s="1"/>
  <c r="M574" i="1"/>
  <c r="N574" i="1" s="1"/>
  <c r="BD574" i="1" s="1"/>
  <c r="M575" i="1"/>
  <c r="N575" i="1" s="1"/>
  <c r="BD575" i="1" s="1"/>
  <c r="M576" i="1"/>
  <c r="N576" i="1" s="1"/>
  <c r="BD576" i="1" s="1"/>
  <c r="M577" i="1"/>
  <c r="N577" i="1" s="1"/>
  <c r="BD577" i="1" s="1"/>
  <c r="M578" i="1"/>
  <c r="N578" i="1" s="1"/>
  <c r="BD578" i="1" s="1"/>
  <c r="M579" i="1"/>
  <c r="N579" i="1" s="1"/>
  <c r="BD579" i="1" s="1"/>
  <c r="M580" i="1"/>
  <c r="N580" i="1" s="1"/>
  <c r="BD580" i="1" s="1"/>
  <c r="M581" i="1"/>
  <c r="N581" i="1" s="1"/>
  <c r="BD581" i="1" s="1"/>
  <c r="M582" i="1"/>
  <c r="N582" i="1" s="1"/>
  <c r="BD582" i="1" s="1"/>
  <c r="M583" i="1"/>
  <c r="N583" i="1" s="1"/>
  <c r="BD583" i="1" s="1"/>
  <c r="M584" i="1"/>
  <c r="N584" i="1" s="1"/>
  <c r="BD584" i="1" s="1"/>
  <c r="M585" i="1"/>
  <c r="N585" i="1" s="1"/>
  <c r="BD585" i="1" s="1"/>
  <c r="M586" i="1"/>
  <c r="N586" i="1" s="1"/>
  <c r="BD586" i="1" s="1"/>
  <c r="M587" i="1"/>
  <c r="N587" i="1" s="1"/>
  <c r="BD587" i="1" s="1"/>
  <c r="M588" i="1"/>
  <c r="N588" i="1" s="1"/>
  <c r="BD588" i="1" s="1"/>
  <c r="M589" i="1"/>
  <c r="N589" i="1" s="1"/>
  <c r="BD589" i="1" s="1"/>
  <c r="M590" i="1"/>
  <c r="N590" i="1" s="1"/>
  <c r="BD590" i="1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N10" i="1" l="1"/>
  <c r="BD10" i="1" s="1"/>
  <c r="M2" i="1"/>
  <c r="BD24" i="1"/>
  <c r="P24" i="1"/>
  <c r="P585" i="1"/>
  <c r="P577" i="1"/>
  <c r="P569" i="1"/>
  <c r="P561" i="1"/>
  <c r="P553" i="1"/>
  <c r="P545" i="1"/>
  <c r="P537" i="1"/>
  <c r="P529" i="1"/>
  <c r="P521" i="1"/>
  <c r="P513" i="1"/>
  <c r="P505" i="1"/>
  <c r="P497" i="1"/>
  <c r="P489" i="1"/>
  <c r="P481" i="1"/>
  <c r="P473" i="1"/>
  <c r="P465" i="1"/>
  <c r="P457" i="1"/>
  <c r="P449" i="1"/>
  <c r="P441" i="1"/>
  <c r="P433" i="1"/>
  <c r="P425" i="1"/>
  <c r="P417" i="1"/>
  <c r="P409" i="1"/>
  <c r="P401" i="1"/>
  <c r="P393" i="1"/>
  <c r="P385" i="1"/>
  <c r="P377" i="1"/>
  <c r="P369" i="1"/>
  <c r="P361" i="1"/>
  <c r="P353" i="1"/>
  <c r="P345" i="1"/>
  <c r="P337" i="1"/>
  <c r="P329" i="1"/>
  <c r="P321" i="1"/>
  <c r="P313" i="1"/>
  <c r="P305" i="1"/>
  <c r="P297" i="1"/>
  <c r="P289" i="1"/>
  <c r="P281" i="1"/>
  <c r="P273" i="1"/>
  <c r="P265" i="1"/>
  <c r="P257" i="1"/>
  <c r="P249" i="1"/>
  <c r="P241" i="1"/>
  <c r="P233" i="1"/>
  <c r="P225" i="1"/>
  <c r="P217" i="1"/>
  <c r="P209" i="1"/>
  <c r="P201" i="1"/>
  <c r="P193" i="1"/>
  <c r="P185" i="1"/>
  <c r="P177" i="1"/>
  <c r="P169" i="1"/>
  <c r="P161" i="1"/>
  <c r="P153" i="1"/>
  <c r="P145" i="1"/>
  <c r="P137" i="1"/>
  <c r="P129" i="1"/>
  <c r="P121" i="1"/>
  <c r="P113" i="1"/>
  <c r="P105" i="1"/>
  <c r="P97" i="1"/>
  <c r="P89" i="1"/>
  <c r="P82" i="1"/>
  <c r="P74" i="1"/>
  <c r="P66" i="1"/>
  <c r="P58" i="1"/>
  <c r="P50" i="1"/>
  <c r="P42" i="1"/>
  <c r="P34" i="1"/>
  <c r="P26" i="1"/>
  <c r="P18" i="1"/>
  <c r="P584" i="1"/>
  <c r="P576" i="1"/>
  <c r="P568" i="1"/>
  <c r="P560" i="1"/>
  <c r="P552" i="1"/>
  <c r="P544" i="1"/>
  <c r="P536" i="1"/>
  <c r="P528" i="1"/>
  <c r="P520" i="1"/>
  <c r="P512" i="1"/>
  <c r="P504" i="1"/>
  <c r="P496" i="1"/>
  <c r="P488" i="1"/>
  <c r="P480" i="1"/>
  <c r="P472" i="1"/>
  <c r="P464" i="1"/>
  <c r="P456" i="1"/>
  <c r="P448" i="1"/>
  <c r="P440" i="1"/>
  <c r="P432" i="1"/>
  <c r="P424" i="1"/>
  <c r="P416" i="1"/>
  <c r="P408" i="1"/>
  <c r="P400" i="1"/>
  <c r="P392" i="1"/>
  <c r="P384" i="1"/>
  <c r="P376" i="1"/>
  <c r="P368" i="1"/>
  <c r="P360" i="1"/>
  <c r="P352" i="1"/>
  <c r="P344" i="1"/>
  <c r="P336" i="1"/>
  <c r="P328" i="1"/>
  <c r="P320" i="1"/>
  <c r="P312" i="1"/>
  <c r="P304" i="1"/>
  <c r="P296" i="1"/>
  <c r="P288" i="1"/>
  <c r="P280" i="1"/>
  <c r="P272" i="1"/>
  <c r="P264" i="1"/>
  <c r="P256" i="1"/>
  <c r="P248" i="1"/>
  <c r="P240" i="1"/>
  <c r="P232" i="1"/>
  <c r="P224" i="1"/>
  <c r="P216" i="1"/>
  <c r="P208" i="1"/>
  <c r="P200" i="1"/>
  <c r="P192" i="1"/>
  <c r="P184" i="1"/>
  <c r="P176" i="1"/>
  <c r="P168" i="1"/>
  <c r="P160" i="1"/>
  <c r="P152" i="1"/>
  <c r="P144" i="1"/>
  <c r="P136" i="1"/>
  <c r="P128" i="1"/>
  <c r="P120" i="1"/>
  <c r="P112" i="1"/>
  <c r="P104" i="1"/>
  <c r="P96" i="1"/>
  <c r="P88" i="1"/>
  <c r="P81" i="1"/>
  <c r="P73" i="1"/>
  <c r="P65" i="1"/>
  <c r="P57" i="1"/>
  <c r="P49" i="1"/>
  <c r="P41" i="1"/>
  <c r="P33" i="1"/>
  <c r="P25" i="1"/>
  <c r="P17" i="1"/>
  <c r="P9" i="1"/>
  <c r="P583" i="1"/>
  <c r="P575" i="1"/>
  <c r="P567" i="1"/>
  <c r="P559" i="1"/>
  <c r="P551" i="1"/>
  <c r="P543" i="1"/>
  <c r="P535" i="1"/>
  <c r="P527" i="1"/>
  <c r="P519" i="1"/>
  <c r="P511" i="1"/>
  <c r="P503" i="1"/>
  <c r="P495" i="1"/>
  <c r="P487" i="1"/>
  <c r="P479" i="1"/>
  <c r="P471" i="1"/>
  <c r="P463" i="1"/>
  <c r="P455" i="1"/>
  <c r="P447" i="1"/>
  <c r="P439" i="1"/>
  <c r="P431" i="1"/>
  <c r="P423" i="1"/>
  <c r="P415" i="1"/>
  <c r="P407" i="1"/>
  <c r="P399" i="1"/>
  <c r="P391" i="1"/>
  <c r="P383" i="1"/>
  <c r="P375" i="1"/>
  <c r="P367" i="1"/>
  <c r="P359" i="1"/>
  <c r="P351" i="1"/>
  <c r="P343" i="1"/>
  <c r="P335" i="1"/>
  <c r="P327" i="1"/>
  <c r="P319" i="1"/>
  <c r="P311" i="1"/>
  <c r="P303" i="1"/>
  <c r="P295" i="1"/>
  <c r="P287" i="1"/>
  <c r="P279" i="1"/>
  <c r="P271" i="1"/>
  <c r="P263" i="1"/>
  <c r="P255" i="1"/>
  <c r="P247" i="1"/>
  <c r="P239" i="1"/>
  <c r="P231" i="1"/>
  <c r="P223" i="1"/>
  <c r="P215" i="1"/>
  <c r="P207" i="1"/>
  <c r="P199" i="1"/>
  <c r="P191" i="1"/>
  <c r="P183" i="1"/>
  <c r="P175" i="1"/>
  <c r="P167" i="1"/>
  <c r="P159" i="1"/>
  <c r="P151" i="1"/>
  <c r="P143" i="1"/>
  <c r="P135" i="1"/>
  <c r="P127" i="1"/>
  <c r="P119" i="1"/>
  <c r="P111" i="1"/>
  <c r="P103" i="1"/>
  <c r="P95" i="1"/>
  <c r="P87" i="1"/>
  <c r="P80" i="1"/>
  <c r="P72" i="1"/>
  <c r="P64" i="1"/>
  <c r="P56" i="1"/>
  <c r="P48" i="1"/>
  <c r="P40" i="1"/>
  <c r="P32" i="1"/>
  <c r="P16" i="1"/>
  <c r="P8" i="1"/>
  <c r="P590" i="1"/>
  <c r="P582" i="1"/>
  <c r="P574" i="1"/>
  <c r="P566" i="1"/>
  <c r="P558" i="1"/>
  <c r="P550" i="1"/>
  <c r="P542" i="1"/>
  <c r="P534" i="1"/>
  <c r="P526" i="1"/>
  <c r="P518" i="1"/>
  <c r="P510" i="1"/>
  <c r="P502" i="1"/>
  <c r="P494" i="1"/>
  <c r="P486" i="1"/>
  <c r="P478" i="1"/>
  <c r="P470" i="1"/>
  <c r="P462" i="1"/>
  <c r="P454" i="1"/>
  <c r="P446" i="1"/>
  <c r="P438" i="1"/>
  <c r="P430" i="1"/>
  <c r="P422" i="1"/>
  <c r="P414" i="1"/>
  <c r="P406" i="1"/>
  <c r="P398" i="1"/>
  <c r="P390" i="1"/>
  <c r="P382" i="1"/>
  <c r="P374" i="1"/>
  <c r="P366" i="1"/>
  <c r="P358" i="1"/>
  <c r="P350" i="1"/>
  <c r="P342" i="1"/>
  <c r="P334" i="1"/>
  <c r="P326" i="1"/>
  <c r="P318" i="1"/>
  <c r="P310" i="1"/>
  <c r="P302" i="1"/>
  <c r="P294" i="1"/>
  <c r="P286" i="1"/>
  <c r="P278" i="1"/>
  <c r="P270" i="1"/>
  <c r="P262" i="1"/>
  <c r="P254" i="1"/>
  <c r="P246" i="1"/>
  <c r="P238" i="1"/>
  <c r="P230" i="1"/>
  <c r="P222" i="1"/>
  <c r="P214" i="1"/>
  <c r="P206" i="1"/>
  <c r="P198" i="1"/>
  <c r="P190" i="1"/>
  <c r="P182" i="1"/>
  <c r="P174" i="1"/>
  <c r="P166" i="1"/>
  <c r="P158" i="1"/>
  <c r="P150" i="1"/>
  <c r="P142" i="1"/>
  <c r="P134" i="1"/>
  <c r="P126" i="1"/>
  <c r="P118" i="1"/>
  <c r="P110" i="1"/>
  <c r="P102" i="1"/>
  <c r="P94" i="1"/>
  <c r="P86" i="1"/>
  <c r="P79" i="1"/>
  <c r="P71" i="1"/>
  <c r="P63" i="1"/>
  <c r="P55" i="1"/>
  <c r="P47" i="1"/>
  <c r="P39" i="1"/>
  <c r="P31" i="1"/>
  <c r="P23" i="1"/>
  <c r="P15" i="1"/>
  <c r="P7" i="1"/>
  <c r="P589" i="1"/>
  <c r="P581" i="1"/>
  <c r="P573" i="1"/>
  <c r="P565" i="1"/>
  <c r="P557" i="1"/>
  <c r="P549" i="1"/>
  <c r="P541" i="1"/>
  <c r="P533" i="1"/>
  <c r="P525" i="1"/>
  <c r="P517" i="1"/>
  <c r="P509" i="1"/>
  <c r="P501" i="1"/>
  <c r="P493" i="1"/>
  <c r="P485" i="1"/>
  <c r="P477" i="1"/>
  <c r="P469" i="1"/>
  <c r="P461" i="1"/>
  <c r="P453" i="1"/>
  <c r="P445" i="1"/>
  <c r="P437" i="1"/>
  <c r="P429" i="1"/>
  <c r="P421" i="1"/>
  <c r="P413" i="1"/>
  <c r="P405" i="1"/>
  <c r="P397" i="1"/>
  <c r="P389" i="1"/>
  <c r="P381" i="1"/>
  <c r="P373" i="1"/>
  <c r="P365" i="1"/>
  <c r="P357" i="1"/>
  <c r="P349" i="1"/>
  <c r="P341" i="1"/>
  <c r="P333" i="1"/>
  <c r="P325" i="1"/>
  <c r="P317" i="1"/>
  <c r="P309" i="1"/>
  <c r="P301" i="1"/>
  <c r="P293" i="1"/>
  <c r="P285" i="1"/>
  <c r="P277" i="1"/>
  <c r="P269" i="1"/>
  <c r="P261" i="1"/>
  <c r="P253" i="1"/>
  <c r="P245" i="1"/>
  <c r="P237" i="1"/>
  <c r="P229" i="1"/>
  <c r="P221" i="1"/>
  <c r="P213" i="1"/>
  <c r="P205" i="1"/>
  <c r="P197" i="1"/>
  <c r="P189" i="1"/>
  <c r="P181" i="1"/>
  <c r="P173" i="1"/>
  <c r="P165" i="1"/>
  <c r="P157" i="1"/>
  <c r="P149" i="1"/>
  <c r="P141" i="1"/>
  <c r="P133" i="1"/>
  <c r="P125" i="1"/>
  <c r="P117" i="1"/>
  <c r="P109" i="1"/>
  <c r="P101" i="1"/>
  <c r="P93" i="1"/>
  <c r="P78" i="1"/>
  <c r="P70" i="1"/>
  <c r="P62" i="1"/>
  <c r="P54" i="1"/>
  <c r="P46" i="1"/>
  <c r="P38" i="1"/>
  <c r="P30" i="1"/>
  <c r="P22" i="1"/>
  <c r="P14" i="1"/>
  <c r="P6" i="1"/>
  <c r="P588" i="1"/>
  <c r="P580" i="1"/>
  <c r="P572" i="1"/>
  <c r="P564" i="1"/>
  <c r="P556" i="1"/>
  <c r="P548" i="1"/>
  <c r="P540" i="1"/>
  <c r="P532" i="1"/>
  <c r="P524" i="1"/>
  <c r="P516" i="1"/>
  <c r="P508" i="1"/>
  <c r="P500" i="1"/>
  <c r="P492" i="1"/>
  <c r="P484" i="1"/>
  <c r="P476" i="1"/>
  <c r="P468" i="1"/>
  <c r="P460" i="1"/>
  <c r="P452" i="1"/>
  <c r="P444" i="1"/>
  <c r="P436" i="1"/>
  <c r="P428" i="1"/>
  <c r="P420" i="1"/>
  <c r="P412" i="1"/>
  <c r="P404" i="1"/>
  <c r="P396" i="1"/>
  <c r="P388" i="1"/>
  <c r="P380" i="1"/>
  <c r="P372" i="1"/>
  <c r="P364" i="1"/>
  <c r="P356" i="1"/>
  <c r="P348" i="1"/>
  <c r="P340" i="1"/>
  <c r="P332" i="1"/>
  <c r="P324" i="1"/>
  <c r="P316" i="1"/>
  <c r="P308" i="1"/>
  <c r="P300" i="1"/>
  <c r="P292" i="1"/>
  <c r="P284" i="1"/>
  <c r="P276" i="1"/>
  <c r="P268" i="1"/>
  <c r="P260" i="1"/>
  <c r="P252" i="1"/>
  <c r="P244" i="1"/>
  <c r="P236" i="1"/>
  <c r="P228" i="1"/>
  <c r="P220" i="1"/>
  <c r="P212" i="1"/>
  <c r="P204" i="1"/>
  <c r="P196" i="1"/>
  <c r="P188" i="1"/>
  <c r="P180" i="1"/>
  <c r="P172" i="1"/>
  <c r="P164" i="1"/>
  <c r="P156" i="1"/>
  <c r="P148" i="1"/>
  <c r="P140" i="1"/>
  <c r="P132" i="1"/>
  <c r="P124" i="1"/>
  <c r="P116" i="1"/>
  <c r="P108" i="1"/>
  <c r="P100" i="1"/>
  <c r="P92" i="1"/>
  <c r="P85" i="1"/>
  <c r="P77" i="1"/>
  <c r="P69" i="1"/>
  <c r="P61" i="1"/>
  <c r="P53" i="1"/>
  <c r="P45" i="1"/>
  <c r="P37" i="1"/>
  <c r="P29" i="1"/>
  <c r="P21" i="1"/>
  <c r="P13" i="1"/>
  <c r="P5" i="1"/>
  <c r="P587" i="1"/>
  <c r="P579" i="1"/>
  <c r="P571" i="1"/>
  <c r="P563" i="1"/>
  <c r="P555" i="1"/>
  <c r="P547" i="1"/>
  <c r="P539" i="1"/>
  <c r="P531" i="1"/>
  <c r="P523" i="1"/>
  <c r="P515" i="1"/>
  <c r="P507" i="1"/>
  <c r="P499" i="1"/>
  <c r="P491" i="1"/>
  <c r="P483" i="1"/>
  <c r="P475" i="1"/>
  <c r="P467" i="1"/>
  <c r="P459" i="1"/>
  <c r="P451" i="1"/>
  <c r="P443" i="1"/>
  <c r="P435" i="1"/>
  <c r="P427" i="1"/>
  <c r="P419" i="1"/>
  <c r="P411" i="1"/>
  <c r="P403" i="1"/>
  <c r="P395" i="1"/>
  <c r="P387" i="1"/>
  <c r="P379" i="1"/>
  <c r="P371" i="1"/>
  <c r="P363" i="1"/>
  <c r="P355" i="1"/>
  <c r="P347" i="1"/>
  <c r="P339" i="1"/>
  <c r="P331" i="1"/>
  <c r="P323" i="1"/>
  <c r="P315" i="1"/>
  <c r="P307" i="1"/>
  <c r="P299" i="1"/>
  <c r="P291" i="1"/>
  <c r="P283" i="1"/>
  <c r="P275" i="1"/>
  <c r="P267" i="1"/>
  <c r="P259" i="1"/>
  <c r="P251" i="1"/>
  <c r="P243" i="1"/>
  <c r="P235" i="1"/>
  <c r="P227" i="1"/>
  <c r="P219" i="1"/>
  <c r="P211" i="1"/>
  <c r="P203" i="1"/>
  <c r="P195" i="1"/>
  <c r="P187" i="1"/>
  <c r="P179" i="1"/>
  <c r="P171" i="1"/>
  <c r="P163" i="1"/>
  <c r="P155" i="1"/>
  <c r="P147" i="1"/>
  <c r="P139" i="1"/>
  <c r="P131" i="1"/>
  <c r="P123" i="1"/>
  <c r="P115" i="1"/>
  <c r="P107" i="1"/>
  <c r="P99" i="1"/>
  <c r="P91" i="1"/>
  <c r="P84" i="1"/>
  <c r="P76" i="1"/>
  <c r="P68" i="1"/>
  <c r="P60" i="1"/>
  <c r="P52" i="1"/>
  <c r="P44" i="1"/>
  <c r="P36" i="1"/>
  <c r="P28" i="1"/>
  <c r="P20" i="1"/>
  <c r="P12" i="1"/>
  <c r="P586" i="1"/>
  <c r="P578" i="1"/>
  <c r="P570" i="1"/>
  <c r="P562" i="1"/>
  <c r="P554" i="1"/>
  <c r="P546" i="1"/>
  <c r="P538" i="1"/>
  <c r="P530" i="1"/>
  <c r="P522" i="1"/>
  <c r="P514" i="1"/>
  <c r="P506" i="1"/>
  <c r="P498" i="1"/>
  <c r="P490" i="1"/>
  <c r="P482" i="1"/>
  <c r="P474" i="1"/>
  <c r="P466" i="1"/>
  <c r="P458" i="1"/>
  <c r="P450" i="1"/>
  <c r="P442" i="1"/>
  <c r="P434" i="1"/>
  <c r="P426" i="1"/>
  <c r="P418" i="1"/>
  <c r="P410" i="1"/>
  <c r="P402" i="1"/>
  <c r="P394" i="1"/>
  <c r="P386" i="1"/>
  <c r="P378" i="1"/>
  <c r="P370" i="1"/>
  <c r="P362" i="1"/>
  <c r="P354" i="1"/>
  <c r="P346" i="1"/>
  <c r="P338" i="1"/>
  <c r="P330" i="1"/>
  <c r="P322" i="1"/>
  <c r="P314" i="1"/>
  <c r="P306" i="1"/>
  <c r="P298" i="1"/>
  <c r="P290" i="1"/>
  <c r="P282" i="1"/>
  <c r="P274" i="1"/>
  <c r="P266" i="1"/>
  <c r="P258" i="1"/>
  <c r="P250" i="1"/>
  <c r="P242" i="1"/>
  <c r="P234" i="1"/>
  <c r="P226" i="1"/>
  <c r="P218" i="1"/>
  <c r="P210" i="1"/>
  <c r="P202" i="1"/>
  <c r="P194" i="1"/>
  <c r="P186" i="1"/>
  <c r="P178" i="1"/>
  <c r="P170" i="1"/>
  <c r="P162" i="1"/>
  <c r="P154" i="1"/>
  <c r="P146" i="1"/>
  <c r="P138" i="1"/>
  <c r="P130" i="1"/>
  <c r="P122" i="1"/>
  <c r="P114" i="1"/>
  <c r="P106" i="1"/>
  <c r="P98" i="1"/>
  <c r="P90" i="1"/>
  <c r="P83" i="1"/>
  <c r="P75" i="1"/>
  <c r="P67" i="1"/>
  <c r="P59" i="1"/>
  <c r="P51" i="1"/>
  <c r="P43" i="1"/>
  <c r="P35" i="1"/>
  <c r="P27" i="1"/>
  <c r="P19" i="1"/>
  <c r="P11" i="1"/>
  <c r="N4" i="1"/>
  <c r="M1" i="1"/>
  <c r="N2" i="1" l="1"/>
  <c r="P10" i="1"/>
  <c r="N1" i="1"/>
  <c r="P4" i="1"/>
  <c r="P4" i="2"/>
  <c r="P1" i="1" l="1"/>
  <c r="BF581" i="1"/>
  <c r="BF582" i="1"/>
  <c r="BF583" i="1"/>
  <c r="BF584" i="1"/>
  <c r="BF585" i="1"/>
  <c r="BF586" i="1"/>
  <c r="BF587" i="1"/>
  <c r="BF588" i="1"/>
  <c r="BF589" i="1"/>
  <c r="BF590" i="1"/>
  <c r="AH2" i="1"/>
  <c r="W5" i="2"/>
  <c r="AI2" i="1"/>
  <c r="U584" i="1" l="1"/>
  <c r="U589" i="1"/>
  <c r="U582" i="1"/>
  <c r="U581" i="1"/>
  <c r="U583" i="1"/>
  <c r="U590" i="1"/>
  <c r="U586" i="1"/>
  <c r="U588" i="1"/>
  <c r="U587" i="1"/>
  <c r="U585" i="1"/>
  <c r="U502" i="1"/>
  <c r="G231" i="5"/>
  <c r="I233" i="5"/>
  <c r="H231" i="5"/>
  <c r="J233" i="5"/>
  <c r="E231" i="5"/>
  <c r="F231" i="5"/>
  <c r="U444" i="1" l="1"/>
  <c r="U445" i="1"/>
  <c r="U446" i="1"/>
  <c r="U447" i="1"/>
  <c r="U448" i="1"/>
  <c r="U449" i="1"/>
  <c r="U450" i="1"/>
  <c r="O485" i="6" l="1"/>
  <c r="O486" i="6" s="1"/>
  <c r="AJ2" i="1" l="1"/>
  <c r="BF580" i="1"/>
  <c r="W6" i="2"/>
  <c r="U580" i="1" l="1"/>
  <c r="AM2" i="1"/>
  <c r="AA17" i="2" l="1"/>
  <c r="X17" i="2"/>
  <c r="U17" i="2"/>
  <c r="V17" i="2"/>
  <c r="Z17" i="2"/>
  <c r="Y17" i="2"/>
  <c r="W17" i="2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U452" i="1" l="1"/>
  <c r="U456" i="1"/>
  <c r="U460" i="1"/>
  <c r="U488" i="1"/>
  <c r="U504" i="1"/>
  <c r="U520" i="1"/>
  <c r="U536" i="1"/>
  <c r="U275" i="1"/>
  <c r="U279" i="1"/>
  <c r="U282" i="1"/>
  <c r="U286" i="1"/>
  <c r="U290" i="1"/>
  <c r="U350" i="1"/>
  <c r="U416" i="1"/>
  <c r="U424" i="1"/>
  <c r="U432" i="1"/>
  <c r="U436" i="1"/>
  <c r="U464" i="1"/>
  <c r="U294" i="1"/>
  <c r="U321" i="1"/>
  <c r="U325" i="1"/>
  <c r="U329" i="1"/>
  <c r="U333" i="1"/>
  <c r="U337" i="1"/>
  <c r="U341" i="1"/>
  <c r="U345" i="1"/>
  <c r="U349" i="1"/>
  <c r="U353" i="1"/>
  <c r="U385" i="1"/>
  <c r="U389" i="1"/>
  <c r="U330" i="1"/>
  <c r="U334" i="1"/>
  <c r="U338" i="1"/>
  <c r="U342" i="1"/>
  <c r="U346" i="1"/>
  <c r="U548" i="1"/>
  <c r="U568" i="1"/>
  <c r="U572" i="1"/>
  <c r="U217" i="1"/>
  <c r="U225" i="1"/>
  <c r="U233" i="1"/>
  <c r="U322" i="1"/>
  <c r="U326" i="1"/>
  <c r="U218" i="1"/>
  <c r="U222" i="1"/>
  <c r="U230" i="1"/>
  <c r="U234" i="1"/>
  <c r="U238" i="1"/>
  <c r="U242" i="1"/>
  <c r="U7" i="1"/>
  <c r="U49" i="1"/>
  <c r="U61" i="1"/>
  <c r="U65" i="1"/>
  <c r="U136" i="1"/>
  <c r="U140" i="1"/>
  <c r="U148" i="1"/>
  <c r="U152" i="1"/>
  <c r="U156" i="1"/>
  <c r="U164" i="1"/>
  <c r="U53" i="1"/>
  <c r="U277" i="1"/>
  <c r="U284" i="1"/>
  <c r="U296" i="1"/>
  <c r="U300" i="1"/>
  <c r="U308" i="1"/>
  <c r="U312" i="1"/>
  <c r="U316" i="1"/>
  <c r="U320" i="1"/>
  <c r="U487" i="1"/>
  <c r="U5" i="1"/>
  <c r="U57" i="1"/>
  <c r="U220" i="1"/>
  <c r="U228" i="1"/>
  <c r="U10" i="1"/>
  <c r="U46" i="1"/>
  <c r="U74" i="1"/>
  <c r="U78" i="1"/>
  <c r="U82" i="1"/>
  <c r="U185" i="1"/>
  <c r="U276" i="1"/>
  <c r="U283" i="1"/>
  <c r="U291" i="1"/>
  <c r="U9" i="1"/>
  <c r="U48" i="1"/>
  <c r="U52" i="1"/>
  <c r="U64" i="1"/>
  <c r="U72" i="1"/>
  <c r="U80" i="1"/>
  <c r="U87" i="1"/>
  <c r="U91" i="1"/>
  <c r="U95" i="1"/>
  <c r="U103" i="1"/>
  <c r="U107" i="1"/>
  <c r="U111" i="1"/>
  <c r="U119" i="1"/>
  <c r="U123" i="1"/>
  <c r="U127" i="1"/>
  <c r="U246" i="1"/>
  <c r="U254" i="1"/>
  <c r="U258" i="1"/>
  <c r="U262" i="1"/>
  <c r="U266" i="1"/>
  <c r="U270" i="1"/>
  <c r="U274" i="1"/>
  <c r="U380" i="1"/>
  <c r="U384" i="1"/>
  <c r="U393" i="1"/>
  <c r="U397" i="1"/>
  <c r="U401" i="1"/>
  <c r="U97" i="1"/>
  <c r="U101" i="1"/>
  <c r="U113" i="1"/>
  <c r="U117" i="1"/>
  <c r="U129" i="1"/>
  <c r="U133" i="1"/>
  <c r="U145" i="1"/>
  <c r="U149" i="1"/>
  <c r="U241" i="1"/>
  <c r="U299" i="1"/>
  <c r="U303" i="1"/>
  <c r="U323" i="1"/>
  <c r="U327" i="1"/>
  <c r="U355" i="1"/>
  <c r="U359" i="1"/>
  <c r="U363" i="1"/>
  <c r="U367" i="1"/>
  <c r="U371" i="1"/>
  <c r="U375" i="1"/>
  <c r="U8" i="1"/>
  <c r="U12" i="1"/>
  <c r="U186" i="1"/>
  <c r="U190" i="1"/>
  <c r="U194" i="1"/>
  <c r="U198" i="1"/>
  <c r="U202" i="1"/>
  <c r="U206" i="1"/>
  <c r="U210" i="1"/>
  <c r="U214" i="1"/>
  <c r="U245" i="1"/>
  <c r="U249" i="1"/>
  <c r="U253" i="1"/>
  <c r="U261" i="1"/>
  <c r="U265" i="1"/>
  <c r="U269" i="1"/>
  <c r="U273" i="1"/>
  <c r="U409" i="1"/>
  <c r="U421" i="1"/>
  <c r="U425" i="1"/>
  <c r="U433" i="1"/>
  <c r="U453" i="1"/>
  <c r="U457" i="1"/>
  <c r="U473" i="1"/>
  <c r="U489" i="1"/>
  <c r="U497" i="1"/>
  <c r="U521" i="1"/>
  <c r="U533" i="1"/>
  <c r="U537" i="1"/>
  <c r="U545" i="1"/>
  <c r="U549" i="1"/>
  <c r="U553" i="1"/>
  <c r="U561" i="1"/>
  <c r="U569" i="1"/>
  <c r="U315" i="1"/>
  <c r="U319" i="1"/>
  <c r="U407" i="1"/>
  <c r="U411" i="1"/>
  <c r="U427" i="1"/>
  <c r="U435" i="1"/>
  <c r="U443" i="1"/>
  <c r="U499" i="1"/>
  <c r="U503" i="1"/>
  <c r="U507" i="1"/>
  <c r="U511" i="1"/>
  <c r="U515" i="1"/>
  <c r="U519" i="1"/>
  <c r="U527" i="1"/>
  <c r="U531" i="1"/>
  <c r="U535" i="1"/>
  <c r="U539" i="1"/>
  <c r="U543" i="1"/>
  <c r="U547" i="1"/>
  <c r="U551" i="1"/>
  <c r="U555" i="1"/>
  <c r="U559" i="1"/>
  <c r="U567" i="1"/>
  <c r="U575" i="1"/>
  <c r="U579" i="1"/>
  <c r="U38" i="1"/>
  <c r="U180" i="1"/>
  <c r="U188" i="1"/>
  <c r="U219" i="1"/>
  <c r="U223" i="1"/>
  <c r="U227" i="1"/>
  <c r="U231" i="1"/>
  <c r="U235" i="1"/>
  <c r="U239" i="1"/>
  <c r="U278" i="1"/>
  <c r="U285" i="1"/>
  <c r="U289" i="1"/>
  <c r="U293" i="1"/>
  <c r="U324" i="1"/>
  <c r="U328" i="1"/>
  <c r="U332" i="1"/>
  <c r="U336" i="1"/>
  <c r="U340" i="1"/>
  <c r="U344" i="1"/>
  <c r="U348" i="1"/>
  <c r="U352" i="1"/>
  <c r="U379" i="1"/>
  <c r="U383" i="1"/>
  <c r="U387" i="1"/>
  <c r="U391" i="1"/>
  <c r="U399" i="1"/>
  <c r="U403" i="1"/>
  <c r="U161" i="1"/>
  <c r="U177" i="1"/>
  <c r="U196" i="1"/>
  <c r="U204" i="1"/>
  <c r="U212" i="1"/>
  <c r="U243" i="1"/>
  <c r="U247" i="1"/>
  <c r="U251" i="1"/>
  <c r="U255" i="1"/>
  <c r="U259" i="1"/>
  <c r="U263" i="1"/>
  <c r="U267" i="1"/>
  <c r="U271" i="1"/>
  <c r="U297" i="1"/>
  <c r="U301" i="1"/>
  <c r="U317" i="1"/>
  <c r="U356" i="1"/>
  <c r="U360" i="1"/>
  <c r="U364" i="1"/>
  <c r="U368" i="1"/>
  <c r="U372" i="1"/>
  <c r="U376" i="1"/>
  <c r="U392" i="1"/>
  <c r="U396" i="1"/>
  <c r="U400" i="1"/>
  <c r="U6" i="1"/>
  <c r="U13" i="1"/>
  <c r="U51" i="1"/>
  <c r="U55" i="1"/>
  <c r="U59" i="1"/>
  <c r="U67" i="1"/>
  <c r="U75" i="1"/>
  <c r="U83" i="1"/>
  <c r="U86" i="1"/>
  <c r="U94" i="1"/>
  <c r="U98" i="1"/>
  <c r="U102" i="1"/>
  <c r="U110" i="1"/>
  <c r="U114" i="1"/>
  <c r="U118" i="1"/>
  <c r="U126" i="1"/>
  <c r="U130" i="1"/>
  <c r="U134" i="1"/>
  <c r="U142" i="1"/>
  <c r="U146" i="1"/>
  <c r="U150" i="1"/>
  <c r="U158" i="1"/>
  <c r="U166" i="1"/>
  <c r="U174" i="1"/>
  <c r="U178" i="1"/>
  <c r="U193" i="1"/>
  <c r="U201" i="1"/>
  <c r="U244" i="1"/>
  <c r="U252" i="1"/>
  <c r="U260" i="1"/>
  <c r="U268" i="1"/>
  <c r="U298" i="1"/>
  <c r="U302" i="1"/>
  <c r="U306" i="1"/>
  <c r="U310" i="1"/>
  <c r="U357" i="1"/>
  <c r="U361" i="1"/>
  <c r="U365" i="1"/>
  <c r="U369" i="1"/>
  <c r="U373" i="1"/>
  <c r="U410" i="1"/>
  <c r="U418" i="1"/>
  <c r="U422" i="1"/>
  <c r="U426" i="1"/>
  <c r="U430" i="1"/>
  <c r="U438" i="1"/>
  <c r="U442" i="1"/>
  <c r="U454" i="1"/>
  <c r="U462" i="1"/>
  <c r="U466" i="1"/>
  <c r="U470" i="1"/>
  <c r="U474" i="1"/>
  <c r="U478" i="1"/>
  <c r="U486" i="1"/>
  <c r="U490" i="1"/>
  <c r="U506" i="1"/>
  <c r="U510" i="1"/>
  <c r="U518" i="1"/>
  <c r="U522" i="1"/>
  <c r="U526" i="1"/>
  <c r="U538" i="1"/>
  <c r="U562" i="1"/>
  <c r="U566" i="1"/>
  <c r="U570" i="1"/>
  <c r="U574" i="1"/>
  <c r="U56" i="1"/>
  <c r="U47" i="1"/>
  <c r="U45" i="1"/>
  <c r="U39" i="1"/>
  <c r="U40" i="1"/>
  <c r="U42" i="1"/>
  <c r="U43" i="1"/>
  <c r="U41" i="1"/>
  <c r="U37" i="1"/>
  <c r="U44" i="1"/>
  <c r="U35" i="1"/>
  <c r="U495" i="1"/>
  <c r="U63" i="1"/>
  <c r="U414" i="1"/>
  <c r="U429" i="1"/>
  <c r="U71" i="1"/>
  <c r="U415" i="1"/>
  <c r="U419" i="1"/>
  <c r="U437" i="1"/>
  <c r="U485" i="1"/>
  <c r="U560" i="1"/>
  <c r="U79" i="1"/>
  <c r="U461" i="1"/>
  <c r="U69" i="1"/>
  <c r="U405" i="1"/>
  <c r="U423" i="1"/>
  <c r="U434" i="1"/>
  <c r="U509" i="1"/>
  <c r="U513" i="1"/>
  <c r="U50" i="1"/>
  <c r="U54" i="1"/>
  <c r="U58" i="1"/>
  <c r="U62" i="1"/>
  <c r="U73" i="1"/>
  <c r="U77" i="1"/>
  <c r="U162" i="1"/>
  <c r="U458" i="1"/>
  <c r="U557" i="1"/>
  <c r="U66" i="1"/>
  <c r="U70" i="1"/>
  <c r="U81" i="1"/>
  <c r="U85" i="1"/>
  <c r="U88" i="1"/>
  <c r="U92" i="1"/>
  <c r="U100" i="1"/>
  <c r="U104" i="1"/>
  <c r="U108" i="1"/>
  <c r="U116" i="1"/>
  <c r="U120" i="1"/>
  <c r="U124" i="1"/>
  <c r="U132" i="1"/>
  <c r="U135" i="1"/>
  <c r="U139" i="1"/>
  <c r="U143" i="1"/>
  <c r="U151" i="1"/>
  <c r="U155" i="1"/>
  <c r="U169" i="1"/>
  <c r="U172" i="1"/>
  <c r="U182" i="1"/>
  <c r="U209" i="1"/>
  <c r="U226" i="1"/>
  <c r="U236" i="1"/>
  <c r="U250" i="1"/>
  <c r="U257" i="1"/>
  <c r="U281" i="1"/>
  <c r="U288" i="1"/>
  <c r="U305" i="1"/>
  <c r="U309" i="1"/>
  <c r="U313" i="1"/>
  <c r="U339" i="1"/>
  <c r="U343" i="1"/>
  <c r="U347" i="1"/>
  <c r="U366" i="1"/>
  <c r="U377" i="1"/>
  <c r="U381" i="1"/>
  <c r="U388" i="1"/>
  <c r="U395" i="1"/>
  <c r="U406" i="1"/>
  <c r="U413" i="1"/>
  <c r="U417" i="1"/>
  <c r="U428" i="1"/>
  <c r="U459" i="1"/>
  <c r="U475" i="1"/>
  <c r="U479" i="1"/>
  <c r="U546" i="1"/>
  <c r="U550" i="1"/>
  <c r="U11" i="1"/>
  <c r="U60" i="1"/>
  <c r="U68" i="1"/>
  <c r="U76" i="1"/>
  <c r="U84" i="1"/>
  <c r="U93" i="1"/>
  <c r="U96" i="1"/>
  <c r="U99" i="1"/>
  <c r="U109" i="1"/>
  <c r="U112" i="1"/>
  <c r="U115" i="1"/>
  <c r="U125" i="1"/>
  <c r="U128" i="1"/>
  <c r="U131" i="1"/>
  <c r="U141" i="1"/>
  <c r="U144" i="1"/>
  <c r="U147" i="1"/>
  <c r="U157" i="1"/>
  <c r="U221" i="1"/>
  <c r="U229" i="1"/>
  <c r="U237" i="1"/>
  <c r="U292" i="1"/>
  <c r="U304" i="1"/>
  <c r="U307" i="1"/>
  <c r="U311" i="1"/>
  <c r="U314" i="1"/>
  <c r="U331" i="1"/>
  <c r="U354" i="1"/>
  <c r="U358" i="1"/>
  <c r="U468" i="1"/>
  <c r="U471" i="1"/>
  <c r="U483" i="1"/>
  <c r="U505" i="1"/>
  <c r="U90" i="1"/>
  <c r="U106" i="1"/>
  <c r="U122" i="1"/>
  <c r="U138" i="1"/>
  <c r="U154" i="1"/>
  <c r="U160" i="1"/>
  <c r="U168" i="1"/>
  <c r="U176" i="1"/>
  <c r="U184" i="1"/>
  <c r="U192" i="1"/>
  <c r="U200" i="1"/>
  <c r="U208" i="1"/>
  <c r="U216" i="1"/>
  <c r="U224" i="1"/>
  <c r="U232" i="1"/>
  <c r="U240" i="1"/>
  <c r="U248" i="1"/>
  <c r="U256" i="1"/>
  <c r="U264" i="1"/>
  <c r="U272" i="1"/>
  <c r="U280" i="1"/>
  <c r="U287" i="1"/>
  <c r="U295" i="1"/>
  <c r="U318" i="1"/>
  <c r="U335" i="1"/>
  <c r="U362" i="1"/>
  <c r="U420" i="1"/>
  <c r="U441" i="1"/>
  <c r="U451" i="1"/>
  <c r="U465" i="1"/>
  <c r="U491" i="1"/>
  <c r="U517" i="1"/>
  <c r="U554" i="1"/>
  <c r="U558" i="1"/>
  <c r="U565" i="1"/>
  <c r="U576" i="1"/>
  <c r="U469" i="1"/>
  <c r="U525" i="1"/>
  <c r="U573" i="1"/>
  <c r="U431" i="1"/>
  <c r="U455" i="1"/>
  <c r="U477" i="1"/>
  <c r="U529" i="1"/>
  <c r="U577" i="1"/>
  <c r="U481" i="1"/>
  <c r="U534" i="1"/>
  <c r="U541" i="1"/>
  <c r="U552" i="1"/>
  <c r="U556" i="1"/>
  <c r="U563" i="1"/>
  <c r="U439" i="1"/>
  <c r="U463" i="1"/>
  <c r="U467" i="1"/>
  <c r="U493" i="1"/>
  <c r="U89" i="1"/>
  <c r="U105" i="1"/>
  <c r="U121" i="1"/>
  <c r="U137" i="1"/>
  <c r="U153" i="1"/>
  <c r="U170" i="1"/>
  <c r="U351" i="1"/>
  <c r="U440" i="1"/>
  <c r="U501" i="1"/>
  <c r="U564" i="1"/>
  <c r="U159" i="1"/>
  <c r="U167" i="1"/>
  <c r="U175" i="1"/>
  <c r="U183" i="1"/>
  <c r="U191" i="1"/>
  <c r="U199" i="1"/>
  <c r="U207" i="1"/>
  <c r="U215" i="1"/>
  <c r="U165" i="1"/>
  <c r="U173" i="1"/>
  <c r="U181" i="1"/>
  <c r="U189" i="1"/>
  <c r="U197" i="1"/>
  <c r="U205" i="1"/>
  <c r="U213" i="1"/>
  <c r="U163" i="1"/>
  <c r="U171" i="1"/>
  <c r="U179" i="1"/>
  <c r="U187" i="1"/>
  <c r="U195" i="1"/>
  <c r="U203" i="1"/>
  <c r="U211" i="1"/>
  <c r="U374" i="1"/>
  <c r="U382" i="1"/>
  <c r="U390" i="1"/>
  <c r="U398" i="1"/>
  <c r="U408" i="1"/>
  <c r="U370" i="1"/>
  <c r="U378" i="1"/>
  <c r="U386" i="1"/>
  <c r="U394" i="1"/>
  <c r="U402" i="1"/>
  <c r="U404" i="1"/>
  <c r="U412" i="1"/>
  <c r="U494" i="1"/>
  <c r="U523" i="1"/>
  <c r="U472" i="1"/>
  <c r="U542" i="1"/>
  <c r="U571" i="1"/>
  <c r="U482" i="1"/>
  <c r="U498" i="1"/>
  <c r="U514" i="1"/>
  <c r="U530" i="1"/>
  <c r="U476" i="1"/>
  <c r="U492" i="1"/>
  <c r="U508" i="1"/>
  <c r="U524" i="1"/>
  <c r="U540" i="1"/>
  <c r="U480" i="1"/>
  <c r="U496" i="1"/>
  <c r="U512" i="1"/>
  <c r="U528" i="1"/>
  <c r="U544" i="1"/>
  <c r="U484" i="1"/>
  <c r="U500" i="1"/>
  <c r="U516" i="1"/>
  <c r="U532" i="1"/>
  <c r="BE4" i="1"/>
  <c r="BF2" i="1"/>
  <c r="U578" i="1" l="1"/>
  <c r="O2" i="1"/>
  <c r="U25" i="1"/>
  <c r="U14" i="1"/>
  <c r="U22" i="1"/>
  <c r="U21" i="1"/>
  <c r="U36" i="1"/>
  <c r="U18" i="1"/>
  <c r="U32" i="1"/>
  <c r="U20" i="1"/>
  <c r="U26" i="1"/>
  <c r="U31" i="1"/>
  <c r="U19" i="1"/>
  <c r="U27" i="1"/>
  <c r="U17" i="1"/>
  <c r="U23" i="1"/>
  <c r="U34" i="1"/>
  <c r="U15" i="1"/>
  <c r="U24" i="1"/>
  <c r="U30" i="1"/>
  <c r="BD4" i="1"/>
  <c r="U29" i="1"/>
  <c r="U16" i="1"/>
  <c r="U33" i="1"/>
  <c r="AX2" i="1"/>
  <c r="AW2" i="1"/>
  <c r="AV2" i="1"/>
  <c r="AU2" i="1"/>
  <c r="AS2" i="1"/>
  <c r="AP2" i="1"/>
  <c r="AK2" i="1"/>
  <c r="AG2" i="1"/>
  <c r="AF2" i="1"/>
  <c r="AE2" i="1"/>
  <c r="AC2" i="1"/>
  <c r="AB2" i="1"/>
  <c r="K2" i="1"/>
  <c r="BE2" i="1" l="1"/>
  <c r="U28" i="1"/>
  <c r="U4" i="1"/>
  <c r="BD2" i="1" l="1"/>
  <c r="U2" i="1"/>
  <c r="P2" i="1" l="1"/>
  <c r="E20" i="4" l="1"/>
  <c r="M1" i="4" s="1"/>
  <c r="E19" i="4"/>
  <c r="L1" i="4" s="1"/>
  <c r="E16" i="4"/>
  <c r="I1" i="4" s="1"/>
  <c r="E15" i="4"/>
  <c r="H1" i="4" s="1"/>
  <c r="E14" i="4"/>
  <c r="F1" i="4" s="1"/>
  <c r="E13" i="4"/>
  <c r="E1" i="4" s="1"/>
  <c r="P14" i="2"/>
  <c r="E17" i="4" s="1"/>
  <c r="L6" i="2"/>
  <c r="L5" i="2"/>
  <c r="L4" i="2"/>
  <c r="K1" i="2"/>
  <c r="J1" i="2"/>
  <c r="E1" i="2"/>
  <c r="W8" i="2" l="1"/>
  <c r="P6" i="2"/>
  <c r="X84" i="1"/>
  <c r="P8" i="2"/>
  <c r="X583" i="1"/>
  <c r="AN581" i="1"/>
  <c r="AN589" i="1"/>
  <c r="X584" i="1"/>
  <c r="AN582" i="1"/>
  <c r="AN590" i="1"/>
  <c r="X585" i="1"/>
  <c r="AN583" i="1"/>
  <c r="X586" i="1"/>
  <c r="AN584" i="1"/>
  <c r="X587" i="1"/>
  <c r="AN585" i="1"/>
  <c r="X588" i="1"/>
  <c r="AN586" i="1"/>
  <c r="X581" i="1"/>
  <c r="X589" i="1"/>
  <c r="AN587" i="1"/>
  <c r="X582" i="1"/>
  <c r="X590" i="1"/>
  <c r="AN588" i="1"/>
  <c r="P7" i="2"/>
  <c r="L8" i="2"/>
  <c r="L7" i="2"/>
  <c r="A1" i="2"/>
  <c r="AN580" i="1"/>
  <c r="X580" i="1"/>
  <c r="X444" i="1"/>
  <c r="X452" i="1"/>
  <c r="X445" i="1"/>
  <c r="X446" i="1"/>
  <c r="X447" i="1"/>
  <c r="X448" i="1"/>
  <c r="X449" i="1"/>
  <c r="X450" i="1"/>
  <c r="X451" i="1"/>
  <c r="W7" i="2"/>
  <c r="W10" i="2"/>
  <c r="X578" i="1"/>
  <c r="X579" i="1"/>
  <c r="AN578" i="1"/>
  <c r="AN579" i="1"/>
  <c r="AN577" i="1"/>
  <c r="AN575" i="1"/>
  <c r="AN573" i="1"/>
  <c r="AN571" i="1"/>
  <c r="AN569" i="1"/>
  <c r="AN567" i="1"/>
  <c r="AN565" i="1"/>
  <c r="AN563" i="1"/>
  <c r="AN561" i="1"/>
  <c r="X490" i="1"/>
  <c r="X488" i="1"/>
  <c r="X486" i="1"/>
  <c r="X484" i="1"/>
  <c r="X482" i="1"/>
  <c r="X480" i="1"/>
  <c r="X478" i="1"/>
  <c r="X476" i="1"/>
  <c r="X474" i="1"/>
  <c r="X472" i="1"/>
  <c r="X470" i="1"/>
  <c r="X468" i="1"/>
  <c r="X466" i="1"/>
  <c r="X464" i="1"/>
  <c r="X462" i="1"/>
  <c r="X460" i="1"/>
  <c r="X458" i="1"/>
  <c r="X456" i="1"/>
  <c r="X454" i="1"/>
  <c r="AN452" i="1"/>
  <c r="AN450" i="1"/>
  <c r="AN448" i="1"/>
  <c r="AN446" i="1"/>
  <c r="AN444" i="1"/>
  <c r="AN442" i="1"/>
  <c r="AN440" i="1"/>
  <c r="AN438" i="1"/>
  <c r="AN436" i="1"/>
  <c r="AN434" i="1"/>
  <c r="AN432" i="1"/>
  <c r="AN430" i="1"/>
  <c r="AN428" i="1"/>
  <c r="AN426" i="1"/>
  <c r="AN424" i="1"/>
  <c r="AN422" i="1"/>
  <c r="AN420" i="1"/>
  <c r="AN418" i="1"/>
  <c r="AN416" i="1"/>
  <c r="AN414" i="1"/>
  <c r="X379" i="1"/>
  <c r="X377" i="1"/>
  <c r="X375" i="1"/>
  <c r="AN373" i="1"/>
  <c r="AN371" i="1"/>
  <c r="AN369" i="1"/>
  <c r="AN367" i="1"/>
  <c r="AN365" i="1"/>
  <c r="AN363" i="1"/>
  <c r="AN361" i="1"/>
  <c r="AN359" i="1"/>
  <c r="AN357" i="1"/>
  <c r="AN355" i="1"/>
  <c r="AN353" i="1"/>
  <c r="AN351" i="1"/>
  <c r="X316" i="1"/>
  <c r="AN314" i="1"/>
  <c r="AN312" i="1"/>
  <c r="AN310" i="1"/>
  <c r="AN308" i="1"/>
  <c r="AN306" i="1"/>
  <c r="AN304" i="1"/>
  <c r="AN302" i="1"/>
  <c r="X270" i="1"/>
  <c r="X268" i="1"/>
  <c r="AN266" i="1"/>
  <c r="X239" i="1"/>
  <c r="X237" i="1"/>
  <c r="X235" i="1"/>
  <c r="X233" i="1"/>
  <c r="X231" i="1"/>
  <c r="X229" i="1"/>
  <c r="AN227" i="1"/>
  <c r="AN225" i="1"/>
  <c r="X577" i="1"/>
  <c r="X559" i="1"/>
  <c r="AN576" i="1"/>
  <c r="AN574" i="1"/>
  <c r="AN572" i="1"/>
  <c r="AN570" i="1"/>
  <c r="AN568" i="1"/>
  <c r="AN566" i="1"/>
  <c r="AN564" i="1"/>
  <c r="AN562" i="1"/>
  <c r="X489" i="1"/>
  <c r="X487" i="1"/>
  <c r="X485" i="1"/>
  <c r="X483" i="1"/>
  <c r="X481" i="1"/>
  <c r="X479" i="1"/>
  <c r="X477" i="1"/>
  <c r="X475" i="1"/>
  <c r="X473" i="1"/>
  <c r="X471" i="1"/>
  <c r="X469" i="1"/>
  <c r="X467" i="1"/>
  <c r="X465" i="1"/>
  <c r="X463" i="1"/>
  <c r="X461" i="1"/>
  <c r="X459" i="1"/>
  <c r="X457" i="1"/>
  <c r="X455" i="1"/>
  <c r="X453" i="1"/>
  <c r="AN451" i="1"/>
  <c r="AN449" i="1"/>
  <c r="AN447" i="1"/>
  <c r="AN445" i="1"/>
  <c r="AN443" i="1"/>
  <c r="AN441" i="1"/>
  <c r="AN439" i="1"/>
  <c r="AN437" i="1"/>
  <c r="AN435" i="1"/>
  <c r="AN433" i="1"/>
  <c r="AN431" i="1"/>
  <c r="AN429" i="1"/>
  <c r="AN427" i="1"/>
  <c r="AN425" i="1"/>
  <c r="AN423" i="1"/>
  <c r="AN421" i="1"/>
  <c r="AN419" i="1"/>
  <c r="AN417" i="1"/>
  <c r="AN415" i="1"/>
  <c r="AN413" i="1"/>
  <c r="X378" i="1"/>
  <c r="X376" i="1"/>
  <c r="AN374" i="1"/>
  <c r="AN372" i="1"/>
  <c r="AN370" i="1"/>
  <c r="AN368" i="1"/>
  <c r="AN366" i="1"/>
  <c r="AN364" i="1"/>
  <c r="AN362" i="1"/>
  <c r="AN360" i="1"/>
  <c r="AN358" i="1"/>
  <c r="AN356" i="1"/>
  <c r="AN354" i="1"/>
  <c r="AN352" i="1"/>
  <c r="AN350" i="1"/>
  <c r="X317" i="1"/>
  <c r="X315" i="1"/>
  <c r="AN313" i="1"/>
  <c r="AN311" i="1"/>
  <c r="AN309" i="1"/>
  <c r="AN307" i="1"/>
  <c r="AN305" i="1"/>
  <c r="AN303" i="1"/>
  <c r="AN301" i="1"/>
  <c r="X269" i="1"/>
  <c r="AN267" i="1"/>
  <c r="AN265" i="1"/>
  <c r="X238" i="1"/>
  <c r="X236" i="1"/>
  <c r="X234" i="1"/>
  <c r="X232" i="1"/>
  <c r="X230" i="1"/>
  <c r="AN228" i="1"/>
  <c r="AN226" i="1"/>
  <c r="AN224" i="1"/>
  <c r="AN222" i="1"/>
  <c r="X576" i="1"/>
  <c r="X560" i="1"/>
  <c r="X530" i="1"/>
  <c r="X528" i="1"/>
  <c r="X526" i="1"/>
  <c r="X524" i="1"/>
  <c r="X522" i="1"/>
  <c r="X520" i="1"/>
  <c r="X518" i="1"/>
  <c r="X516" i="1"/>
  <c r="X514" i="1"/>
  <c r="X512" i="1"/>
  <c r="X510" i="1"/>
  <c r="X508" i="1"/>
  <c r="X506" i="1"/>
  <c r="X504" i="1"/>
  <c r="X502" i="1"/>
  <c r="X500" i="1"/>
  <c r="X498" i="1"/>
  <c r="X496" i="1"/>
  <c r="X494" i="1"/>
  <c r="X492" i="1"/>
  <c r="AN490" i="1"/>
  <c r="AN488" i="1"/>
  <c r="AN486" i="1"/>
  <c r="AN484" i="1"/>
  <c r="AN482" i="1"/>
  <c r="AN480" i="1"/>
  <c r="AN478" i="1"/>
  <c r="AN476" i="1"/>
  <c r="AN474" i="1"/>
  <c r="AN472" i="1"/>
  <c r="AN470" i="1"/>
  <c r="AN468" i="1"/>
  <c r="AN466" i="1"/>
  <c r="AN464" i="1"/>
  <c r="AN462" i="1"/>
  <c r="AN460" i="1"/>
  <c r="AN458" i="1"/>
  <c r="AN456" i="1"/>
  <c r="AN454" i="1"/>
  <c r="X399" i="1"/>
  <c r="X397" i="1"/>
  <c r="X395" i="1"/>
  <c r="X393" i="1"/>
  <c r="X391" i="1"/>
  <c r="X389" i="1"/>
  <c r="X387" i="1"/>
  <c r="X385" i="1"/>
  <c r="X383" i="1"/>
  <c r="X381" i="1"/>
  <c r="AN379" i="1"/>
  <c r="AN377" i="1"/>
  <c r="AN375" i="1"/>
  <c r="X336" i="1"/>
  <c r="X334" i="1"/>
  <c r="X332" i="1"/>
  <c r="X330" i="1"/>
  <c r="X328" i="1"/>
  <c r="X326" i="1"/>
  <c r="X324" i="1"/>
  <c r="X322" i="1"/>
  <c r="X320" i="1"/>
  <c r="X318" i="1"/>
  <c r="AN316" i="1"/>
  <c r="X283" i="1"/>
  <c r="X281" i="1"/>
  <c r="X280" i="1"/>
  <c r="X278" i="1"/>
  <c r="X276" i="1"/>
  <c r="X274" i="1"/>
  <c r="X272" i="1"/>
  <c r="AN270" i="1"/>
  <c r="AN268" i="1"/>
  <c r="X571" i="1"/>
  <c r="X563" i="1"/>
  <c r="X558" i="1"/>
  <c r="X556" i="1"/>
  <c r="X554" i="1"/>
  <c r="X552" i="1"/>
  <c r="X550" i="1"/>
  <c r="X548" i="1"/>
  <c r="X546" i="1"/>
  <c r="X544" i="1"/>
  <c r="X542" i="1"/>
  <c r="X540" i="1"/>
  <c r="X538" i="1"/>
  <c r="X536" i="1"/>
  <c r="X534" i="1"/>
  <c r="X532" i="1"/>
  <c r="AN525" i="1"/>
  <c r="X523" i="1"/>
  <c r="AN516" i="1"/>
  <c r="AN509" i="1"/>
  <c r="X507" i="1"/>
  <c r="AN500" i="1"/>
  <c r="AN493" i="1"/>
  <c r="X491" i="1"/>
  <c r="AN485" i="1"/>
  <c r="AN469" i="1"/>
  <c r="AN453" i="1"/>
  <c r="X440" i="1"/>
  <c r="X432" i="1"/>
  <c r="X424" i="1"/>
  <c r="X416" i="1"/>
  <c r="AN397" i="1"/>
  <c r="AN390" i="1"/>
  <c r="X388" i="1"/>
  <c r="X568" i="1"/>
  <c r="AN560" i="1"/>
  <c r="AN527" i="1"/>
  <c r="X525" i="1"/>
  <c r="AN518" i="1"/>
  <c r="AN511" i="1"/>
  <c r="X509" i="1"/>
  <c r="AN502" i="1"/>
  <c r="AN495" i="1"/>
  <c r="X493" i="1"/>
  <c r="AN475" i="1"/>
  <c r="AN459" i="1"/>
  <c r="X437" i="1"/>
  <c r="X429" i="1"/>
  <c r="X421" i="1"/>
  <c r="X413" i="1"/>
  <c r="AN411" i="1"/>
  <c r="AN409" i="1"/>
  <c r="AN407" i="1"/>
  <c r="AN405" i="1"/>
  <c r="AN403" i="1"/>
  <c r="AN401" i="1"/>
  <c r="AN399" i="1"/>
  <c r="AN392" i="1"/>
  <c r="X390" i="1"/>
  <c r="AN383" i="1"/>
  <c r="X370" i="1"/>
  <c r="X362" i="1"/>
  <c r="X354" i="1"/>
  <c r="AN349" i="1"/>
  <c r="AN347" i="1"/>
  <c r="AN345" i="1"/>
  <c r="AN343" i="1"/>
  <c r="AN341" i="1"/>
  <c r="AN339" i="1"/>
  <c r="AN337" i="1"/>
  <c r="X335" i="1"/>
  <c r="AN328" i="1"/>
  <c r="AN321" i="1"/>
  <c r="X319" i="1"/>
  <c r="X314" i="1"/>
  <c r="X306" i="1"/>
  <c r="X299" i="1"/>
  <c r="X297" i="1"/>
  <c r="X295" i="1"/>
  <c r="X293" i="1"/>
  <c r="X291" i="1"/>
  <c r="X289" i="1"/>
  <c r="X287" i="1"/>
  <c r="X285" i="1"/>
  <c r="AN279" i="1"/>
  <c r="X277" i="1"/>
  <c r="X263" i="1"/>
  <c r="X261" i="1"/>
  <c r="X259" i="1"/>
  <c r="X257" i="1"/>
  <c r="X255" i="1"/>
  <c r="X253" i="1"/>
  <c r="X251" i="1"/>
  <c r="X249" i="1"/>
  <c r="X247" i="1"/>
  <c r="X245" i="1"/>
  <c r="X243" i="1"/>
  <c r="X241" i="1"/>
  <c r="AN239" i="1"/>
  <c r="AN231" i="1"/>
  <c r="X226" i="1"/>
  <c r="AN221" i="1"/>
  <c r="X170" i="1"/>
  <c r="X168" i="1"/>
  <c r="X166" i="1"/>
  <c r="X164" i="1"/>
  <c r="X162" i="1"/>
  <c r="X160" i="1"/>
  <c r="X158" i="1"/>
  <c r="X573" i="1"/>
  <c r="X565" i="1"/>
  <c r="AN529" i="1"/>
  <c r="X527" i="1"/>
  <c r="AN520" i="1"/>
  <c r="AN513" i="1"/>
  <c r="X511" i="1"/>
  <c r="AN504" i="1"/>
  <c r="AN497" i="1"/>
  <c r="X495" i="1"/>
  <c r="AN481" i="1"/>
  <c r="AN465" i="1"/>
  <c r="X442" i="1"/>
  <c r="X434" i="1"/>
  <c r="X426" i="1"/>
  <c r="X418" i="1"/>
  <c r="X411" i="1"/>
  <c r="X409" i="1"/>
  <c r="X407" i="1"/>
  <c r="X405" i="1"/>
  <c r="X403" i="1"/>
  <c r="X401" i="1"/>
  <c r="AN394" i="1"/>
  <c r="X392" i="1"/>
  <c r="AN385" i="1"/>
  <c r="AN378" i="1"/>
  <c r="X367" i="1"/>
  <c r="X359" i="1"/>
  <c r="X351" i="1"/>
  <c r="X349" i="1"/>
  <c r="X347" i="1"/>
  <c r="X345" i="1"/>
  <c r="X343" i="1"/>
  <c r="X341" i="1"/>
  <c r="X339" i="1"/>
  <c r="X337" i="1"/>
  <c r="AN330" i="1"/>
  <c r="AN323" i="1"/>
  <c r="X321" i="1"/>
  <c r="X311" i="1"/>
  <c r="X303" i="1"/>
  <c r="X279" i="1"/>
  <c r="AN272" i="1"/>
  <c r="X267" i="1"/>
  <c r="AN236" i="1"/>
  <c r="AN223" i="1"/>
  <c r="X221" i="1"/>
  <c r="X570" i="1"/>
  <c r="X562" i="1"/>
  <c r="AN557" i="1"/>
  <c r="AN555" i="1"/>
  <c r="AN553" i="1"/>
  <c r="AN551" i="1"/>
  <c r="AN549" i="1"/>
  <c r="AN547" i="1"/>
  <c r="AN545" i="1"/>
  <c r="AN543" i="1"/>
  <c r="AN541" i="1"/>
  <c r="AN539" i="1"/>
  <c r="AN537" i="1"/>
  <c r="AN535" i="1"/>
  <c r="AN533" i="1"/>
  <c r="AN531" i="1"/>
  <c r="X529" i="1"/>
  <c r="X567" i="1"/>
  <c r="X564" i="1"/>
  <c r="X555" i="1"/>
  <c r="X547" i="1"/>
  <c r="X539" i="1"/>
  <c r="X531" i="1"/>
  <c r="AN528" i="1"/>
  <c r="AN522" i="1"/>
  <c r="X517" i="1"/>
  <c r="AN503" i="1"/>
  <c r="AN498" i="1"/>
  <c r="AN492" i="1"/>
  <c r="AN489" i="1"/>
  <c r="X415" i="1"/>
  <c r="X410" i="1"/>
  <c r="X400" i="1"/>
  <c r="AN386" i="1"/>
  <c r="AN381" i="1"/>
  <c r="X364" i="1"/>
  <c r="X361" i="1"/>
  <c r="X358" i="1"/>
  <c r="AN344" i="1"/>
  <c r="AN336" i="1"/>
  <c r="AN331" i="1"/>
  <c r="AN326" i="1"/>
  <c r="AN318" i="1"/>
  <c r="X307" i="1"/>
  <c r="X304" i="1"/>
  <c r="X301" i="1"/>
  <c r="AN299" i="1"/>
  <c r="AN292" i="1"/>
  <c r="X290" i="1"/>
  <c r="AN283" i="1"/>
  <c r="AN276" i="1"/>
  <c r="AN271" i="1"/>
  <c r="AN259" i="1"/>
  <c r="AN252" i="1"/>
  <c r="X250" i="1"/>
  <c r="AN243" i="1"/>
  <c r="X227" i="1"/>
  <c r="X224" i="1"/>
  <c r="AN219" i="1"/>
  <c r="AN217" i="1"/>
  <c r="AN215" i="1"/>
  <c r="AN213" i="1"/>
  <c r="AN211" i="1"/>
  <c r="AN209" i="1"/>
  <c r="AN207" i="1"/>
  <c r="AN205" i="1"/>
  <c r="AN203" i="1"/>
  <c r="AN201" i="1"/>
  <c r="AN199" i="1"/>
  <c r="AN197" i="1"/>
  <c r="AN195" i="1"/>
  <c r="AN193" i="1"/>
  <c r="AN191" i="1"/>
  <c r="AN189" i="1"/>
  <c r="AN187" i="1"/>
  <c r="AN185" i="1"/>
  <c r="AN183" i="1"/>
  <c r="AN181" i="1"/>
  <c r="AN179" i="1"/>
  <c r="AN177" i="1"/>
  <c r="AN175" i="1"/>
  <c r="AN173" i="1"/>
  <c r="AN169" i="1"/>
  <c r="X167" i="1"/>
  <c r="AN160" i="1"/>
  <c r="X150" i="1"/>
  <c r="X148" i="1"/>
  <c r="X146" i="1"/>
  <c r="X144" i="1"/>
  <c r="X142" i="1"/>
  <c r="X140" i="1"/>
  <c r="X138" i="1"/>
  <c r="X136" i="1"/>
  <c r="AN134" i="1"/>
  <c r="AN132" i="1"/>
  <c r="AN130" i="1"/>
  <c r="AN128" i="1"/>
  <c r="AN126" i="1"/>
  <c r="AN124" i="1"/>
  <c r="AN122" i="1"/>
  <c r="AN120" i="1"/>
  <c r="X93" i="1"/>
  <c r="X91" i="1"/>
  <c r="X89" i="1"/>
  <c r="X87" i="1"/>
  <c r="X82" i="1"/>
  <c r="X80" i="1"/>
  <c r="X78" i="1"/>
  <c r="X76" i="1"/>
  <c r="X74" i="1"/>
  <c r="AN72" i="1"/>
  <c r="AN70" i="1"/>
  <c r="AN68" i="1"/>
  <c r="AN66" i="1"/>
  <c r="AN64" i="1"/>
  <c r="AN62" i="1"/>
  <c r="AN60" i="1"/>
  <c r="AN58" i="1"/>
  <c r="AN552" i="1"/>
  <c r="AN544" i="1"/>
  <c r="AN536" i="1"/>
  <c r="AN519" i="1"/>
  <c r="AN514" i="1"/>
  <c r="AN508" i="1"/>
  <c r="X503" i="1"/>
  <c r="AN461" i="1"/>
  <c r="X439" i="1"/>
  <c r="X436" i="1"/>
  <c r="X433" i="1"/>
  <c r="X430" i="1"/>
  <c r="X427" i="1"/>
  <c r="AN412" i="1"/>
  <c r="AN404" i="1"/>
  <c r="AN402" i="1"/>
  <c r="X386" i="1"/>
  <c r="X355" i="1"/>
  <c r="X352" i="1"/>
  <c r="X344" i="1"/>
  <c r="AN333" i="1"/>
  <c r="X331" i="1"/>
  <c r="AN315" i="1"/>
  <c r="AN294" i="1"/>
  <c r="X292" i="1"/>
  <c r="AN285" i="1"/>
  <c r="X271" i="1"/>
  <c r="AN261" i="1"/>
  <c r="AN254" i="1"/>
  <c r="X252" i="1"/>
  <c r="AN245" i="1"/>
  <c r="AN238" i="1"/>
  <c r="AN235" i="1"/>
  <c r="X219" i="1"/>
  <c r="X217" i="1"/>
  <c r="X215" i="1"/>
  <c r="X213" i="1"/>
  <c r="X211" i="1"/>
  <c r="X209" i="1"/>
  <c r="X207" i="1"/>
  <c r="X205" i="1"/>
  <c r="X203" i="1"/>
  <c r="X201" i="1"/>
  <c r="X199" i="1"/>
  <c r="X197" i="1"/>
  <c r="X195" i="1"/>
  <c r="X193" i="1"/>
  <c r="X191" i="1"/>
  <c r="X189" i="1"/>
  <c r="X187" i="1"/>
  <c r="X185" i="1"/>
  <c r="X183" i="1"/>
  <c r="X181" i="1"/>
  <c r="X179" i="1"/>
  <c r="X177" i="1"/>
  <c r="X175" i="1"/>
  <c r="X173" i="1"/>
  <c r="AN171" i="1"/>
  <c r="X169" i="1"/>
  <c r="AN162" i="1"/>
  <c r="X134" i="1"/>
  <c r="X132" i="1"/>
  <c r="X130" i="1"/>
  <c r="X128" i="1"/>
  <c r="X126" i="1"/>
  <c r="X124" i="1"/>
  <c r="X122" i="1"/>
  <c r="X120" i="1"/>
  <c r="AN118" i="1"/>
  <c r="AN116" i="1"/>
  <c r="AN114" i="1"/>
  <c r="AN112" i="1"/>
  <c r="AN110" i="1"/>
  <c r="AN108" i="1"/>
  <c r="AN106" i="1"/>
  <c r="AN104" i="1"/>
  <c r="X557" i="1"/>
  <c r="X549" i="1"/>
  <c r="X541" i="1"/>
  <c r="X533" i="1"/>
  <c r="AN524" i="1"/>
  <c r="X519" i="1"/>
  <c r="AN505" i="1"/>
  <c r="AN471" i="1"/>
  <c r="AN457" i="1"/>
  <c r="X412" i="1"/>
  <c r="X404" i="1"/>
  <c r="X402" i="1"/>
  <c r="X394" i="1"/>
  <c r="AN391" i="1"/>
  <c r="AN388" i="1"/>
  <c r="X372" i="1"/>
  <c r="X369" i="1"/>
  <c r="X366" i="1"/>
  <c r="AN346" i="1"/>
  <c r="AN338" i="1"/>
  <c r="X333" i="1"/>
  <c r="X323" i="1"/>
  <c r="AN320" i="1"/>
  <c r="X312" i="1"/>
  <c r="X309" i="1"/>
  <c r="AN296" i="1"/>
  <c r="X294" i="1"/>
  <c r="AN287" i="1"/>
  <c r="AN278" i="1"/>
  <c r="AN273" i="1"/>
  <c r="X265" i="1"/>
  <c r="AN263" i="1"/>
  <c r="AN256" i="1"/>
  <c r="X254" i="1"/>
  <c r="AN247" i="1"/>
  <c r="AN240" i="1"/>
  <c r="AN232" i="1"/>
  <c r="AN229" i="1"/>
  <c r="X171" i="1"/>
  <c r="AN164" i="1"/>
  <c r="AN157" i="1"/>
  <c r="AN155" i="1"/>
  <c r="AN153" i="1"/>
  <c r="X118" i="1"/>
  <c r="X116" i="1"/>
  <c r="X114" i="1"/>
  <c r="X112" i="1"/>
  <c r="X110" i="1"/>
  <c r="X108" i="1"/>
  <c r="X106" i="1"/>
  <c r="X104" i="1"/>
  <c r="AN102" i="1"/>
  <c r="AN100" i="1"/>
  <c r="AN98" i="1"/>
  <c r="AN96" i="1"/>
  <c r="X569" i="1"/>
  <c r="X566" i="1"/>
  <c r="AN554" i="1"/>
  <c r="AN546" i="1"/>
  <c r="AN538" i="1"/>
  <c r="AN530" i="1"/>
  <c r="AN521" i="1"/>
  <c r="X505" i="1"/>
  <c r="X497" i="1"/>
  <c r="AN494" i="1"/>
  <c r="AN491" i="1"/>
  <c r="AN467" i="1"/>
  <c r="X423" i="1"/>
  <c r="X420" i="1"/>
  <c r="X417" i="1"/>
  <c r="X414" i="1"/>
  <c r="AN406" i="1"/>
  <c r="AN396" i="1"/>
  <c r="AN380" i="1"/>
  <c r="X363" i="1"/>
  <c r="X360" i="1"/>
  <c r="X357" i="1"/>
  <c r="X346" i="1"/>
  <c r="X338" i="1"/>
  <c r="AN335" i="1"/>
  <c r="AN325" i="1"/>
  <c r="AN298" i="1"/>
  <c r="X296" i="1"/>
  <c r="AN289" i="1"/>
  <c r="AN282" i="1"/>
  <c r="AN275" i="1"/>
  <c r="X273" i="1"/>
  <c r="AN258" i="1"/>
  <c r="X256" i="1"/>
  <c r="AN249" i="1"/>
  <c r="AN242" i="1"/>
  <c r="X240" i="1"/>
  <c r="X223" i="1"/>
  <c r="AN166" i="1"/>
  <c r="AN159" i="1"/>
  <c r="X157" i="1"/>
  <c r="X155" i="1"/>
  <c r="X153" i="1"/>
  <c r="AN151" i="1"/>
  <c r="AN149" i="1"/>
  <c r="AN147" i="1"/>
  <c r="AN145" i="1"/>
  <c r="AN143" i="1"/>
  <c r="AN141" i="1"/>
  <c r="AN139" i="1"/>
  <c r="AN137" i="1"/>
  <c r="AN135" i="1"/>
  <c r="X102" i="1"/>
  <c r="X100" i="1"/>
  <c r="X98" i="1"/>
  <c r="X96" i="1"/>
  <c r="AN94" i="1"/>
  <c r="AN92" i="1"/>
  <c r="AN90" i="1"/>
  <c r="AN88" i="1"/>
  <c r="AN86" i="1"/>
  <c r="AN85" i="1"/>
  <c r="AN83" i="1"/>
  <c r="AN81" i="1"/>
  <c r="AN79" i="1"/>
  <c r="AN77" i="1"/>
  <c r="AN75" i="1"/>
  <c r="AN73" i="1"/>
  <c r="X575" i="1"/>
  <c r="X572" i="1"/>
  <c r="AN559" i="1"/>
  <c r="X551" i="1"/>
  <c r="X543" i="1"/>
  <c r="X535" i="1"/>
  <c r="X521" i="1"/>
  <c r="X513" i="1"/>
  <c r="AN510" i="1"/>
  <c r="AN507" i="1"/>
  <c r="AN499" i="1"/>
  <c r="AN477" i="1"/>
  <c r="AN463" i="1"/>
  <c r="X441" i="1"/>
  <c r="X438" i="1"/>
  <c r="X435" i="1"/>
  <c r="X406" i="1"/>
  <c r="X396" i="1"/>
  <c r="AN382" i="1"/>
  <c r="X380" i="1"/>
  <c r="X374" i="1"/>
  <c r="AN348" i="1"/>
  <c r="AN340" i="1"/>
  <c r="AN327" i="1"/>
  <c r="X325" i="1"/>
  <c r="AN317" i="1"/>
  <c r="AN300" i="1"/>
  <c r="X298" i="1"/>
  <c r="AN291" i="1"/>
  <c r="AN284" i="1"/>
  <c r="X282" i="1"/>
  <c r="X275" i="1"/>
  <c r="AN260" i="1"/>
  <c r="X258" i="1"/>
  <c r="AN251" i="1"/>
  <c r="AN244" i="1"/>
  <c r="X242" i="1"/>
  <c r="AN237" i="1"/>
  <c r="AN234" i="1"/>
  <c r="AN220" i="1"/>
  <c r="AN218" i="1"/>
  <c r="AN216" i="1"/>
  <c r="AN214" i="1"/>
  <c r="AN212" i="1"/>
  <c r="AN210" i="1"/>
  <c r="AN208" i="1"/>
  <c r="AN206" i="1"/>
  <c r="AN204" i="1"/>
  <c r="AN202" i="1"/>
  <c r="AN200" i="1"/>
  <c r="AN198" i="1"/>
  <c r="AN196" i="1"/>
  <c r="AN194" i="1"/>
  <c r="AN192" i="1"/>
  <c r="AN190" i="1"/>
  <c r="AN188" i="1"/>
  <c r="AN186" i="1"/>
  <c r="AN184" i="1"/>
  <c r="AN182" i="1"/>
  <c r="AN180" i="1"/>
  <c r="AN178" i="1"/>
  <c r="AN176" i="1"/>
  <c r="AN174" i="1"/>
  <c r="AN172" i="1"/>
  <c r="AN168" i="1"/>
  <c r="AN161" i="1"/>
  <c r="X159" i="1"/>
  <c r="X151" i="1"/>
  <c r="X149" i="1"/>
  <c r="X147" i="1"/>
  <c r="X145" i="1"/>
  <c r="X143" i="1"/>
  <c r="X141" i="1"/>
  <c r="X139" i="1"/>
  <c r="X137" i="1"/>
  <c r="X135" i="1"/>
  <c r="AN133" i="1"/>
  <c r="AN131" i="1"/>
  <c r="AN129" i="1"/>
  <c r="AN127" i="1"/>
  <c r="AN125" i="1"/>
  <c r="AN123" i="1"/>
  <c r="AN121" i="1"/>
  <c r="AN119" i="1"/>
  <c r="X94" i="1"/>
  <c r="X92" i="1"/>
  <c r="X90" i="1"/>
  <c r="X88" i="1"/>
  <c r="X86" i="1"/>
  <c r="X85" i="1"/>
  <c r="X83" i="1"/>
  <c r="X81" i="1"/>
  <c r="X79" i="1"/>
  <c r="X77" i="1"/>
  <c r="X75" i="1"/>
  <c r="X73" i="1"/>
  <c r="AN71" i="1"/>
  <c r="AN69" i="1"/>
  <c r="AN67" i="1"/>
  <c r="AN65" i="1"/>
  <c r="AN63" i="1"/>
  <c r="AN61" i="1"/>
  <c r="AN59" i="1"/>
  <c r="AN556" i="1"/>
  <c r="AN548" i="1"/>
  <c r="AN540" i="1"/>
  <c r="AN532" i="1"/>
  <c r="AN526" i="1"/>
  <c r="AN523" i="1"/>
  <c r="AN515" i="1"/>
  <c r="X499" i="1"/>
  <c r="AN487" i="1"/>
  <c r="AN473" i="1"/>
  <c r="AN408" i="1"/>
  <c r="AN398" i="1"/>
  <c r="AN393" i="1"/>
  <c r="AN387" i="1"/>
  <c r="X382" i="1"/>
  <c r="X371" i="1"/>
  <c r="X368" i="1"/>
  <c r="X365" i="1"/>
  <c r="X348" i="1"/>
  <c r="X340" i="1"/>
  <c r="AN332" i="1"/>
  <c r="X327" i="1"/>
  <c r="AN322" i="1"/>
  <c r="AN319" i="1"/>
  <c r="X308" i="1"/>
  <c r="X305" i="1"/>
  <c r="X302" i="1"/>
  <c r="X300" i="1"/>
  <c r="AN293" i="1"/>
  <c r="AN286" i="1"/>
  <c r="X284" i="1"/>
  <c r="AN280" i="1"/>
  <c r="AN277" i="1"/>
  <c r="AN262" i="1"/>
  <c r="X260" i="1"/>
  <c r="AN253" i="1"/>
  <c r="AN246" i="1"/>
  <c r="X244" i="1"/>
  <c r="X228" i="1"/>
  <c r="X225" i="1"/>
  <c r="X220" i="1"/>
  <c r="X218" i="1"/>
  <c r="X216" i="1"/>
  <c r="X214" i="1"/>
  <c r="X212" i="1"/>
  <c r="X210" i="1"/>
  <c r="X208" i="1"/>
  <c r="X206" i="1"/>
  <c r="X204" i="1"/>
  <c r="X202" i="1"/>
  <c r="X200" i="1"/>
  <c r="X198" i="1"/>
  <c r="X196" i="1"/>
  <c r="X194" i="1"/>
  <c r="X192" i="1"/>
  <c r="X190" i="1"/>
  <c r="X188" i="1"/>
  <c r="X186" i="1"/>
  <c r="X184" i="1"/>
  <c r="X182" i="1"/>
  <c r="X180" i="1"/>
  <c r="X178" i="1"/>
  <c r="X176" i="1"/>
  <c r="X174" i="1"/>
  <c r="X172" i="1"/>
  <c r="AN170" i="1"/>
  <c r="AN163" i="1"/>
  <c r="X161" i="1"/>
  <c r="X133" i="1"/>
  <c r="X131" i="1"/>
  <c r="X129" i="1"/>
  <c r="X127" i="1"/>
  <c r="X125" i="1"/>
  <c r="X123" i="1"/>
  <c r="X121" i="1"/>
  <c r="X119" i="1"/>
  <c r="AN117" i="1"/>
  <c r="AN115" i="1"/>
  <c r="AN113" i="1"/>
  <c r="AN111" i="1"/>
  <c r="AN109" i="1"/>
  <c r="AN107" i="1"/>
  <c r="X553" i="1"/>
  <c r="X545" i="1"/>
  <c r="X537" i="1"/>
  <c r="X515" i="1"/>
  <c r="AN501" i="1"/>
  <c r="AN496" i="1"/>
  <c r="AN483" i="1"/>
  <c r="X431" i="1"/>
  <c r="X428" i="1"/>
  <c r="X425" i="1"/>
  <c r="X422" i="1"/>
  <c r="X419" i="1"/>
  <c r="X408" i="1"/>
  <c r="X398" i="1"/>
  <c r="AN384" i="1"/>
  <c r="AN376" i="1"/>
  <c r="X356" i="1"/>
  <c r="X353" i="1"/>
  <c r="X350" i="1"/>
  <c r="AN342" i="1"/>
  <c r="AN334" i="1"/>
  <c r="AN329" i="1"/>
  <c r="AN295" i="1"/>
  <c r="AN288" i="1"/>
  <c r="X286" i="1"/>
  <c r="AN264" i="1"/>
  <c r="X262" i="1"/>
  <c r="AN255" i="1"/>
  <c r="AN248" i="1"/>
  <c r="X246" i="1"/>
  <c r="X574" i="1"/>
  <c r="X561" i="1"/>
  <c r="AN558" i="1"/>
  <c r="AN550" i="1"/>
  <c r="AN542" i="1"/>
  <c r="AN534" i="1"/>
  <c r="AN517" i="1"/>
  <c r="AN512" i="1"/>
  <c r="AN506" i="1"/>
  <c r="X501" i="1"/>
  <c r="AN479" i="1"/>
  <c r="AN455" i="1"/>
  <c r="X443" i="1"/>
  <c r="AN410" i="1"/>
  <c r="AN400" i="1"/>
  <c r="AN395" i="1"/>
  <c r="AN389" i="1"/>
  <c r="X384" i="1"/>
  <c r="X373" i="1"/>
  <c r="X342" i="1"/>
  <c r="X329" i="1"/>
  <c r="X310" i="1"/>
  <c r="X288" i="1"/>
  <c r="AN274" i="1"/>
  <c r="AN250" i="1"/>
  <c r="X163" i="1"/>
  <c r="AN156" i="1"/>
  <c r="AN148" i="1"/>
  <c r="X107" i="1"/>
  <c r="X99" i="1"/>
  <c r="AN82" i="1"/>
  <c r="X70" i="1"/>
  <c r="X62" i="1"/>
  <c r="AN57" i="1"/>
  <c r="AN55" i="1"/>
  <c r="AN43" i="1"/>
  <c r="AN41" i="1"/>
  <c r="AN39" i="1"/>
  <c r="AN37" i="1"/>
  <c r="AN324" i="1"/>
  <c r="X313" i="1"/>
  <c r="AN257" i="1"/>
  <c r="X156" i="1"/>
  <c r="AN138" i="1"/>
  <c r="X113" i="1"/>
  <c r="AN101" i="1"/>
  <c r="AN87" i="1"/>
  <c r="X67" i="1"/>
  <c r="X59" i="1"/>
  <c r="X57" i="1"/>
  <c r="X55" i="1"/>
  <c r="AN53" i="1"/>
  <c r="AN51" i="1"/>
  <c r="AN49" i="1"/>
  <c r="AN47" i="1"/>
  <c r="AN45" i="1"/>
  <c r="X43" i="1"/>
  <c r="X41" i="1"/>
  <c r="X39" i="1"/>
  <c r="X37" i="1"/>
  <c r="AN35" i="1"/>
  <c r="AN33" i="1"/>
  <c r="AN31" i="1"/>
  <c r="AN29" i="1"/>
  <c r="AN27" i="1"/>
  <c r="AN25" i="1"/>
  <c r="AN23" i="1"/>
  <c r="AN21" i="1"/>
  <c r="X264" i="1"/>
  <c r="AN165" i="1"/>
  <c r="AN144" i="1"/>
  <c r="X101" i="1"/>
  <c r="AN93" i="1"/>
  <c r="AN78" i="1"/>
  <c r="X72" i="1"/>
  <c r="X64" i="1"/>
  <c r="X53" i="1"/>
  <c r="X51" i="1"/>
  <c r="X49" i="1"/>
  <c r="X47" i="1"/>
  <c r="X45" i="1"/>
  <c r="X35" i="1"/>
  <c r="X33" i="1"/>
  <c r="X31" i="1"/>
  <c r="X29" i="1"/>
  <c r="X27" i="1"/>
  <c r="X25" i="1"/>
  <c r="X23" i="1"/>
  <c r="AN19" i="1"/>
  <c r="AN17" i="1"/>
  <c r="AN15" i="1"/>
  <c r="AN13" i="1"/>
  <c r="AN11" i="1"/>
  <c r="AN9" i="1"/>
  <c r="AN7" i="1"/>
  <c r="AN5" i="1"/>
  <c r="AN290" i="1"/>
  <c r="X165" i="1"/>
  <c r="AN158" i="1"/>
  <c r="AN150" i="1"/>
  <c r="X109" i="1"/>
  <c r="AN103" i="1"/>
  <c r="AN95" i="1"/>
  <c r="AN84" i="1"/>
  <c r="X69" i="1"/>
  <c r="X61" i="1"/>
  <c r="X21" i="1"/>
  <c r="X19" i="1"/>
  <c r="X17" i="1"/>
  <c r="X15" i="1"/>
  <c r="X13" i="1"/>
  <c r="X11" i="1"/>
  <c r="X9" i="1"/>
  <c r="X7" i="1"/>
  <c r="X5" i="1"/>
  <c r="AN297" i="1"/>
  <c r="AN269" i="1"/>
  <c r="X266" i="1"/>
  <c r="AN241" i="1"/>
  <c r="AN230" i="1"/>
  <c r="AN152" i="1"/>
  <c r="AN140" i="1"/>
  <c r="X115" i="1"/>
  <c r="X103" i="1"/>
  <c r="X95" i="1"/>
  <c r="AN89" i="1"/>
  <c r="AN74" i="1"/>
  <c r="X66" i="1"/>
  <c r="X58" i="1"/>
  <c r="AN56" i="1"/>
  <c r="AN54" i="1"/>
  <c r="AN42" i="1"/>
  <c r="AN40" i="1"/>
  <c r="AN38" i="1"/>
  <c r="X248" i="1"/>
  <c r="AN233" i="1"/>
  <c r="X222" i="1"/>
  <c r="AN167" i="1"/>
  <c r="X152" i="1"/>
  <c r="AN146" i="1"/>
  <c r="AN105" i="1"/>
  <c r="AN97" i="1"/>
  <c r="AN80" i="1"/>
  <c r="X71" i="1"/>
  <c r="X63" i="1"/>
  <c r="X56" i="1"/>
  <c r="X54" i="1"/>
  <c r="AN52" i="1"/>
  <c r="AN50" i="1"/>
  <c r="AN48" i="1"/>
  <c r="AN46" i="1"/>
  <c r="AN44" i="1"/>
  <c r="X42" i="1"/>
  <c r="X40" i="1"/>
  <c r="X38" i="1"/>
  <c r="AN36" i="1"/>
  <c r="AN34" i="1"/>
  <c r="AN32" i="1"/>
  <c r="AN30" i="1"/>
  <c r="AN28" i="1"/>
  <c r="AN26" i="1"/>
  <c r="AN24" i="1"/>
  <c r="AN22" i="1"/>
  <c r="AN154" i="1"/>
  <c r="AN136" i="1"/>
  <c r="X111" i="1"/>
  <c r="X105" i="1"/>
  <c r="X97" i="1"/>
  <c r="X68" i="1"/>
  <c r="X60" i="1"/>
  <c r="X52" i="1"/>
  <c r="X50" i="1"/>
  <c r="X48" i="1"/>
  <c r="X46" i="1"/>
  <c r="X44" i="1"/>
  <c r="X36" i="1"/>
  <c r="X34" i="1"/>
  <c r="X32" i="1"/>
  <c r="X30" i="1"/>
  <c r="X28" i="1"/>
  <c r="X26" i="1"/>
  <c r="X24" i="1"/>
  <c r="X22" i="1"/>
  <c r="AN20" i="1"/>
  <c r="AN18" i="1"/>
  <c r="AN16" i="1"/>
  <c r="AN14" i="1"/>
  <c r="AN12" i="1"/>
  <c r="AN10" i="1"/>
  <c r="AN8" i="1"/>
  <c r="AN6" i="1"/>
  <c r="AN4" i="1"/>
  <c r="AN281" i="1"/>
  <c r="X154" i="1"/>
  <c r="AN142" i="1"/>
  <c r="X117" i="1"/>
  <c r="AN99" i="1"/>
  <c r="AN91" i="1"/>
  <c r="AN76" i="1"/>
  <c r="X65" i="1"/>
  <c r="X20" i="1"/>
  <c r="X18" i="1"/>
  <c r="X16" i="1"/>
  <c r="X14" i="1"/>
  <c r="X12" i="1"/>
  <c r="X10" i="1"/>
  <c r="X8" i="1"/>
  <c r="X6" i="1"/>
  <c r="X4" i="1"/>
  <c r="C1" i="2"/>
  <c r="G1" i="4"/>
  <c r="J1" i="4" s="1"/>
  <c r="E8" i="4"/>
  <c r="A1" i="4" s="1"/>
  <c r="B1" i="2"/>
  <c r="P5" i="2"/>
  <c r="W9" i="2" l="1"/>
  <c r="W11" i="2" s="1"/>
  <c r="W13" i="2" s="1"/>
  <c r="P9" i="2"/>
  <c r="E11" i="4"/>
  <c r="C1" i="4" s="1"/>
  <c r="L9" i="2"/>
  <c r="G5" i="3" s="1"/>
  <c r="D1" i="2"/>
  <c r="E10" i="4"/>
  <c r="G23" i="3" l="1"/>
  <c r="H13" i="3"/>
  <c r="L1" i="2"/>
  <c r="L17" i="2" s="1"/>
  <c r="P15" i="2"/>
  <c r="E18" i="4" s="1"/>
  <c r="K1" i="4" s="1"/>
  <c r="E12" i="4"/>
  <c r="D1" i="4" s="1"/>
  <c r="B1" i="4"/>
  <c r="F1" i="2" l="1"/>
  <c r="G1" i="2" s="1"/>
  <c r="B10" i="4"/>
  <c r="H1" i="2" l="1"/>
  <c r="I1" i="2" s="1"/>
  <c r="L14" i="2"/>
  <c r="L15" i="2" s="1"/>
  <c r="M1" i="2" l="1"/>
  <c r="O1" i="2" s="1"/>
  <c r="U25" i="2" l="1"/>
  <c r="Y25" i="2"/>
  <c r="V25" i="2"/>
  <c r="Z25" i="2"/>
  <c r="AA25" i="2"/>
  <c r="X25" i="2"/>
  <c r="W25" i="2"/>
  <c r="Z18" i="2"/>
  <c r="W18" i="2" s="1"/>
  <c r="X18" i="2"/>
  <c r="U18" i="2"/>
  <c r="V18" i="2"/>
  <c r="AA18" i="2"/>
  <c r="Y18" i="2"/>
  <c r="W26" i="2"/>
  <c r="X26" i="2"/>
  <c r="AA26" i="2"/>
  <c r="V26" i="2"/>
  <c r="Y26" i="2"/>
  <c r="U26" i="2"/>
  <c r="Z26" i="2"/>
  <c r="AA19" i="2"/>
  <c r="X19" i="2"/>
  <c r="U19" i="2"/>
  <c r="V19" i="2"/>
  <c r="Z19" i="2"/>
  <c r="Y19" i="2"/>
  <c r="W19" i="2"/>
  <c r="AA27" i="2"/>
  <c r="X27" i="2"/>
  <c r="V27" i="2"/>
  <c r="U27" i="2"/>
  <c r="Y27" i="2"/>
  <c r="Z27" i="2"/>
  <c r="W27" i="2"/>
  <c r="V20" i="2"/>
  <c r="W20" i="2"/>
  <c r="U20" i="2"/>
  <c r="Y20" i="2"/>
  <c r="Z20" i="2"/>
  <c r="X20" i="2"/>
  <c r="AA20" i="2"/>
  <c r="W21" i="2"/>
  <c r="Z21" i="2"/>
  <c r="V21" i="2"/>
  <c r="AA21" i="2"/>
  <c r="U21" i="2"/>
  <c r="Y21" i="2"/>
  <c r="X21" i="2"/>
  <c r="U22" i="2"/>
  <c r="Y22" i="2"/>
  <c r="AA22" i="2"/>
  <c r="V22" i="2"/>
  <c r="W22" i="2"/>
  <c r="X22" i="2"/>
  <c r="Z22" i="2"/>
  <c r="V23" i="2"/>
  <c r="Z23" i="2"/>
  <c r="U23" i="2"/>
  <c r="X23" i="2"/>
  <c r="Y23" i="2"/>
  <c r="W23" i="2"/>
  <c r="AA23" i="2"/>
  <c r="V24" i="2"/>
  <c r="X24" i="2"/>
  <c r="AA24" i="2"/>
  <c r="W24" i="2"/>
  <c r="Y24" i="2"/>
  <c r="U24" i="2"/>
  <c r="Z24" i="2"/>
  <c r="Y15" i="2" l="1"/>
  <c r="AA15" i="2"/>
  <c r="V15" i="2"/>
  <c r="U15" i="2"/>
  <c r="Z15" i="2"/>
  <c r="X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<sst xmlns="http://schemas.openxmlformats.org/spreadsheetml/2006/main" count="1388" uniqueCount="247">
  <si>
    <t>SNO</t>
  </si>
  <si>
    <t>SLIPNO</t>
  </si>
  <si>
    <t>Truck No</t>
  </si>
  <si>
    <t>First Wt</t>
  </si>
  <si>
    <t>DateTime In</t>
  </si>
  <si>
    <t>Second Wt</t>
  </si>
  <si>
    <t>DateTime Out</t>
  </si>
  <si>
    <t>Net Wt</t>
  </si>
  <si>
    <t>Material Name</t>
  </si>
  <si>
    <t>Supplier Name</t>
  </si>
  <si>
    <t>Bags</t>
  </si>
  <si>
    <t>Size</t>
  </si>
  <si>
    <t>Bag Wgt</t>
  </si>
  <si>
    <t>Wgt-Bag</t>
  </si>
  <si>
    <t>BOUNCING</t>
  </si>
  <si>
    <t>NET WEIGHT</t>
  </si>
  <si>
    <t>MOISTURE</t>
  </si>
  <si>
    <t>GERMINATION</t>
  </si>
  <si>
    <t>REMARK</t>
  </si>
  <si>
    <t>RATE</t>
  </si>
  <si>
    <t>AMOUNT</t>
  </si>
  <si>
    <t>CHEQUE</t>
  </si>
  <si>
    <t>CASH</t>
  </si>
  <si>
    <t>FLAG</t>
  </si>
  <si>
    <t>GRADING DATE</t>
  </si>
  <si>
    <t>CODE</t>
  </si>
  <si>
    <t>VARIETY</t>
  </si>
  <si>
    <t>WEIGHT RECPT</t>
  </si>
  <si>
    <t>GRADED BAGS</t>
  </si>
  <si>
    <t>GRADED BAG SIZE</t>
  </si>
  <si>
    <t>GRADED QUANTITY</t>
  </si>
  <si>
    <t>GRADED LOOSE</t>
  </si>
  <si>
    <t>UNDERSIZE</t>
  </si>
  <si>
    <t>U/s Bags</t>
  </si>
  <si>
    <t>UNDERSIZE %</t>
  </si>
  <si>
    <t>LOCATION</t>
  </si>
  <si>
    <t>DIFFERENCE</t>
  </si>
  <si>
    <t>FLAG2</t>
  </si>
  <si>
    <t>PACKING DATE</t>
  </si>
  <si>
    <t>Graded2</t>
  </si>
  <si>
    <t>Packed Quantity</t>
  </si>
  <si>
    <t>Remaining Quantity</t>
  </si>
  <si>
    <t>NO OF BAGS</t>
  </si>
  <si>
    <t>PACKING BAG SIZE</t>
  </si>
  <si>
    <t>Packing Quantity</t>
  </si>
  <si>
    <t>PACKING LOOSE</t>
  </si>
  <si>
    <t>GHAMSI</t>
  </si>
  <si>
    <t>Total packed</t>
  </si>
  <si>
    <t>Difference3</t>
  </si>
  <si>
    <t>MOISTURE4</t>
  </si>
  <si>
    <t>GERMINATION5</t>
  </si>
  <si>
    <t>DATE</t>
  </si>
  <si>
    <t>U/S BAG</t>
  </si>
  <si>
    <t>GRADING ENTRY</t>
  </si>
  <si>
    <t>Packing Data Entry</t>
  </si>
  <si>
    <t>Date</t>
  </si>
  <si>
    <t>Name</t>
  </si>
  <si>
    <t>Weight -Bag</t>
  </si>
  <si>
    <t>Graded</t>
  </si>
  <si>
    <t>Graded Quantity</t>
  </si>
  <si>
    <t/>
  </si>
  <si>
    <t>Remaining Grading</t>
  </si>
  <si>
    <t>.</t>
  </si>
  <si>
    <t>Total Graded Qty</t>
  </si>
  <si>
    <t>TOTAL Packed Quantity</t>
  </si>
  <si>
    <t>Difference</t>
  </si>
  <si>
    <t>U/S %</t>
  </si>
  <si>
    <t>* Compulsory entry</t>
  </si>
  <si>
    <t>packed Quantity</t>
  </si>
  <si>
    <t>PACKING  VALUES</t>
  </si>
  <si>
    <t>*</t>
  </si>
  <si>
    <t>Grand Total</t>
  </si>
  <si>
    <t>INWARD BAGS</t>
  </si>
  <si>
    <t>Wgt-BagS</t>
  </si>
  <si>
    <t>GRADED BAG</t>
  </si>
  <si>
    <t>U/s</t>
  </si>
  <si>
    <t>packed bags</t>
  </si>
  <si>
    <t>Packed Qty</t>
  </si>
  <si>
    <t>LOT NO</t>
  </si>
  <si>
    <t>REMARK / LOCATOIN</t>
  </si>
  <si>
    <t>GRADED BAG QUANTITY</t>
  </si>
  <si>
    <t>Total Graded</t>
  </si>
  <si>
    <t>Final Graded</t>
  </si>
  <si>
    <t>Total Graded QT</t>
  </si>
  <si>
    <t>BAG SIZE</t>
  </si>
  <si>
    <t>US BAGS</t>
  </si>
  <si>
    <t>Remaining packing</t>
  </si>
  <si>
    <t>Remaining Gradings</t>
  </si>
  <si>
    <t>Remaining packings</t>
  </si>
  <si>
    <t>BAGS COUNT</t>
  </si>
  <si>
    <t>kg</t>
  </si>
  <si>
    <t>Trip Id</t>
  </si>
  <si>
    <t>Weighing Unit</t>
  </si>
  <si>
    <t>User</t>
  </si>
  <si>
    <t>Shift</t>
  </si>
  <si>
    <t>No.</t>
  </si>
  <si>
    <t>GRADED</t>
  </si>
  <si>
    <t>Farmer</t>
  </si>
  <si>
    <t>Village</t>
  </si>
  <si>
    <t>Slip Wt</t>
  </si>
  <si>
    <t>Bag Wt</t>
  </si>
  <si>
    <t>Bounching</t>
  </si>
  <si>
    <t>Amount</t>
  </si>
  <si>
    <t>Rate</t>
  </si>
  <si>
    <t>Qtl</t>
  </si>
  <si>
    <t>Rs</t>
  </si>
  <si>
    <t>INWARD</t>
  </si>
  <si>
    <t>REMAINING</t>
  </si>
  <si>
    <t>PACKED</t>
  </si>
  <si>
    <t>KATA PARCHI</t>
  </si>
  <si>
    <t>SLIP WEIGHT</t>
  </si>
  <si>
    <t>Sno</t>
  </si>
  <si>
    <t>FINAL WT</t>
  </si>
  <si>
    <t>FARMTRAC</t>
  </si>
  <si>
    <t>BAG-WT</t>
  </si>
  <si>
    <t>admin</t>
  </si>
  <si>
    <t>B</t>
  </si>
  <si>
    <t>A</t>
  </si>
  <si>
    <t>`</t>
  </si>
  <si>
    <t>(blank)</t>
  </si>
  <si>
    <t>STARTING GRADING</t>
  </si>
  <si>
    <t>TODAY</t>
  </si>
  <si>
    <t>DAYS</t>
  </si>
  <si>
    <t>AV GRADING SPEED</t>
  </si>
  <si>
    <t>JOHN GOPAL</t>
  </si>
  <si>
    <t>LOK 1</t>
  </si>
  <si>
    <t>GOPAL BAGODA</t>
  </si>
  <si>
    <t>JOHN 2</t>
  </si>
  <si>
    <t>MP13AE0697</t>
  </si>
  <si>
    <t>JOHN 3</t>
  </si>
  <si>
    <t>MAHINDRA GOPAL</t>
  </si>
  <si>
    <t>BAGS</t>
  </si>
  <si>
    <t>WGT</t>
  </si>
  <si>
    <t>TOTAL</t>
  </si>
  <si>
    <t>U/S</t>
  </si>
  <si>
    <t>MAHINDRA</t>
  </si>
  <si>
    <t>DEERE GOPAL</t>
  </si>
  <si>
    <t>MP09GF4480</t>
  </si>
  <si>
    <t>BADRILALJI BAGODA</t>
  </si>
  <si>
    <t>SWARAJ BADRILAL</t>
  </si>
  <si>
    <t>JOHN BADRILAL</t>
  </si>
  <si>
    <t>FARM BADRILAL</t>
  </si>
  <si>
    <t>MP13AG9129</t>
  </si>
  <si>
    <t>GW-543</t>
  </si>
  <si>
    <t>DILIPSINGH GOYALAKHURD</t>
  </si>
  <si>
    <t>JOHN GOYLA</t>
  </si>
  <si>
    <t>GW-555</t>
  </si>
  <si>
    <t>EICHER</t>
  </si>
  <si>
    <t>KARANSINGH BAGODA</t>
  </si>
  <si>
    <t>POWTERTRAC</t>
  </si>
  <si>
    <t>FARM KARAN</t>
  </si>
  <si>
    <t>FARM JEEVAN</t>
  </si>
  <si>
    <t>JOHN JEEVAN</t>
  </si>
  <si>
    <t>A9</t>
  </si>
  <si>
    <t>MP41GA1333</t>
  </si>
  <si>
    <t>HI-1650</t>
  </si>
  <si>
    <t>RAMLAL JAIN AALAMPUR UDANA</t>
  </si>
  <si>
    <t>MP13ZF1322</t>
  </si>
  <si>
    <t>JOHN SHARMA</t>
  </si>
  <si>
    <t>BHAGIRATH SHARMA AALAMPUR UDANA</t>
  </si>
  <si>
    <t>SWARAJ JAIN</t>
  </si>
  <si>
    <t>SHARMA2</t>
  </si>
  <si>
    <t>MAHINDRA SHARMA</t>
  </si>
  <si>
    <t>SONALIKA SHARMA</t>
  </si>
  <si>
    <t>MP13ZH5877</t>
  </si>
  <si>
    <t>YUVO JAIN</t>
  </si>
  <si>
    <t>SONA JAIN</t>
  </si>
  <si>
    <t>TIGER JAIN</t>
  </si>
  <si>
    <t>DI50 JAIN</t>
  </si>
  <si>
    <t>585 JAIN</t>
  </si>
  <si>
    <t>A8</t>
  </si>
  <si>
    <t>JOHN</t>
  </si>
  <si>
    <t>GW-513</t>
  </si>
  <si>
    <t>MEHAMOODBHAI BADODIYAKAZI</t>
  </si>
  <si>
    <t>SWARAJ</t>
  </si>
  <si>
    <t>NEW HOLLAND</t>
  </si>
  <si>
    <t>PUSA MANAV</t>
  </si>
  <si>
    <t>DASHRATH PANDYA DAUKHEDI</t>
  </si>
  <si>
    <t>DL1M47281</t>
  </si>
  <si>
    <t>SANDEEP NIMBODA</t>
  </si>
  <si>
    <t>PATEL</t>
  </si>
  <si>
    <t>MP09GF0868</t>
  </si>
  <si>
    <t>JOHN SANDEEP</t>
  </si>
  <si>
    <t>HAKAMSINGH RALAYTA</t>
  </si>
  <si>
    <t>JOHN NILESH</t>
  </si>
  <si>
    <t>NILESH YADAV BIRGODA</t>
  </si>
  <si>
    <t>3600 MAHENDRA</t>
  </si>
  <si>
    <t>B12</t>
  </si>
  <si>
    <t>(All)</t>
  </si>
  <si>
    <t>MP09GE7627</t>
  </si>
  <si>
    <t>GW-322</t>
  </si>
  <si>
    <t>AALOK CHODHARY SAYARKHEDI</t>
  </si>
  <si>
    <t>B9</t>
  </si>
  <si>
    <t>diff</t>
  </si>
  <si>
    <t>gr+us total</t>
  </si>
  <si>
    <t>MP09GF0898</t>
  </si>
  <si>
    <t>HI-8713 PUSA MANGAL</t>
  </si>
  <si>
    <t>PAWAN JAT MUNDAT</t>
  </si>
  <si>
    <t>A6</t>
  </si>
  <si>
    <t>HI-8759 PUSA TEJAS</t>
  </si>
  <si>
    <t>INDARSINGH RAMGARH</t>
  </si>
  <si>
    <t>MP42ZC5532</t>
  </si>
  <si>
    <t>PRADHAN</t>
  </si>
  <si>
    <t>IBRAHIM KHAN SHAJAPUR</t>
  </si>
  <si>
    <t>MP42AA4955</t>
  </si>
  <si>
    <t>SONA SANDEEP</t>
  </si>
  <si>
    <t>MP13ZY3240</t>
  </si>
  <si>
    <t>RAMCHANDRA JITARKHEDI</t>
  </si>
  <si>
    <t>SONALIKA</t>
  </si>
  <si>
    <t>MP13GB1398</t>
  </si>
  <si>
    <t>MP09GF5599</t>
  </si>
  <si>
    <t>VIKRAM JAT KHANDODA</t>
  </si>
  <si>
    <t>MP13ZR0497</t>
  </si>
  <si>
    <t>HI-8830</t>
  </si>
  <si>
    <t>CG04QR7499</t>
  </si>
  <si>
    <t>HI-8850</t>
  </si>
  <si>
    <t>SWARAJ BHESLA</t>
  </si>
  <si>
    <t>SHIVRAM JAT BHESLA</t>
  </si>
  <si>
    <t>SONALIKA BHESLA</t>
  </si>
  <si>
    <t>3 SR 72</t>
  </si>
  <si>
    <t>YUVO DINESH</t>
  </si>
  <si>
    <t>DINESH PATEL PIPLIYARAGHO</t>
  </si>
  <si>
    <t>FERGUSAN DINE 1</t>
  </si>
  <si>
    <t>SONALIKA DINESH</t>
  </si>
  <si>
    <t>FER DINESH 2</t>
  </si>
  <si>
    <t>MASSEY DINESH</t>
  </si>
  <si>
    <t>HOLLAND DINESH</t>
  </si>
  <si>
    <t>MAHINDRA DINESH</t>
  </si>
  <si>
    <t>FARM MAHENDRASI</t>
  </si>
  <si>
    <t>MAHENDRASINGH AMARPURA</t>
  </si>
  <si>
    <t>MASSY DINESH</t>
  </si>
  <si>
    <t>HI-8849</t>
  </si>
  <si>
    <t>HOLLAND ALOK</t>
  </si>
  <si>
    <t>NEW AALOK</t>
  </si>
  <si>
    <t>MP13GB2884</t>
  </si>
  <si>
    <t>HOLLAND AALOK</t>
  </si>
  <si>
    <t>HOLLAND</t>
  </si>
  <si>
    <t>AWADHESH AANJANA</t>
  </si>
  <si>
    <t>A5</t>
  </si>
  <si>
    <t>SREERAM 303</t>
  </si>
  <si>
    <t>MP09GE0760</t>
  </si>
  <si>
    <t>LAKHANSINGH MUNDALASULEMAN</t>
  </si>
  <si>
    <t>CG07CG5954</t>
  </si>
  <si>
    <t>SONALIKA ASHISH</t>
  </si>
  <si>
    <t>ASHISH SARIYA KACHNARIYA</t>
  </si>
  <si>
    <t>SWARAJ ASHISH</t>
  </si>
  <si>
    <t>A5/A6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</si>
</sst>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/m/yyyy"/>
    <numFmt numFmtId="165" formatCode="dd/mm/yy\ "/>
    <numFmt numFmtId="166" formatCode="[&gt;9999999]&quot;₹&quot;\ ##\,##\,##\,###;[&gt;99999]#\,##\,###;###,###"/>
  </numFmts>
  <fonts count="56" x14ac:knownFonts="1">
    <font>
      <sz val="11"/>
      <color theme="1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b/>
      <i/>
      <sz val="12"/>
      <color theme="1"/>
      <name val="Arial"/>
      <family val="2"/>
    </font>
    <font>
      <b/>
      <sz val="11"/>
      <color rgb="FF0C0C0C"/>
      <name val="Calibri"/>
      <family val="2"/>
    </font>
    <font>
      <b/>
      <sz val="9"/>
      <color rgb="FF000000"/>
      <name val="Arial"/>
      <family val="2"/>
    </font>
    <font>
      <b/>
      <sz val="10"/>
      <color theme="1"/>
      <name val="Arial"/>
      <family val="2"/>
    </font>
    <font>
      <b/>
      <sz val="9"/>
      <color rgb="FF002060"/>
      <name val="Arial"/>
      <family val="2"/>
    </font>
    <font>
      <b/>
      <sz val="11"/>
      <color theme="1"/>
      <name val="Arial"/>
      <family val="2"/>
    </font>
    <font>
      <b/>
      <sz val="15"/>
      <color rgb="FF000000"/>
      <name val="Arial"/>
      <family val="2"/>
    </font>
    <font>
      <sz val="11"/>
      <name val="Arial"/>
      <family val="2"/>
    </font>
    <font>
      <b/>
      <sz val="11"/>
      <color rgb="FFFA7D00"/>
      <name val="Arial"/>
      <family val="2"/>
    </font>
    <font>
      <i/>
      <sz val="11"/>
      <color rgb="FF7F7F7F"/>
      <name val="Arial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1"/>
      <name val="Arial"/>
      <family val="2"/>
      <scheme val="minor"/>
    </font>
    <font>
      <b/>
      <sz val="11"/>
      <color theme="1"/>
      <name val="Cambria"/>
      <family val="1"/>
    </font>
    <font>
      <sz val="11"/>
      <color rgb="FFFF0000"/>
      <name val="Calibri"/>
      <family val="2"/>
    </font>
    <font>
      <b/>
      <sz val="14"/>
      <color rgb="FFFF0000"/>
      <name val="Calibri"/>
      <family val="2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b/>
      <sz val="9"/>
      <color theme="1"/>
      <name val="Arial"/>
      <family val="2"/>
    </font>
    <font>
      <sz val="14"/>
      <color rgb="FF00000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1"/>
      <color rgb="FF000000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D8E7EE"/>
        <bgColor rgb="FFD8E7EE"/>
      </patternFill>
    </fill>
    <fill>
      <patternFill patternType="solid">
        <fgColor rgb="FFFFC000"/>
        <bgColor rgb="FFFFC000"/>
      </patternFill>
    </fill>
    <fill>
      <patternFill patternType="solid">
        <fgColor rgb="FFF2DBDB"/>
        <bgColor rgb="FFF2DBDB"/>
      </patternFill>
    </fill>
    <fill>
      <patternFill patternType="solid">
        <fgColor rgb="FFD99594"/>
        <bgColor rgb="FFD99594"/>
      </patternFill>
    </fill>
    <fill>
      <patternFill patternType="solid">
        <fgColor rgb="FFB2A1C7"/>
        <bgColor rgb="FFB2A1C7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92D050"/>
      </patternFill>
    </fill>
    <fill>
      <patternFill patternType="solid">
        <fgColor rgb="FFF2F2F2"/>
        <bgColor rgb="FFF2F2F2"/>
      </patternFill>
    </fill>
    <fill>
      <patternFill patternType="solid">
        <fgColor rgb="FF00B050"/>
        <bgColor rgb="FF00B050"/>
      </patternFill>
    </fill>
    <fill>
      <patternFill patternType="solid">
        <fgColor rgb="FFFFFFFF"/>
        <bgColor indexed="64"/>
      </patternFill>
    </fill>
    <fill>
      <patternFill patternType="solid">
        <fgColor rgb="FFD8E7EE"/>
        <bgColor indexed="64"/>
      </patternFill>
    </fill>
    <fill>
      <patternFill patternType="solid">
        <fgColor theme="9" tint="0.59999389629810485"/>
        <bgColor rgb="FFD8E7E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D8E7EE"/>
      </patternFill>
    </fill>
    <fill>
      <patternFill patternType="solid">
        <fgColor theme="0"/>
        <bgColor indexed="64"/>
      </patternFill>
    </fill>
    <fill>
      <patternFill patternType="solid">
        <fgColor rgb="FFDBE5F1"/>
        <bgColor rgb="FFDBE5F1"/>
      </patternFill>
    </fill>
  </fills>
  <borders count="3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72AAC0"/>
      </right>
      <top style="thin">
        <color rgb="FF72AAC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2AAC0"/>
      </left>
      <right style="thin">
        <color rgb="FF72AAC0"/>
      </right>
      <top style="thin">
        <color rgb="FF72AAC0"/>
      </top>
      <bottom style="thin">
        <color rgb="FF72AAC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2AAC0"/>
      </left>
      <right/>
      <top style="thin">
        <color rgb="FF72AAC0"/>
      </top>
      <bottom/>
      <diagonal/>
    </border>
    <border>
      <left/>
      <right/>
      <top style="thin">
        <color rgb="FF72AAC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1" fontId="25" fillId="0" borderId="0" xfId="0" applyNumberFormat="1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14" fontId="24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14" fontId="26" fillId="0" borderId="0" xfId="0" applyNumberFormat="1" applyFont="1"/>
    <xf numFmtId="0" fontId="27" fillId="2" borderId="1" xfId="0" applyFont="1" applyFill="1" applyBorder="1" applyAlignment="1">
      <alignment horizontal="center" vertical="center" wrapText="1"/>
    </xf>
    <xf numFmtId="0" fontId="27" fillId="2" borderId="2" xfId="0" applyFont="1" applyFill="1" applyBorder="1" applyAlignment="1">
      <alignment horizontal="center" vertical="center" wrapText="1"/>
    </xf>
    <xf numFmtId="0" fontId="27" fillId="2" borderId="2" xfId="0" applyFont="1" applyFill="1" applyBorder="1" applyAlignment="1">
      <alignment vertical="center" wrapText="1"/>
    </xf>
    <xf numFmtId="2" fontId="27" fillId="2" borderId="2" xfId="0" applyNumberFormat="1" applyFont="1" applyFill="1" applyBorder="1" applyAlignment="1">
      <alignment horizontal="center" vertical="center" wrapText="1"/>
    </xf>
    <xf numFmtId="2" fontId="28" fillId="3" borderId="3" xfId="0" applyNumberFormat="1" applyFont="1" applyFill="1" applyBorder="1" applyAlignment="1">
      <alignment horizontal="center" vertical="center" wrapText="1"/>
    </xf>
    <xf numFmtId="1" fontId="28" fillId="4" borderId="3" xfId="0" applyNumberFormat="1" applyFont="1" applyFill="1" applyBorder="1" applyAlignment="1">
      <alignment horizontal="center" vertical="center" wrapText="1"/>
    </xf>
    <xf numFmtId="1" fontId="28" fillId="4" borderId="4" xfId="0" applyNumberFormat="1" applyFont="1" applyFill="1" applyBorder="1" applyAlignment="1">
      <alignment horizontal="center" vertical="center" wrapText="1"/>
    </xf>
    <xf numFmtId="2" fontId="25" fillId="4" borderId="5" xfId="0" applyNumberFormat="1" applyFont="1" applyFill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 wrapText="1"/>
    </xf>
    <xf numFmtId="0" fontId="31" fillId="5" borderId="7" xfId="0" applyFont="1" applyFill="1" applyBorder="1" applyAlignment="1">
      <alignment horizontal="center" vertical="center" wrapText="1"/>
    </xf>
    <xf numFmtId="0" fontId="25" fillId="6" borderId="8" xfId="0" applyFont="1" applyFill="1" applyBorder="1" applyAlignment="1">
      <alignment horizontal="center" vertical="center" wrapText="1"/>
    </xf>
    <xf numFmtId="0" fontId="24" fillId="0" borderId="5" xfId="0" applyFont="1" applyBorder="1" applyAlignment="1">
      <alignment horizontal="center"/>
    </xf>
    <xf numFmtId="0" fontId="24" fillId="0" borderId="5" xfId="0" applyFont="1" applyBorder="1"/>
    <xf numFmtId="22" fontId="24" fillId="0" borderId="5" xfId="0" applyNumberFormat="1" applyFont="1" applyBorder="1" applyAlignment="1">
      <alignment horizontal="center"/>
    </xf>
    <xf numFmtId="2" fontId="24" fillId="0" borderId="5" xfId="0" applyNumberFormat="1" applyFont="1" applyBorder="1" applyAlignment="1">
      <alignment horizontal="center"/>
    </xf>
    <xf numFmtId="1" fontId="24" fillId="0" borderId="5" xfId="0" applyNumberFormat="1" applyFont="1" applyBorder="1" applyAlignment="1">
      <alignment horizontal="center"/>
    </xf>
    <xf numFmtId="2" fontId="24" fillId="7" borderId="5" xfId="0" applyNumberFormat="1" applyFont="1" applyFill="1" applyBorder="1"/>
    <xf numFmtId="2" fontId="24" fillId="0" borderId="5" xfId="0" applyNumberFormat="1" applyFont="1" applyBorder="1"/>
    <xf numFmtId="14" fontId="26" fillId="0" borderId="5" xfId="0" applyNumberFormat="1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2" fontId="26" fillId="0" borderId="5" xfId="0" applyNumberFormat="1" applyFont="1" applyBorder="1" applyAlignment="1">
      <alignment horizontal="center"/>
    </xf>
    <xf numFmtId="2" fontId="24" fillId="0" borderId="5" xfId="0" applyNumberFormat="1" applyFont="1" applyBorder="1" applyAlignment="1">
      <alignment horizontal="center" vertical="center"/>
    </xf>
    <xf numFmtId="14" fontId="26" fillId="0" borderId="5" xfId="0" applyNumberFormat="1" applyFont="1" applyBorder="1"/>
    <xf numFmtId="0" fontId="26" fillId="0" borderId="5" xfId="0" applyFont="1" applyBorder="1"/>
    <xf numFmtId="164" fontId="24" fillId="0" borderId="5" xfId="0" applyNumberFormat="1" applyFont="1" applyBorder="1" applyAlignment="1">
      <alignment horizontal="center" vertical="center"/>
    </xf>
    <xf numFmtId="2" fontId="24" fillId="0" borderId="5" xfId="0" applyNumberFormat="1" applyFont="1" applyBorder="1" applyAlignment="1">
      <alignment horizontal="right"/>
    </xf>
    <xf numFmtId="0" fontId="25" fillId="7" borderId="5" xfId="0" applyFont="1" applyFill="1" applyBorder="1" applyAlignment="1">
      <alignment horizontal="center" vertical="center" wrapText="1"/>
    </xf>
    <xf numFmtId="0" fontId="29" fillId="7" borderId="5" xfId="0" applyFont="1" applyFill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/>
    </xf>
    <xf numFmtId="0" fontId="25" fillId="8" borderId="12" xfId="0" applyFont="1" applyFill="1" applyBorder="1"/>
    <xf numFmtId="14" fontId="24" fillId="0" borderId="13" xfId="0" applyNumberFormat="1" applyFont="1" applyBorder="1" applyAlignment="1">
      <alignment horizontal="center"/>
    </xf>
    <xf numFmtId="0" fontId="25" fillId="7" borderId="15" xfId="0" applyFont="1" applyFill="1" applyBorder="1" applyAlignment="1">
      <alignment horizontal="left"/>
    </xf>
    <xf numFmtId="2" fontId="24" fillId="0" borderId="13" xfId="0" applyNumberFormat="1" applyFont="1" applyBorder="1" applyAlignment="1">
      <alignment horizontal="center"/>
    </xf>
    <xf numFmtId="0" fontId="24" fillId="0" borderId="0" xfId="0" applyFont="1"/>
    <xf numFmtId="0" fontId="36" fillId="0" borderId="17" xfId="0" applyFont="1" applyBorder="1" applyAlignment="1">
      <alignment horizontal="left" vertical="center"/>
    </xf>
    <xf numFmtId="2" fontId="36" fillId="0" borderId="13" xfId="0" applyNumberFormat="1" applyFont="1" applyBorder="1" applyAlignment="1">
      <alignment horizontal="center"/>
    </xf>
    <xf numFmtId="0" fontId="26" fillId="0" borderId="0" xfId="0" applyFont="1"/>
    <xf numFmtId="0" fontId="25" fillId="7" borderId="19" xfId="0" applyFont="1" applyFill="1" applyBorder="1" applyAlignment="1">
      <alignment horizontal="left"/>
    </xf>
    <xf numFmtId="1" fontId="24" fillId="0" borderId="13" xfId="0" applyNumberFormat="1" applyFont="1" applyBorder="1" applyAlignment="1">
      <alignment horizontal="center"/>
    </xf>
    <xf numFmtId="0" fontId="37" fillId="0" borderId="0" xfId="0" applyFont="1" applyAlignment="1">
      <alignment horizontal="center" vertical="top"/>
    </xf>
    <xf numFmtId="0" fontId="25" fillId="0" borderId="17" xfId="0" applyFont="1" applyBorder="1" applyAlignment="1">
      <alignment horizontal="center" vertical="center"/>
    </xf>
    <xf numFmtId="1" fontId="24" fillId="0" borderId="20" xfId="0" applyNumberFormat="1" applyFont="1" applyBorder="1" applyAlignment="1">
      <alignment horizontal="center"/>
    </xf>
    <xf numFmtId="2" fontId="24" fillId="0" borderId="20" xfId="0" applyNumberFormat="1" applyFont="1" applyBorder="1" applyAlignment="1">
      <alignment horizontal="center"/>
    </xf>
    <xf numFmtId="0" fontId="25" fillId="7" borderId="21" xfId="0" applyFont="1" applyFill="1" applyBorder="1" applyAlignment="1">
      <alignment horizontal="left"/>
    </xf>
    <xf numFmtId="0" fontId="38" fillId="0" borderId="0" xfId="0" applyFont="1"/>
    <xf numFmtId="0" fontId="39" fillId="0" borderId="0" xfId="0" applyFont="1"/>
    <xf numFmtId="2" fontId="26" fillId="0" borderId="0" xfId="0" applyNumberFormat="1" applyFont="1"/>
    <xf numFmtId="0" fontId="40" fillId="0" borderId="0" xfId="0" applyFont="1"/>
    <xf numFmtId="2" fontId="32" fillId="0" borderId="0" xfId="0" applyNumberFormat="1" applyFont="1"/>
    <xf numFmtId="164" fontId="24" fillId="0" borderId="0" xfId="0" applyNumberFormat="1" applyFont="1"/>
    <xf numFmtId="2" fontId="24" fillId="0" borderId="0" xfId="0" applyNumberFormat="1" applyFont="1"/>
    <xf numFmtId="1" fontId="24" fillId="0" borderId="0" xfId="0" applyNumberFormat="1" applyFont="1"/>
    <xf numFmtId="0" fontId="25" fillId="0" borderId="5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 wrapText="1"/>
    </xf>
    <xf numFmtId="0" fontId="25" fillId="7" borderId="21" xfId="0" applyFont="1" applyFill="1" applyBorder="1" applyAlignment="1">
      <alignment vertical="center" wrapText="1"/>
    </xf>
    <xf numFmtId="0" fontId="30" fillId="0" borderId="0" xfId="0" applyFont="1" applyAlignment="1">
      <alignment vertical="center" wrapText="1"/>
    </xf>
    <xf numFmtId="0" fontId="29" fillId="7" borderId="21" xfId="0" applyFont="1" applyFill="1" applyBorder="1" applyAlignment="1">
      <alignment vertical="center" wrapText="1"/>
    </xf>
    <xf numFmtId="0" fontId="25" fillId="7" borderId="21" xfId="0" applyFont="1" applyFill="1" applyBorder="1" applyAlignment="1">
      <alignment horizontal="left" vertical="center" wrapText="1"/>
    </xf>
    <xf numFmtId="14" fontId="24" fillId="0" borderId="22" xfId="0" applyNumberFormat="1" applyFont="1" applyBorder="1" applyAlignment="1">
      <alignment horizontal="center"/>
    </xf>
    <xf numFmtId="0" fontId="25" fillId="0" borderId="0" xfId="0" applyFont="1" applyAlignment="1">
      <alignment wrapText="1"/>
    </xf>
    <xf numFmtId="2" fontId="24" fillId="0" borderId="20" xfId="0" applyNumberFormat="1" applyFont="1" applyBorder="1" applyAlignment="1">
      <alignment horizontal="center" vertical="center"/>
    </xf>
    <xf numFmtId="0" fontId="42" fillId="0" borderId="0" xfId="0" applyFont="1"/>
    <xf numFmtId="0" fontId="43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right"/>
    </xf>
    <xf numFmtId="2" fontId="2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/>
    <xf numFmtId="0" fontId="44" fillId="0" borderId="0" xfId="0" applyFont="1"/>
    <xf numFmtId="0" fontId="44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0" fontId="21" fillId="0" borderId="0" xfId="0" applyFont="1"/>
    <xf numFmtId="0" fontId="20" fillId="0" borderId="0" xfId="0" applyFont="1"/>
    <xf numFmtId="0" fontId="45" fillId="0" borderId="5" xfId="0" applyFont="1" applyBorder="1"/>
    <xf numFmtId="0" fontId="45" fillId="0" borderId="9" xfId="0" applyFont="1" applyBorder="1"/>
    <xf numFmtId="0" fontId="25" fillId="5" borderId="9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29" fillId="5" borderId="9" xfId="0" applyFont="1" applyFill="1" applyBorder="1" applyAlignment="1">
      <alignment horizontal="center" vertical="center" wrapText="1"/>
    </xf>
    <xf numFmtId="0" fontId="30" fillId="5" borderId="9" xfId="0" applyFont="1" applyFill="1" applyBorder="1" applyAlignment="1">
      <alignment horizontal="center" vertical="center" wrapText="1"/>
    </xf>
    <xf numFmtId="14" fontId="25" fillId="6" borderId="9" xfId="0" applyNumberFormat="1" applyFont="1" applyFill="1" applyBorder="1" applyAlignment="1">
      <alignment horizontal="center" vertical="center"/>
    </xf>
    <xf numFmtId="2" fontId="45" fillId="0" borderId="5" xfId="0" applyNumberFormat="1" applyFont="1" applyBorder="1"/>
    <xf numFmtId="0" fontId="19" fillId="0" borderId="0" xfId="0" applyFont="1"/>
    <xf numFmtId="2" fontId="0" fillId="0" borderId="0" xfId="0" applyNumberFormat="1"/>
    <xf numFmtId="22" fontId="24" fillId="0" borderId="24" xfId="0" applyNumberFormat="1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2" fontId="46" fillId="7" borderId="5" xfId="0" applyNumberFormat="1" applyFont="1" applyFill="1" applyBorder="1"/>
    <xf numFmtId="2" fontId="46" fillId="0" borderId="5" xfId="0" applyNumberFormat="1" applyFont="1" applyBorder="1"/>
    <xf numFmtId="14" fontId="45" fillId="0" borderId="5" xfId="0" applyNumberFormat="1" applyFont="1" applyBorder="1" applyAlignment="1">
      <alignment horizontal="center"/>
    </xf>
    <xf numFmtId="0" fontId="45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2" fontId="46" fillId="0" borderId="5" xfId="0" applyNumberFormat="1" applyFont="1" applyBorder="1" applyAlignment="1">
      <alignment horizontal="center" vertical="center"/>
    </xf>
    <xf numFmtId="14" fontId="45" fillId="0" borderId="5" xfId="0" applyNumberFormat="1" applyFont="1" applyBorder="1"/>
    <xf numFmtId="0" fontId="18" fillId="0" borderId="0" xfId="0" applyFont="1"/>
    <xf numFmtId="0" fontId="26" fillId="0" borderId="25" xfId="0" applyFont="1" applyBorder="1"/>
    <xf numFmtId="0" fontId="26" fillId="0" borderId="9" xfId="0" applyFont="1" applyBorder="1"/>
    <xf numFmtId="0" fontId="48" fillId="0" borderId="0" xfId="0" applyFont="1"/>
    <xf numFmtId="0" fontId="0" fillId="11" borderId="26" xfId="0" applyFill="1" applyBorder="1"/>
    <xf numFmtId="0" fontId="17" fillId="0" borderId="0" xfId="0" applyFont="1"/>
    <xf numFmtId="2" fontId="26" fillId="0" borderId="0" xfId="0" applyNumberFormat="1" applyFont="1" applyAlignment="1">
      <alignment horizontal="center"/>
    </xf>
    <xf numFmtId="2" fontId="44" fillId="0" borderId="0" xfId="0" applyNumberFormat="1" applyFont="1" applyAlignment="1">
      <alignment horizontal="center" vertical="center"/>
    </xf>
    <xf numFmtId="0" fontId="47" fillId="11" borderId="23" xfId="0" applyFont="1" applyFill="1" applyBorder="1" applyAlignment="1">
      <alignment horizontal="center" vertical="center" wrapText="1"/>
    </xf>
    <xf numFmtId="165" fontId="47" fillId="11" borderId="23" xfId="0" applyNumberFormat="1" applyFont="1" applyFill="1" applyBorder="1" applyAlignment="1">
      <alignment horizontal="center" vertical="center" wrapText="1"/>
    </xf>
    <xf numFmtId="0" fontId="0" fillId="0" borderId="23" xfId="0" applyBorder="1"/>
    <xf numFmtId="0" fontId="44" fillId="0" borderId="23" xfId="0" applyFont="1" applyBorder="1" applyAlignment="1">
      <alignment horizontal="center"/>
    </xf>
    <xf numFmtId="0" fontId="16" fillId="0" borderId="0" xfId="0" applyFont="1"/>
    <xf numFmtId="0" fontId="15" fillId="0" borderId="0" xfId="0" applyFont="1"/>
    <xf numFmtId="0" fontId="49" fillId="0" borderId="9" xfId="0" applyFont="1" applyBorder="1" applyAlignment="1">
      <alignment horizontal="center"/>
    </xf>
    <xf numFmtId="2" fontId="49" fillId="7" borderId="9" xfId="0" applyNumberFormat="1" applyFont="1" applyFill="1" applyBorder="1"/>
    <xf numFmtId="2" fontId="49" fillId="0" borderId="9" xfId="0" applyNumberFormat="1" applyFont="1" applyBorder="1"/>
    <xf numFmtId="14" fontId="50" fillId="0" borderId="9" xfId="0" applyNumberFormat="1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2" fontId="50" fillId="0" borderId="9" xfId="0" applyNumberFormat="1" applyFont="1" applyBorder="1" applyAlignment="1">
      <alignment horizontal="center"/>
    </xf>
    <xf numFmtId="2" fontId="49" fillId="0" borderId="9" xfId="0" applyNumberFormat="1" applyFont="1" applyBorder="1" applyAlignment="1">
      <alignment horizontal="center" vertical="center"/>
    </xf>
    <xf numFmtId="14" fontId="50" fillId="0" borderId="9" xfId="0" applyNumberFormat="1" applyFont="1" applyBorder="1"/>
    <xf numFmtId="0" fontId="50" fillId="0" borderId="9" xfId="0" applyFont="1" applyBorder="1"/>
    <xf numFmtId="0" fontId="0" fillId="0" borderId="21" xfId="0" applyBorder="1"/>
    <xf numFmtId="0" fontId="26" fillId="0" borderId="0" xfId="0" applyFont="1" applyAlignment="1">
      <alignment horizontal="center" wrapText="1"/>
    </xf>
    <xf numFmtId="2" fontId="26" fillId="0" borderId="0" xfId="0" applyNumberFormat="1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23" xfId="0" applyBorder="1" applyAlignment="1">
      <alignment wrapText="1"/>
    </xf>
    <xf numFmtId="2" fontId="0" fillId="0" borderId="23" xfId="0" applyNumberFormat="1" applyBorder="1" applyAlignment="1">
      <alignment wrapText="1"/>
    </xf>
    <xf numFmtId="0" fontId="0" fillId="0" borderId="23" xfId="0" pivotButton="1" applyBorder="1"/>
    <xf numFmtId="0" fontId="0" fillId="0" borderId="0" xfId="0" applyAlignment="1">
      <alignment horizontal="left"/>
    </xf>
    <xf numFmtId="0" fontId="24" fillId="0" borderId="0" xfId="0" applyFont="1" applyAlignment="1">
      <alignment horizontal="left"/>
    </xf>
    <xf numFmtId="0" fontId="49" fillId="0" borderId="5" xfId="0" applyFont="1" applyBorder="1" applyAlignment="1">
      <alignment horizontal="center"/>
    </xf>
    <xf numFmtId="1" fontId="49" fillId="0" borderId="5" xfId="0" applyNumberFormat="1" applyFont="1" applyBorder="1" applyAlignment="1">
      <alignment horizontal="center"/>
    </xf>
    <xf numFmtId="2" fontId="49" fillId="7" borderId="5" xfId="0" applyNumberFormat="1" applyFont="1" applyFill="1" applyBorder="1"/>
    <xf numFmtId="2" fontId="49" fillId="0" borderId="5" xfId="0" applyNumberFormat="1" applyFont="1" applyBorder="1"/>
    <xf numFmtId="14" fontId="50" fillId="0" borderId="5" xfId="0" applyNumberFormat="1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2" fontId="49" fillId="0" borderId="5" xfId="0" applyNumberFormat="1" applyFont="1" applyBorder="1" applyAlignment="1">
      <alignment horizontal="center" vertical="center"/>
    </xf>
    <xf numFmtId="14" fontId="50" fillId="0" borderId="5" xfId="0" applyNumberFormat="1" applyFont="1" applyBorder="1"/>
    <xf numFmtId="0" fontId="50" fillId="0" borderId="5" xfId="0" applyFont="1" applyBorder="1"/>
    <xf numFmtId="0" fontId="25" fillId="0" borderId="23" xfId="0" applyFont="1" applyBorder="1" applyAlignment="1">
      <alignment horizontal="right"/>
    </xf>
    <xf numFmtId="0" fontId="26" fillId="0" borderId="0" xfId="0" quotePrefix="1" applyFont="1"/>
    <xf numFmtId="2" fontId="0" fillId="0" borderId="23" xfId="0" applyNumberFormat="1" applyBorder="1" applyAlignment="1">
      <alignment horizontal="center"/>
    </xf>
    <xf numFmtId="0" fontId="25" fillId="14" borderId="23" xfId="0" applyFont="1" applyFill="1" applyBorder="1" applyAlignment="1">
      <alignment horizontal="right"/>
    </xf>
    <xf numFmtId="0" fontId="0" fillId="0" borderId="21" xfId="0" applyBorder="1" applyAlignment="1">
      <alignment horizontal="center"/>
    </xf>
    <xf numFmtId="0" fontId="44" fillId="0" borderId="21" xfId="0" applyFont="1" applyBorder="1"/>
    <xf numFmtId="0" fontId="44" fillId="0" borderId="21" xfId="0" applyFont="1" applyBorder="1" applyAlignment="1">
      <alignment horizontal="center"/>
    </xf>
    <xf numFmtId="0" fontId="44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" fontId="0" fillId="0" borderId="23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" fontId="26" fillId="0" borderId="0" xfId="0" applyNumberFormat="1" applyFont="1"/>
    <xf numFmtId="0" fontId="52" fillId="11" borderId="28" xfId="0" applyFont="1" applyFill="1" applyBorder="1" applyAlignment="1">
      <alignment horizontal="center" vertical="center" wrapText="1"/>
    </xf>
    <xf numFmtId="22" fontId="52" fillId="11" borderId="28" xfId="0" applyNumberFormat="1" applyFont="1" applyFill="1" applyBorder="1" applyAlignment="1">
      <alignment horizontal="center" vertical="center" wrapText="1"/>
    </xf>
    <xf numFmtId="166" fontId="25" fillId="0" borderId="0" xfId="0" applyNumberFormat="1" applyFont="1" applyAlignment="1">
      <alignment vertical="center"/>
    </xf>
    <xf numFmtId="0" fontId="24" fillId="0" borderId="24" xfId="0" applyFont="1" applyBorder="1" applyAlignment="1">
      <alignment horizontal="center"/>
    </xf>
    <xf numFmtId="2" fontId="24" fillId="7" borderId="29" xfId="0" applyNumberFormat="1" applyFont="1" applyFill="1" applyBorder="1"/>
    <xf numFmtId="1" fontId="24" fillId="0" borderId="25" xfId="0" applyNumberFormat="1" applyFont="1" applyBorder="1" applyAlignment="1">
      <alignment horizontal="center"/>
    </xf>
    <xf numFmtId="166" fontId="25" fillId="0" borderId="23" xfId="0" applyNumberFormat="1" applyFont="1" applyBorder="1" applyAlignment="1">
      <alignment horizontal="center" vertical="center"/>
    </xf>
    <xf numFmtId="166" fontId="44" fillId="0" borderId="23" xfId="0" applyNumberFormat="1" applyFont="1" applyBorder="1" applyAlignment="1">
      <alignment horizontal="right"/>
    </xf>
    <xf numFmtId="2" fontId="44" fillId="0" borderId="21" xfId="0" applyNumberFormat="1" applyFont="1" applyBorder="1" applyAlignment="1">
      <alignment horizontal="center" vertical="center"/>
    </xf>
    <xf numFmtId="16" fontId="0" fillId="0" borderId="30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44" fillId="0" borderId="27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/>
    <xf numFmtId="2" fontId="53" fillId="0" borderId="27" xfId="0" applyNumberFormat="1" applyFont="1" applyBorder="1" applyAlignment="1">
      <alignment horizontal="center" vertical="center"/>
    </xf>
    <xf numFmtId="0" fontId="14" fillId="0" borderId="21" xfId="0" applyFont="1" applyBorder="1"/>
    <xf numFmtId="1" fontId="44" fillId="0" borderId="27" xfId="0" applyNumberFormat="1" applyFon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0" fontId="52" fillId="12" borderId="28" xfId="0" applyFont="1" applyFill="1" applyBorder="1" applyAlignment="1">
      <alignment horizontal="center" vertical="center" wrapText="1"/>
    </xf>
    <xf numFmtId="0" fontId="0" fillId="11" borderId="33" xfId="0" applyFill="1" applyBorder="1"/>
    <xf numFmtId="0" fontId="0" fillId="11" borderId="34" xfId="0" applyFill="1" applyBorder="1"/>
    <xf numFmtId="0" fontId="53" fillId="11" borderId="34" xfId="0" applyFont="1" applyFill="1" applyBorder="1"/>
    <xf numFmtId="1" fontId="53" fillId="0" borderId="27" xfId="0" applyNumberFormat="1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14" fontId="0" fillId="0" borderId="0" xfId="0" applyNumberFormat="1"/>
    <xf numFmtId="2" fontId="54" fillId="0" borderId="0" xfId="0" applyNumberFormat="1" applyFont="1"/>
    <xf numFmtId="2" fontId="0" fillId="0" borderId="21" xfId="0" applyNumberFormat="1" applyBorder="1"/>
    <xf numFmtId="2" fontId="44" fillId="0" borderId="0" xfId="0" applyNumberFormat="1" applyFont="1"/>
    <xf numFmtId="0" fontId="12" fillId="0" borderId="23" xfId="0" applyFont="1" applyBorder="1" applyAlignment="1">
      <alignment horizontal="center" vertical="center"/>
    </xf>
    <xf numFmtId="16" fontId="12" fillId="0" borderId="23" xfId="0" applyNumberFormat="1" applyFont="1" applyBorder="1" applyAlignment="1">
      <alignment horizontal="center" vertical="center"/>
    </xf>
    <xf numFmtId="2" fontId="44" fillId="0" borderId="21" xfId="0" applyNumberFormat="1" applyFont="1" applyBorder="1"/>
    <xf numFmtId="0" fontId="11" fillId="0" borderId="2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9" fillId="0" borderId="21" xfId="0" applyFont="1" applyBorder="1"/>
    <xf numFmtId="2" fontId="46" fillId="0" borderId="5" xfId="0" applyNumberFormat="1" applyFont="1" applyBorder="1" applyAlignment="1">
      <alignment horizontal="center"/>
    </xf>
    <xf numFmtId="2" fontId="49" fillId="0" borderId="9" xfId="0" applyNumberFormat="1" applyFont="1" applyBorder="1" applyAlignment="1">
      <alignment horizontal="center"/>
    </xf>
    <xf numFmtId="2" fontId="49" fillId="0" borderId="5" xfId="0" applyNumberFormat="1" applyFont="1" applyBorder="1" applyAlignment="1">
      <alignment horizontal="center"/>
    </xf>
    <xf numFmtId="2" fontId="19" fillId="0" borderId="0" xfId="0" applyNumberFormat="1" applyFont="1"/>
    <xf numFmtId="0" fontId="25" fillId="0" borderId="35" xfId="0" applyFont="1" applyBorder="1" applyAlignment="1">
      <alignment horizontal="center" vertical="center"/>
    </xf>
    <xf numFmtId="2" fontId="24" fillId="0" borderId="23" xfId="0" applyNumberFormat="1" applyFont="1" applyBorder="1" applyAlignment="1">
      <alignment horizontal="center"/>
    </xf>
    <xf numFmtId="1" fontId="24" fillId="0" borderId="22" xfId="0" applyNumberFormat="1" applyFont="1" applyBorder="1" applyAlignment="1">
      <alignment horizontal="center"/>
    </xf>
    <xf numFmtId="0" fontId="8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16" fontId="7" fillId="0" borderId="23" xfId="0" applyNumberFormat="1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23" xfId="0" applyBorder="1" applyAlignment="1">
      <alignment horizontal="left"/>
    </xf>
    <xf numFmtId="0" fontId="0" fillId="0" borderId="23" xfId="0" pivotButton="1" applyBorder="1" applyAlignment="1">
      <alignment horizontal="left"/>
    </xf>
    <xf numFmtId="0" fontId="0" fillId="0" borderId="23" xfId="0" pivotButton="1" applyBorder="1" applyAlignment="1">
      <alignment horizontal="left" wrapText="1"/>
    </xf>
    <xf numFmtId="0" fontId="0" fillId="0" borderId="23" xfId="0" applyBorder="1" applyAlignment="1">
      <alignment horizontal="right" wrapText="1"/>
    </xf>
    <xf numFmtId="0" fontId="5" fillId="0" borderId="23" xfId="0" applyFont="1" applyBorder="1" applyAlignment="1">
      <alignment horizontal="center" vertical="center"/>
    </xf>
    <xf numFmtId="0" fontId="26" fillId="0" borderId="23" xfId="0" applyFont="1" applyBorder="1" applyAlignment="1">
      <alignment horizontal="left" wrapText="1"/>
    </xf>
    <xf numFmtId="0" fontId="24" fillId="17" borderId="5" xfId="0" applyFont="1" applyFill="1" applyBorder="1" applyAlignment="1">
      <alignment horizontal="center" vertical="center"/>
    </xf>
    <xf numFmtId="0" fontId="51" fillId="13" borderId="23" xfId="0" applyFont="1" applyFill="1" applyBorder="1" applyAlignment="1">
      <alignment horizontal="center" vertical="center" wrapText="1"/>
    </xf>
    <xf numFmtId="2" fontId="51" fillId="13" borderId="23" xfId="0" applyNumberFormat="1" applyFont="1" applyFill="1" applyBorder="1" applyAlignment="1">
      <alignment horizontal="center" vertical="center" wrapText="1"/>
    </xf>
    <xf numFmtId="2" fontId="51" fillId="15" borderId="21" xfId="0" applyNumberFormat="1" applyFont="1" applyFill="1" applyBorder="1" applyAlignment="1">
      <alignment horizontal="center" vertical="center" wrapText="1"/>
    </xf>
    <xf numFmtId="0" fontId="0" fillId="16" borderId="21" xfId="0" applyFill="1" applyBorder="1" applyAlignment="1">
      <alignment horizontal="center"/>
    </xf>
    <xf numFmtId="0" fontId="4" fillId="0" borderId="0" xfId="0" applyFont="1"/>
    <xf numFmtId="2" fontId="4" fillId="0" borderId="0" xfId="0" applyNumberFormat="1" applyFont="1"/>
    <xf numFmtId="2" fontId="40" fillId="0" borderId="0" xfId="0" applyNumberFormat="1" applyFont="1"/>
    <xf numFmtId="2" fontId="21" fillId="0" borderId="0" xfId="0" applyNumberFormat="1" applyFont="1"/>
    <xf numFmtId="0" fontId="55" fillId="11" borderId="28" xfId="0" applyFont="1" applyFill="1" applyBorder="1" applyAlignment="1">
      <alignment horizontal="center" vertical="center" wrapText="1"/>
    </xf>
    <xf numFmtId="22" fontId="55" fillId="11" borderId="28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23" xfId="0" applyFont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0" fontId="1" fillId="0" borderId="0" xfId="0" applyFont="1"/>
    <xf numFmtId="0" fontId="33" fillId="0" borderId="10" xfId="0" applyFont="1" applyBorder="1" applyAlignment="1">
      <alignment horizontal="center" vertical="center"/>
    </xf>
    <xf numFmtId="0" fontId="34" fillId="0" borderId="11" xfId="0" applyFont="1" applyBorder="1"/>
    <xf numFmtId="0" fontId="33" fillId="0" borderId="11" xfId="0" applyFont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34" fillId="0" borderId="16" xfId="0" applyFont="1" applyBorder="1"/>
    <xf numFmtId="0" fontId="34" fillId="0" borderId="18" xfId="0" applyFont="1" applyBorder="1"/>
    <xf numFmtId="0" fontId="41" fillId="10" borderId="10" xfId="0" applyFont="1" applyFill="1" applyBorder="1" applyAlignment="1">
      <alignment horizontal="center" vertical="center" wrapText="1"/>
    </xf>
  </cellXfs>
  <cellStyles count="1">
    <cellStyle name="Normal" xfId="0" builtinId="0"/>
  </cellStyles>
  <dxfs count="92">
    <dxf>
      <font>
        <b val="0"/>
      </font>
    </dxf>
    <dxf>
      <alignment horizontal="right"/>
    </dxf>
    <dxf>
      <numFmt numFmtId="2" formatCode="0.00"/>
    </dxf>
    <dxf>
      <alignment horizontal="right"/>
    </dxf>
    <dxf>
      <alignment horizontal="righ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2" formatCode="0.00"/>
    </dxf>
    <dxf>
      <alignment wrapText="1" readingOrder="0"/>
    </dxf>
    <dxf>
      <alignment wrapText="1"/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dd/mm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dd/mm/yy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solid">
          <fgColor theme="0"/>
          <bgColor theme="0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8" formatCode="dd/mm/yyyy\ hh: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8" formatCode="dd/mm/yyyy\ hh:mm"/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NWARDDATA-style" pivot="0" count="3" xr9:uid="{00000000-0011-0000-FFFF-FFFF00000000}">
      <tableStyleElement type="headerRow" dxfId="91"/>
      <tableStyleElement type="firstRowStripe" dxfId="90"/>
      <tableStyleElement type="secondRowStripe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customschemas.google.com/relationships/workbookmetadata" Target="metadata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Grading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33-4997-85E6-DE361CEDFB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33-4997-85E6-DE361CEDFB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33-4997-85E6-DE361CEDFB7E}"/>
              </c:ext>
            </c:extLst>
          </c:dPt>
          <c:cat>
            <c:strRef>
              <c:f>Database!$F$230:$H$230</c:f>
              <c:strCache>
                <c:ptCount val="3"/>
                <c:pt idx="0">
                  <c:v>GRADED</c:v>
                </c:pt>
                <c:pt idx="1">
                  <c:v>UNDERSIZE</c:v>
                </c:pt>
                <c:pt idx="2">
                  <c:v>REMAINING</c:v>
                </c:pt>
              </c:strCache>
            </c:strRef>
          </c:cat>
          <c:val>
            <c:numRef>
              <c:f>Database!$F$231:$H$231</c:f>
              <c:numCache>
                <c:formatCode>0.00</c:formatCode>
                <c:ptCount val="3"/>
                <c:pt idx="0" formatCode="General">
                  <c:v>3660.0299999999997</c:v>
                </c:pt>
                <c:pt idx="1">
                  <c:v>412.94000000000005</c:v>
                </c:pt>
                <c:pt idx="2">
                  <c:v>3232.6357000000007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D-4611-8C39-ABCEF2BD9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68752763248322"/>
          <c:y val="0.17110459124116681"/>
          <c:w val="0.19345696280136948"/>
          <c:h val="0.70600698901287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Packing</a:t>
            </a:r>
            <a:r>
              <a:rPr lang="en-IN" baseline="0"/>
              <a:t> Chart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40-4AFD-95BA-71C665F2F84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softEdge rad="25400"/>
              </a:effectLst>
            </c:spPr>
            <c:extLst>
              <c:ext xmlns:c16="http://schemas.microsoft.com/office/drawing/2014/chart" uri="{C3380CC4-5D6E-409C-BE32-E72D297353CC}">
                <c16:uniqueId val="{00000004-74DF-4178-B7A3-5E66299093A8}"/>
              </c:ext>
            </c:extLst>
          </c:dPt>
          <c:cat>
            <c:strRef>
              <c:f>Database!$I$232:$J$232</c:f>
              <c:strCache>
                <c:ptCount val="2"/>
                <c:pt idx="0">
                  <c:v>PACKED</c:v>
                </c:pt>
                <c:pt idx="1">
                  <c:v>REMAINING</c:v>
                </c:pt>
              </c:strCache>
            </c:strRef>
          </c:cat>
          <c:val>
            <c:numRef>
              <c:f>Database!$I$233:$J$233</c:f>
              <c:numCache>
                <c:formatCode>General</c:formatCode>
                <c:ptCount val="2"/>
                <c:pt idx="0">
                  <c:v>0</c:v>
                </c:pt>
                <c:pt idx="1">
                  <c:v>3660.0299999999997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F-492C-BD88-99B7469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96762975370883"/>
          <c:y val="0.22033849856547474"/>
          <c:w val="0.30687004548914598"/>
          <c:h val="0.644925168243527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180975</xdr:colOff>
      <xdr:row>20</xdr:row>
      <xdr:rowOff>180975</xdr:rowOff>
    </xdr:from>
    <xdr:ext cx="1190625" cy="438150"/>
    <xdr:sp macro="[0]!update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755450" y="3565688"/>
          <a:ext cx="1181100" cy="428625"/>
        </a:xfrm>
        <a:prstGeom prst="roundRect">
          <a:avLst>
            <a:gd name="adj" fmla="val 16667"/>
          </a:avLst>
        </a:prstGeom>
        <a:gradFill>
          <a:gsLst>
            <a:gs pos="0">
              <a:srgbClr val="BABABA"/>
            </a:gs>
            <a:gs pos="35000">
              <a:srgbClr val="CFCFCF"/>
            </a:gs>
            <a:gs pos="100000">
              <a:srgbClr val="EDEDED"/>
            </a:gs>
          </a:gsLst>
          <a:lin ang="162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UPDATE</a:t>
          </a:r>
          <a:endParaRPr sz="1400"/>
        </a:p>
      </xdr:txBody>
    </xdr:sp>
    <xdr:clientData fLocksWithSheet="0"/>
  </xdr:oneCellAnchor>
  <xdr:oneCellAnchor>
    <xdr:from>
      <xdr:col>11</xdr:col>
      <xdr:colOff>495300</xdr:colOff>
      <xdr:row>21</xdr:row>
      <xdr:rowOff>0</xdr:rowOff>
    </xdr:from>
    <xdr:ext cx="1190625" cy="438150"/>
    <xdr:sp macro="[0]!GRADINGCANCEL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755450" y="3565688"/>
          <a:ext cx="1181100" cy="428625"/>
        </a:xfrm>
        <a:prstGeom prst="roundRect">
          <a:avLst>
            <a:gd name="adj" fmla="val 16667"/>
          </a:avLst>
        </a:prstGeom>
        <a:gradFill>
          <a:gsLst>
            <a:gs pos="0">
              <a:srgbClr val="BABABA"/>
            </a:gs>
            <a:gs pos="35000">
              <a:srgbClr val="CFCFCF"/>
            </a:gs>
            <a:gs pos="100000">
              <a:srgbClr val="EDEDED"/>
            </a:gs>
          </a:gsLst>
          <a:lin ang="162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Cancel</a:t>
          </a:r>
          <a:endParaRPr sz="1400"/>
        </a:p>
      </xdr:txBody>
    </xdr:sp>
    <xdr:clientData fLocksWithSheet="0"/>
  </xdr:oneCellAnchor>
  <xdr:oneCellAnchor>
    <xdr:from>
      <xdr:col>14</xdr:col>
      <xdr:colOff>76200</xdr:colOff>
      <xdr:row>17</xdr:row>
      <xdr:rowOff>161925</xdr:rowOff>
    </xdr:from>
    <xdr:ext cx="1190625" cy="438150"/>
    <xdr:sp macro="[0]!packingupd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755450" y="3565688"/>
          <a:ext cx="1181100" cy="428625"/>
        </a:xfrm>
        <a:prstGeom prst="roundRect">
          <a:avLst>
            <a:gd name="adj" fmla="val 16667"/>
          </a:avLst>
        </a:prstGeom>
        <a:gradFill>
          <a:gsLst>
            <a:gs pos="0">
              <a:srgbClr val="BABABA"/>
            </a:gs>
            <a:gs pos="35000">
              <a:srgbClr val="CFCFCF"/>
            </a:gs>
            <a:gs pos="100000">
              <a:srgbClr val="EDEDED"/>
            </a:gs>
          </a:gsLst>
          <a:lin ang="162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UPDATE</a:t>
          </a:r>
          <a:endParaRPr sz="1400"/>
        </a:p>
      </xdr:txBody>
    </xdr:sp>
    <xdr:clientData fLocksWithSheet="0"/>
  </xdr:oneCellAnchor>
  <xdr:oneCellAnchor>
    <xdr:from>
      <xdr:col>15</xdr:col>
      <xdr:colOff>209550</xdr:colOff>
      <xdr:row>17</xdr:row>
      <xdr:rowOff>161925</xdr:rowOff>
    </xdr:from>
    <xdr:ext cx="1190625" cy="4381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55450" y="3565688"/>
          <a:ext cx="1181100" cy="428625"/>
        </a:xfrm>
        <a:prstGeom prst="roundRect">
          <a:avLst>
            <a:gd name="adj" fmla="val 16667"/>
          </a:avLst>
        </a:prstGeom>
        <a:gradFill>
          <a:gsLst>
            <a:gs pos="0">
              <a:srgbClr val="BABABA"/>
            </a:gs>
            <a:gs pos="35000">
              <a:srgbClr val="CFCFCF"/>
            </a:gs>
            <a:gs pos="100000">
              <a:srgbClr val="EDEDED"/>
            </a:gs>
          </a:gsLst>
          <a:lin ang="162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Cancel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390525</xdr:colOff>
      <xdr:row>5</xdr:row>
      <xdr:rowOff>0</xdr:rowOff>
    </xdr:from>
    <xdr:ext cx="1381125" cy="55245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660200" y="3508538"/>
          <a:ext cx="1371600" cy="542925"/>
        </a:xfrm>
        <a:prstGeom prst="roundRect">
          <a:avLst>
            <a:gd name="adj" fmla="val 16667"/>
          </a:avLst>
        </a:prstGeom>
        <a:gradFill>
          <a:gsLst>
            <a:gs pos="0">
              <a:srgbClr val="BABABA"/>
            </a:gs>
            <a:gs pos="35000">
              <a:srgbClr val="CFCFCF"/>
            </a:gs>
            <a:gs pos="100000">
              <a:srgbClr val="EDEDED"/>
            </a:gs>
          </a:gsLst>
          <a:lin ang="162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600"/>
            <a:buFont typeface="Calibri"/>
            <a:buNone/>
          </a:pPr>
          <a:r>
            <a:rPr lang="en-US" sz="1600" b="1" i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SUBMIT</a:t>
          </a:r>
          <a:endParaRPr sz="1400"/>
        </a:p>
      </xdr:txBody>
    </xdr:sp>
    <xdr:clientData fLocksWithSheet="0"/>
  </xdr:oneCellAnchor>
  <xdr:oneCellAnchor>
    <xdr:from>
      <xdr:col>15</xdr:col>
      <xdr:colOff>9525</xdr:colOff>
      <xdr:row>4</xdr:row>
      <xdr:rowOff>152400</xdr:rowOff>
    </xdr:from>
    <xdr:ext cx="1257300" cy="4762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722113" y="3546638"/>
          <a:ext cx="1247775" cy="466725"/>
        </a:xfrm>
        <a:prstGeom prst="roundRect">
          <a:avLst>
            <a:gd name="adj" fmla="val 16667"/>
          </a:avLst>
        </a:prstGeom>
        <a:gradFill>
          <a:gsLst>
            <a:gs pos="0">
              <a:srgbClr val="BABABA"/>
            </a:gs>
            <a:gs pos="35000">
              <a:srgbClr val="CFCFCF"/>
            </a:gs>
            <a:gs pos="100000">
              <a:srgbClr val="EDEDED"/>
            </a:gs>
          </a:gsLst>
          <a:lin ang="16200000" scaled="0"/>
        </a:gradFill>
        <a:ln w="9525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CANCEL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</xdr:colOff>
      <xdr:row>0</xdr:row>
      <xdr:rowOff>55555</xdr:rowOff>
    </xdr:from>
    <xdr:to>
      <xdr:col>10</xdr:col>
      <xdr:colOff>801991</xdr:colOff>
      <xdr:row>15</xdr:row>
      <xdr:rowOff>31745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318381" y="55555"/>
          <a:ext cx="8853263" cy="2736676"/>
          <a:chOff x="-6503725" y="23358549"/>
          <a:chExt cx="8688173" cy="3636215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GraphicFramePr/>
        </xdr:nvGraphicFramePr>
        <xdr:xfrm>
          <a:off x="-6503725" y="23389111"/>
          <a:ext cx="5238284" cy="36056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GraphicFramePr/>
        </xdr:nvGraphicFramePr>
        <xdr:xfrm>
          <a:off x="-1580676" y="23358549"/>
          <a:ext cx="3765124" cy="363621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12</xdr:col>
      <xdr:colOff>291954</xdr:colOff>
      <xdr:row>5</xdr:row>
      <xdr:rowOff>51093</xdr:rowOff>
    </xdr:from>
    <xdr:to>
      <xdr:col>13</xdr:col>
      <xdr:colOff>454573</xdr:colOff>
      <xdr:row>10</xdr:row>
      <xdr:rowOff>89630</xdr:rowOff>
    </xdr:to>
    <xdr:pic macro="[0]!RELOADDATABASE">
      <xdr:nvPicPr>
        <xdr:cNvPr id="3" name="Graphic 2" descr="Arrow circle with solid fill">
          <a:extLst>
            <a:ext uri="{FF2B5EF4-FFF2-40B4-BE49-F238E27FC236}">
              <a16:creationId xmlns:a16="http://schemas.microsoft.com/office/drawing/2014/main" id="{24F17FDA-1413-60E3-9A8D-429DB98C8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743908" y="956150"/>
          <a:ext cx="914400" cy="914400"/>
        </a:xfrm>
        <a:prstGeom prst="rect">
          <a:avLst/>
        </a:prstGeom>
      </xdr:spPr>
    </xdr:pic>
    <xdr:clientData/>
  </xdr:twoCellAnchor>
  <xdr:oneCellAnchor>
    <xdr:from>
      <xdr:col>4</xdr:col>
      <xdr:colOff>2080</xdr:colOff>
      <xdr:row>4</xdr:row>
      <xdr:rowOff>138677</xdr:rowOff>
    </xdr:from>
    <xdr:ext cx="1058333" cy="269369"/>
    <xdr:sp macro="" textlink="$F$231">
      <xdr:nvSpPr>
        <xdr:cNvPr id="2" name="TextBox 1">
          <a:extLst>
            <a:ext uri="{FF2B5EF4-FFF2-40B4-BE49-F238E27FC236}">
              <a16:creationId xmlns:a16="http://schemas.microsoft.com/office/drawing/2014/main" id="{C2155D00-0C2A-F738-B2CA-AE677239639E}"/>
            </a:ext>
          </a:extLst>
        </xdr:cNvPr>
        <xdr:cNvSpPr txBox="1"/>
      </xdr:nvSpPr>
      <xdr:spPr>
        <a:xfrm>
          <a:off x="3926733" y="879510"/>
          <a:ext cx="1058333" cy="26936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fld id="{523FFDCB-8A17-4042-9966-8EC632A35438}" type="TxLink">
            <a:rPr lang="en-US" sz="12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3660.03</a:t>
          </a:fld>
          <a:endParaRPr lang="en-IN" sz="1200" b="1"/>
        </a:p>
      </xdr:txBody>
    </xdr:sp>
    <xdr:clientData/>
  </xdr:oneCellAnchor>
  <xdr:oneCellAnchor>
    <xdr:from>
      <xdr:col>3</xdr:col>
      <xdr:colOff>706810</xdr:colOff>
      <xdr:row>12</xdr:row>
      <xdr:rowOff>107086</xdr:rowOff>
    </xdr:from>
    <xdr:ext cx="1058333" cy="269369"/>
    <xdr:sp macro="" textlink="$H$231">
      <xdr:nvSpPr>
        <xdr:cNvPr id="4" name="TextBox 3">
          <a:extLst>
            <a:ext uri="{FF2B5EF4-FFF2-40B4-BE49-F238E27FC236}">
              <a16:creationId xmlns:a16="http://schemas.microsoft.com/office/drawing/2014/main" id="{8DC669E8-ED0A-4698-86CB-9D0D2D818CA4}"/>
            </a:ext>
          </a:extLst>
        </xdr:cNvPr>
        <xdr:cNvSpPr txBox="1"/>
      </xdr:nvSpPr>
      <xdr:spPr>
        <a:xfrm>
          <a:off x="3590768" y="2259030"/>
          <a:ext cx="1058333" cy="26936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fld id="{44F4ECBE-7D6D-41FF-AA56-9CF3C038E8BD}" type="TxLink">
            <a:rPr lang="en-US" sz="12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3232.64</a:t>
          </a:fld>
          <a:endParaRPr lang="en-IN" sz="1600" b="1"/>
        </a:p>
      </xdr:txBody>
    </xdr:sp>
    <xdr:clientData/>
  </xdr:oneCellAnchor>
  <xdr:oneCellAnchor>
    <xdr:from>
      <xdr:col>10</xdr:col>
      <xdr:colOff>582157</xdr:colOff>
      <xdr:row>4</xdr:row>
      <xdr:rowOff>144223</xdr:rowOff>
    </xdr:from>
    <xdr:ext cx="1058333" cy="298800"/>
    <xdr:sp macro="" textlink="$I$233">
      <xdr:nvSpPr>
        <xdr:cNvPr id="7" name="TextBox 6">
          <a:extLst>
            <a:ext uri="{FF2B5EF4-FFF2-40B4-BE49-F238E27FC236}">
              <a16:creationId xmlns:a16="http://schemas.microsoft.com/office/drawing/2014/main" id="{B0308E43-FEF1-4DAD-A1D1-ADCF848153E7}"/>
            </a:ext>
          </a:extLst>
        </xdr:cNvPr>
        <xdr:cNvSpPr txBox="1"/>
      </xdr:nvSpPr>
      <xdr:spPr>
        <a:xfrm>
          <a:off x="9501352" y="874108"/>
          <a:ext cx="1058333" cy="29880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fld id="{05A218C7-AF25-4B8D-AA23-1BF4145C28C0}" type="TxLink">
            <a:rPr lang="en-US" sz="14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0</a:t>
          </a:fld>
          <a:endParaRPr lang="en-IN" sz="1800" b="1"/>
        </a:p>
      </xdr:txBody>
    </xdr:sp>
    <xdr:clientData/>
  </xdr:oneCellAnchor>
  <xdr:oneCellAnchor>
    <xdr:from>
      <xdr:col>10</xdr:col>
      <xdr:colOff>734558</xdr:colOff>
      <xdr:row>9</xdr:row>
      <xdr:rowOff>106854</xdr:rowOff>
    </xdr:from>
    <xdr:ext cx="1058333" cy="298800"/>
    <xdr:sp macro="" textlink="$J$233">
      <xdr:nvSpPr>
        <xdr:cNvPr id="9" name="TextBox 8">
          <a:extLst>
            <a:ext uri="{FF2B5EF4-FFF2-40B4-BE49-F238E27FC236}">
              <a16:creationId xmlns:a16="http://schemas.microsoft.com/office/drawing/2014/main" id="{1581DA7C-3386-451C-92E1-84B3B66EDD21}"/>
            </a:ext>
          </a:extLst>
        </xdr:cNvPr>
        <xdr:cNvSpPr txBox="1"/>
      </xdr:nvSpPr>
      <xdr:spPr>
        <a:xfrm>
          <a:off x="9653753" y="1712601"/>
          <a:ext cx="1058333" cy="29880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fld id="{E54C2E1B-E390-443F-B6C1-957455756B76}" type="TxLink">
            <a:rPr lang="en-US" sz="14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3660.03</a:t>
          </a:fld>
          <a:endParaRPr lang="en-IN" sz="1800" b="1"/>
        </a:p>
      </xdr:txBody>
    </xdr:sp>
    <xdr:clientData/>
  </xdr:oneCellAnchor>
  <xdr:oneCellAnchor>
    <xdr:from>
      <xdr:col>1</xdr:col>
      <xdr:colOff>94010</xdr:colOff>
      <xdr:row>7</xdr:row>
      <xdr:rowOff>79410</xdr:rowOff>
    </xdr:from>
    <xdr:ext cx="1058333" cy="328295"/>
    <xdr:sp macro="" textlink="$E$231">
      <xdr:nvSpPr>
        <xdr:cNvPr id="10" name="TextBox 9">
          <a:extLst>
            <a:ext uri="{FF2B5EF4-FFF2-40B4-BE49-F238E27FC236}">
              <a16:creationId xmlns:a16="http://schemas.microsoft.com/office/drawing/2014/main" id="{1994C9F7-7AEA-4602-8E71-FF10E2E2824A}"/>
            </a:ext>
          </a:extLst>
        </xdr:cNvPr>
        <xdr:cNvSpPr txBox="1"/>
      </xdr:nvSpPr>
      <xdr:spPr>
        <a:xfrm>
          <a:off x="342171" y="1334812"/>
          <a:ext cx="1058333" cy="32829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B3CD9F70-F007-4970-9CEF-5D4CB5CE72BA}" type="TxLink">
            <a:rPr lang="en-US" sz="16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7304.96</a:t>
          </a:fld>
          <a:endParaRPr lang="en-IN" sz="2000" b="1" i="0" u="none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oneCellAnchor>
    <xdr:from>
      <xdr:col>1</xdr:col>
      <xdr:colOff>100433</xdr:colOff>
      <xdr:row>5</xdr:row>
      <xdr:rowOff>158822</xdr:rowOff>
    </xdr:from>
    <xdr:ext cx="1058333" cy="2988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EAEE8D63-4AE9-466D-BC4D-5BA492F65899}"/>
            </a:ext>
          </a:extLst>
        </xdr:cNvPr>
        <xdr:cNvSpPr txBox="1"/>
      </xdr:nvSpPr>
      <xdr:spPr>
        <a:xfrm>
          <a:off x="348594" y="1063879"/>
          <a:ext cx="1058333" cy="298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400" b="1" i="0" u="none" strike="noStrike">
              <a:solidFill>
                <a:srgbClr val="000000"/>
              </a:solidFill>
              <a:latin typeface="Arial"/>
              <a:cs typeface="Arial"/>
            </a:rPr>
            <a:t>iNWARD</a:t>
          </a:r>
        </a:p>
      </xdr:txBody>
    </xdr:sp>
    <xdr:clientData/>
  </xdr:oneCellAnchor>
  <xdr:oneCellAnchor>
    <xdr:from>
      <xdr:col>3</xdr:col>
      <xdr:colOff>548060</xdr:colOff>
      <xdr:row>8</xdr:row>
      <xdr:rowOff>124725</xdr:rowOff>
    </xdr:from>
    <xdr:ext cx="1058333" cy="269369"/>
    <xdr:sp macro="" textlink="$G$231">
      <xdr:nvSpPr>
        <xdr:cNvPr id="12" name="TextBox 11">
          <a:extLst>
            <a:ext uri="{FF2B5EF4-FFF2-40B4-BE49-F238E27FC236}">
              <a16:creationId xmlns:a16="http://schemas.microsoft.com/office/drawing/2014/main" id="{9589BEEE-5FA0-4FE6-B669-CCD05979D18B}"/>
            </a:ext>
          </a:extLst>
        </xdr:cNvPr>
        <xdr:cNvSpPr txBox="1"/>
      </xdr:nvSpPr>
      <xdr:spPr>
        <a:xfrm>
          <a:off x="3811254" y="1571114"/>
          <a:ext cx="1058333" cy="26936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fld id="{5F607553-0FE6-4941-A19A-4A524EE8C625}" type="TxLink">
            <a:rPr lang="en-US" sz="1200" b="1" i="0" u="none" strike="noStrike">
              <a:solidFill>
                <a:srgbClr val="000000"/>
              </a:solidFill>
              <a:latin typeface="Arial"/>
              <a:cs typeface="Arial"/>
            </a:rPr>
            <a:pPr/>
            <a:t>412.94</a:t>
          </a:fld>
          <a:endParaRPr lang="en-IN" sz="1800" b="1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6128.467485879628" createdVersion="5" refreshedVersion="5" minRefreshableVersion="3" recordCount="587" xr:uid="{00000000-000A-0000-FFFF-FFFF00000000}">
  <cacheSource type="worksheet">
    <worksheetSource name="Table_15"/>
  </cacheSource>
  <cacheFields count="58">
    <cacheField name="SNO" numFmtId="0">
      <sharedItems containsString="0" containsBlank="1" containsNumber="1" containsInteger="1" minValue="1" maxValue="485"/>
    </cacheField>
    <cacheField name="SLIPNO" numFmtId="0">
      <sharedItems containsString="0" containsBlank="1" containsNumber="1" containsInteger="1" minValue="1317" maxValue="1426"/>
    </cacheField>
    <cacheField name="Truck No" numFmtId="0">
      <sharedItems containsBlank="1" containsMixedTypes="1" containsNumber="1" containsInteger="1" minValue="0" maxValue="485"/>
    </cacheField>
    <cacheField name="First Wt" numFmtId="0">
      <sharedItems containsString="0" containsBlank="1" containsNumber="1" containsInteger="1" minValue="0" maxValue="22260"/>
    </cacheField>
    <cacheField name="DateTime In" numFmtId="22">
      <sharedItems containsNonDate="0" containsDate="1" containsString="0" containsBlank="1" minDate="1899-12-30T00:00:00" maxDate="2026-04-15T19:28:48"/>
    </cacheField>
    <cacheField name="Second Wt" numFmtId="0">
      <sharedItems containsString="0" containsBlank="1" containsNumber="1" containsInteger="1" minValue="0" maxValue="10380"/>
    </cacheField>
    <cacheField name="DateTime Out" numFmtId="22">
      <sharedItems containsNonDate="0" containsDate="1" containsString="0" containsBlank="1" minDate="1899-12-30T00:00:00" maxDate="2026-04-15T19:58:52"/>
    </cacheField>
    <cacheField name="Net Wt" numFmtId="0">
      <sharedItems containsString="0" containsBlank="1" containsNumber="1" containsInteger="1" minValue="0" maxValue="15675"/>
    </cacheField>
    <cacheField name="Material Name" numFmtId="0">
      <sharedItems containsBlank="1" containsMixedTypes="1" containsNumber="1" containsInteger="1" minValue="0" maxValue="3410" count="27">
        <s v="LOK 1"/>
        <s v="GW-543"/>
        <s v="GW-555"/>
        <s v="HI-1650"/>
        <s v="GW-513"/>
        <s v="PUSA MANAV"/>
        <n v="3385"/>
        <s v="GW-322"/>
        <s v="HI-8713 PUSA MANGAL"/>
        <s v="HI-8759 PUSA TEJAS"/>
        <s v="PRADHAN"/>
        <s v="HI-8850"/>
        <s v="3 SR 72"/>
        <n v="0"/>
        <s v="HI-8849"/>
        <m/>
        <n v="2034" u="1"/>
        <n v="3388" u="1"/>
        <n v="2555" u="1"/>
        <n v="1104" u="1"/>
        <n v="2503" u="1"/>
        <n v="2433" u="1"/>
        <n v="3390" u="1"/>
        <n v="2117" u="1"/>
        <n v="3410" u="1"/>
        <n v="2506" u="1"/>
        <n v="2303" u="1"/>
      </sharedItems>
    </cacheField>
    <cacheField name="Supplier Name" numFmtId="0">
      <sharedItems containsBlank="1" containsMixedTypes="1" containsNumber="1" containsInteger="1" minValue="0" maxValue="0" count="22">
        <s v="GOPAL BAGODA"/>
        <s v="BADRILALJI BAGODA"/>
        <s v="DILIPSINGH GOYALAKHURD"/>
        <s v="KARANSINGH BAGODA"/>
        <s v="RAMLAL JAIN AALAMPUR UDANA"/>
        <s v="BHAGIRATH SHARMA AALAMPUR UDANA"/>
        <s v="MEHAMOODBHAI BADODIYAKAZI"/>
        <s v="DASHRATH PANDYA DAUKHEDI"/>
        <s v="SANDEEP NIMBODA"/>
        <s v="HAKAMSINGH RALAYTA"/>
        <s v="NILESH YADAV BIRGODA"/>
        <s v="AALOK CHODHARY SAYARKHEDI"/>
        <s v="PAWAN JAT MUNDAT"/>
        <s v="INDARSINGH RAMGARH"/>
        <s v="IBRAHIM KHAN SHAJAPUR"/>
        <s v="RAMCHANDRA JITARKHEDI"/>
        <s v="VIKRAM JAT KHANDODA"/>
        <s v="SHIVRAM JAT BHESLA"/>
        <n v="0"/>
        <s v="DINESH PATEL PIPLIYARAGHO"/>
        <s v="MAHENDRASINGH AMARPURA"/>
        <m/>
      </sharedItems>
    </cacheField>
    <cacheField name="Bags" numFmtId="0">
      <sharedItems containsString="0" containsBlank="1" containsNumber="1" containsInteger="1" minValue="0" maxValue="220"/>
    </cacheField>
    <cacheField name="Size" numFmtId="0">
      <sharedItems containsString="0" containsBlank="1" containsNumber="1" minValue="0" maxValue="0.6"/>
    </cacheField>
    <cacheField name="Bag Wgt" numFmtId="2">
      <sharedItems containsSemiMixedTypes="0" containsString="0" containsNumber="1" containsInteger="1" minValue="0" maxValue="132"/>
    </cacheField>
    <cacheField name="Wgt-Bag" numFmtId="2">
      <sharedItems containsSemiMixedTypes="0" containsString="0" containsNumber="1" minValue="0" maxValue="156.75"/>
    </cacheField>
    <cacheField name="BOUNCING" numFmtId="2">
      <sharedItems containsSemiMixedTypes="0" containsString="0" containsNumber="1" minValue="0" maxValue="0.53"/>
    </cacheField>
    <cacheField name="NET WEIGHT" numFmtId="2">
      <sharedItems containsSemiMixedTypes="0" containsString="0" containsNumber="1" minValue="0" maxValue="156.22"/>
    </cacheField>
    <cacheField name="MOISTURE" numFmtId="0">
      <sharedItems containsNonDate="0" containsString="0" containsBlank="1"/>
    </cacheField>
    <cacheField name="GERMINATION" numFmtId="0">
      <sharedItems containsNonDate="0" containsString="0" containsBlank="1"/>
    </cacheField>
    <cacheField name="REMARK" numFmtId="0">
      <sharedItems containsBlank="1"/>
    </cacheField>
    <cacheField name="RATE" numFmtId="0">
      <sharedItems containsString="0" containsBlank="1" containsNumber="1" containsInteger="1" minValue="3000" maxValue="3000"/>
    </cacheField>
    <cacheField name="AMOUNT" numFmtId="0">
      <sharedItems containsSemiMixedTypes="0" containsString="0" containsNumber="1" minValue="0" maxValue="134400"/>
    </cacheField>
    <cacheField name="CHEQUE" numFmtId="2">
      <sharedItems containsNonDate="0" containsString="0" containsBlank="1"/>
    </cacheField>
    <cacheField name="CASH" numFmtId="2">
      <sharedItems containsNonDate="0" containsString="0" containsBlank="1"/>
    </cacheField>
    <cacheField name="FLAG" numFmtId="2">
      <sharedItems/>
    </cacheField>
    <cacheField name="GRADING DATE" numFmtId="0">
      <sharedItems containsNonDate="0" containsDate="1" containsString="0" containsBlank="1" minDate="2026-03-27T00:00:00" maxDate="2026-04-15T00:00:00"/>
    </cacheField>
    <cacheField name="CODE" numFmtId="0">
      <sharedItems containsBlank="1"/>
    </cacheField>
    <cacheField name="VARIETY" numFmtId="0">
      <sharedItems containsBlank="1"/>
    </cacheField>
    <cacheField name="WEIGHT RECPT" numFmtId="0">
      <sharedItems containsString="0" containsBlank="1" containsNumber="1" minValue="28.82" maxValue="513.20000000000005"/>
    </cacheField>
    <cacheField name="GRADED BAGS" numFmtId="0">
      <sharedItems containsString="0" containsBlank="1" containsNumber="1" containsInteger="1" minValue="45" maxValue="834"/>
    </cacheField>
    <cacheField name="GRADED BAG SIZE" numFmtId="0">
      <sharedItems containsString="0" containsBlank="1" containsNumber="1" containsInteger="1" minValue="55" maxValue="55"/>
    </cacheField>
    <cacheField name="GRADED QUANTITY" numFmtId="0">
      <sharedItems containsString="0" containsBlank="1" containsNumber="1" minValue="24.75" maxValue="458.7"/>
    </cacheField>
    <cacheField name="GRADED LOOSE" numFmtId="0">
      <sharedItems containsString="0" containsBlank="1" containsNumber="1" minValue="0" maxValue="0.33"/>
    </cacheField>
    <cacheField name="Total Graded" numFmtId="0">
      <sharedItems containsString="0" containsBlank="1" containsNumber="1" minValue="25.08" maxValue="458.7"/>
    </cacheField>
    <cacheField name="UNDERSIZE" numFmtId="0">
      <sharedItems containsString="0" containsBlank="1" containsNumber="1" minValue="3.76" maxValue="72.819999999999993"/>
    </cacheField>
    <cacheField name="U/s Bags" numFmtId="0">
      <sharedItems containsString="0" containsBlank="1" containsNumber="1" containsInteger="1" minValue="0" maxValue="134"/>
    </cacheField>
    <cacheField name="UNDERSIZE %" numFmtId="2">
      <sharedItems containsString="0" containsBlank="1" containsNumber="1" minValue="6.5238280742760679" maxValue="14.189399844115352"/>
    </cacheField>
    <cacheField name="Final Graded" numFmtId="0">
      <sharedItems containsString="0" containsBlank="1" containsNumber="1" minValue="28.839999999999996" maxValue="515.56999999999994"/>
    </cacheField>
    <cacheField name="LOCATION" numFmtId="0">
      <sharedItems containsBlank="1" containsMixedTypes="1" containsNumber="1" containsInteger="1" minValue="0" maxValue="0" count="8">
        <s v="A8"/>
        <m/>
        <s v="B12"/>
        <s v="A9"/>
        <s v="B9"/>
        <n v="0"/>
        <s v="A6"/>
        <s v="PATEL"/>
      </sharedItems>
    </cacheField>
    <cacheField name="DIFFERENCE" numFmtId="2">
      <sharedItems containsString="0" containsBlank="1" containsNumber="1" minValue="-4.0199999999999818" maxValue="2.3699999999998909"/>
    </cacheField>
    <cacheField name="FLAG2" numFmtId="2">
      <sharedItems/>
    </cacheField>
    <cacheField name="PACKING DATE" numFmtId="14">
      <sharedItems containsNonDate="0" containsString="0" containsBlank="1"/>
    </cacheField>
    <cacheField name="Graded2" numFmtId="0">
      <sharedItems containsNonDate="0" containsString="0" containsBlank="1"/>
    </cacheField>
    <cacheField name="Packed Quantity" numFmtId="0">
      <sharedItems containsNonDate="0" containsString="0" containsBlank="1"/>
    </cacheField>
    <cacheField name="Remaining Quantity" numFmtId="0">
      <sharedItems containsNonDate="0" containsString="0" containsBlank="1"/>
    </cacheField>
    <cacheField name="NO OF BAGS" numFmtId="0">
      <sharedItems containsNonDate="0" containsString="0" containsBlank="1"/>
    </cacheField>
    <cacheField name="PACKING BAG SIZE" numFmtId="0">
      <sharedItems containsNonDate="0" containsString="0" containsBlank="1"/>
    </cacheField>
    <cacheField name="Packing Quantity" numFmtId="0">
      <sharedItems containsNonDate="0" containsString="0" containsBlank="1"/>
    </cacheField>
    <cacheField name="PACKING LOOSE" numFmtId="0">
      <sharedItems containsNonDate="0" containsString="0" containsBlank="1"/>
    </cacheField>
    <cacheField name="GHAMSI" numFmtId="0">
      <sharedItems containsNonDate="0" containsString="0" containsBlank="1"/>
    </cacheField>
    <cacheField name="Total packed" numFmtId="0">
      <sharedItems containsNonDate="0" containsString="0" containsBlank="1"/>
    </cacheField>
    <cacheField name="Difference3" numFmtId="0">
      <sharedItems containsNonDate="0" containsString="0" containsBlank="1"/>
    </cacheField>
    <cacheField name="MOISTURE4" numFmtId="0">
      <sharedItems containsNonDate="0" containsString="0" containsBlank="1"/>
    </cacheField>
    <cacheField name="GERMINATION5" numFmtId="0">
      <sharedItems containsNonDate="0" containsString="0" containsBlank="1"/>
    </cacheField>
    <cacheField name="LOT NO" numFmtId="0">
      <sharedItems containsNonDate="0" containsString="0" containsBlank="1"/>
    </cacheField>
    <cacheField name="REMARK / LOCATOIN" numFmtId="0">
      <sharedItems containsNonDate="0" containsString="0" containsBlank="1"/>
    </cacheField>
    <cacheField name="Remaining Grading" numFmtId="2">
      <sharedItems containsSemiMixedTypes="0" containsString="0" containsNumber="1" minValue="-461.8689" maxValue="156.75110000000001"/>
    </cacheField>
    <cacheField name="Remaining packing" numFmtId="0">
      <sharedItems containsSemiMixedTypes="0" containsString="0" containsNumber="1" minValue="0" maxValue="458.7"/>
    </cacheField>
    <cacheField name="BAGS COUNT" numFmtId="0">
      <sharedItems containsString="0" containsBlank="1" containsNumber="1" containsInteger="1" minValue="0" maxValue="8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n v="1"/>
    <n v="1317"/>
    <s v="JOHN GOPAL"/>
    <n v="10135"/>
    <d v="2026-03-25T11:31:57"/>
    <n v="4640"/>
    <d v="2026-03-25T15:52:33"/>
    <n v="5495"/>
    <x v="0"/>
    <x v="0"/>
    <n v="0"/>
    <n v="0"/>
    <n v="0"/>
    <n v="54.95"/>
    <n v="0.19"/>
    <n v="54.760000000000005"/>
    <m/>
    <m/>
    <m/>
    <m/>
    <n v="0"/>
    <m/>
    <m/>
    <s v="FALSE"/>
    <d v="2026-03-27T00:00:00"/>
    <s v="GOPAL BAGODA"/>
    <s v="LOK 1"/>
    <n v="468.8"/>
    <n v="743"/>
    <n v="55"/>
    <n v="408.65"/>
    <n v="0"/>
    <n v="408.65"/>
    <n v="57.21"/>
    <n v="103"/>
    <n v="12.203498293515358"/>
    <n v="465.85999999999996"/>
    <x v="0"/>
    <n v="-2.9400000000000546"/>
    <s v="bad"/>
    <m/>
    <m/>
    <m/>
    <m/>
    <m/>
    <m/>
    <m/>
    <m/>
    <m/>
    <m/>
    <m/>
    <m/>
    <m/>
    <m/>
    <m/>
    <n v="-410.90889999999996"/>
    <n v="408.65"/>
    <n v="743"/>
  </r>
  <r>
    <n v="2"/>
    <n v="1318"/>
    <s v="JOHN 2"/>
    <n v="10775"/>
    <d v="2026-03-25T11:33:34"/>
    <n v="5000"/>
    <d v="2026-03-25T12:07:45"/>
    <n v="5775"/>
    <x v="0"/>
    <x v="0"/>
    <n v="0"/>
    <n v="0"/>
    <n v="0"/>
    <n v="57.75"/>
    <n v="0.2"/>
    <n v="57.5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7.751100000000001"/>
    <n v="0"/>
    <n v="0"/>
  </r>
  <r>
    <n v="3"/>
    <n v="1319"/>
    <s v="MP13AE0697"/>
    <n v="10170"/>
    <d v="2026-03-25T11:34:46"/>
    <n v="4415"/>
    <d v="2026-03-25T15:01:00"/>
    <n v="5755"/>
    <x v="0"/>
    <x v="0"/>
    <n v="0"/>
    <n v="0"/>
    <n v="0"/>
    <n v="57.55"/>
    <n v="0.2"/>
    <n v="57.34999999999999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7.551099999999998"/>
    <n v="0"/>
    <n v="0"/>
  </r>
  <r>
    <n v="4"/>
    <n v="1320"/>
    <s v="JOHN 3"/>
    <n v="9935"/>
    <d v="2026-03-25T11:36:35"/>
    <n v="4175"/>
    <d v="2026-03-25T13:17:32"/>
    <n v="5760"/>
    <x v="0"/>
    <x v="0"/>
    <n v="0"/>
    <n v="0"/>
    <n v="0"/>
    <n v="57.6"/>
    <n v="0.2"/>
    <n v="57.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7.601100000000002"/>
    <n v="0"/>
    <n v="0"/>
  </r>
  <r>
    <n v="5"/>
    <n v="1321"/>
    <s v="MAHINDRA GOPAL"/>
    <n v="9165"/>
    <d v="2026-03-25T11:57:55"/>
    <n v="3705"/>
    <d v="2026-03-25T12:35:35"/>
    <n v="5460"/>
    <x v="0"/>
    <x v="0"/>
    <n v="0"/>
    <n v="0"/>
    <n v="0"/>
    <n v="54.6"/>
    <n v="0.19"/>
    <n v="54.41000000000000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4.601100000000002"/>
    <n v="0"/>
    <n v="0"/>
  </r>
  <r>
    <n v="6"/>
    <n v="1322"/>
    <s v="FARMTRAC"/>
    <n v="9505"/>
    <d v="2026-03-25T12:48:04"/>
    <n v="4190"/>
    <d v="2026-03-25T16:33:54"/>
    <n v="5315"/>
    <x v="0"/>
    <x v="0"/>
    <n v="0"/>
    <n v="0"/>
    <n v="0"/>
    <n v="53.15"/>
    <n v="0.18000000000000002"/>
    <n v="52.9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3.1511"/>
    <n v="0"/>
    <n v="0"/>
  </r>
  <r>
    <n v="7"/>
    <n v="1323"/>
    <s v="MAHINDRA"/>
    <n v="8100"/>
    <d v="2026-03-26T10:09:15"/>
    <n v="3770"/>
    <d v="2026-03-26T11:15:14"/>
    <n v="4330"/>
    <x v="0"/>
    <x v="0"/>
    <n v="0"/>
    <n v="0"/>
    <n v="0"/>
    <n v="43.3"/>
    <n v="0.15000000000000002"/>
    <n v="43.1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3.301099999999998"/>
    <n v="0"/>
    <n v="0"/>
  </r>
  <r>
    <n v="8"/>
    <n v="1324"/>
    <s v="JOHN GOPAL"/>
    <n v="9025"/>
    <d v="2026-03-26T10:20:10"/>
    <n v="4590"/>
    <d v="2026-03-26T12:13:58"/>
    <n v="4435"/>
    <x v="0"/>
    <x v="0"/>
    <n v="0"/>
    <n v="0"/>
    <n v="0"/>
    <n v="44.35"/>
    <n v="0.15000000000000002"/>
    <n v="44.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4.351100000000002"/>
    <n v="0"/>
    <n v="0"/>
  </r>
  <r>
    <n v="9"/>
    <n v="1325"/>
    <s v="DEERE GOPAL"/>
    <n v="8730"/>
    <d v="2026-03-26T10:21:32"/>
    <n v="4175"/>
    <d v="2026-03-26T11:37:24"/>
    <n v="4555"/>
    <x v="0"/>
    <x v="0"/>
    <n v="0"/>
    <n v="0"/>
    <n v="0"/>
    <n v="45.55"/>
    <n v="0.16"/>
    <n v="45.3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5.551099999999998"/>
    <n v="0"/>
    <n v="0"/>
  </r>
  <r>
    <n v="10"/>
    <n v="1326"/>
    <s v="MP09GF4480"/>
    <n v="18900"/>
    <d v="2026-03-26T10:27:19"/>
    <n v="5290"/>
    <d v="2026-03-26T16:18:15"/>
    <n v="13610"/>
    <x v="0"/>
    <x v="1"/>
    <n v="0"/>
    <n v="0"/>
    <n v="0"/>
    <n v="136.1"/>
    <n v="0.46"/>
    <n v="135.6399999999999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36.1011"/>
    <n v="0"/>
    <n v="0"/>
  </r>
  <r>
    <n v="11"/>
    <n v="1327"/>
    <s v="SWARAJ BADRILAL"/>
    <n v="9790"/>
    <d v="2026-03-26T12:34:44"/>
    <n v="4420"/>
    <d v="2026-03-26T17:45:24"/>
    <n v="5370"/>
    <x v="0"/>
    <x v="1"/>
    <n v="0"/>
    <n v="0"/>
    <n v="0"/>
    <n v="53.7"/>
    <n v="0.18000000000000002"/>
    <n v="53.52"/>
    <m/>
    <m/>
    <m/>
    <m/>
    <n v="0"/>
    <m/>
    <m/>
    <s v="FALSE"/>
    <d v="2026-04-01T00:00:00"/>
    <s v="BADRILALJI BAGODA"/>
    <s v="LOK 1"/>
    <n v="513.20000000000005"/>
    <n v="805"/>
    <n v="55"/>
    <n v="442.75"/>
    <n v="0"/>
    <n v="442.75"/>
    <n v="72.819999999999993"/>
    <n v="134"/>
    <n v="14.189399844115352"/>
    <n v="515.56999999999994"/>
    <x v="0"/>
    <n v="2.3699999999998909"/>
    <s v="bad"/>
    <m/>
    <m/>
    <m/>
    <m/>
    <m/>
    <m/>
    <m/>
    <m/>
    <m/>
    <m/>
    <m/>
    <m/>
    <m/>
    <m/>
    <m/>
    <n v="-461.8689"/>
    <n v="442.75"/>
    <n v="805"/>
  </r>
  <r>
    <n v="12"/>
    <n v="1328"/>
    <s v="JOHN BADRILAL"/>
    <n v="10810"/>
    <d v="2026-03-26T17:28:13"/>
    <n v="5020"/>
    <d v="2026-03-26T18:34:48"/>
    <n v="5790"/>
    <x v="0"/>
    <x v="1"/>
    <n v="0"/>
    <n v="0"/>
    <n v="0"/>
    <n v="57.9"/>
    <n v="0.2"/>
    <n v="57.69999999999999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7.9011"/>
    <n v="0"/>
    <n v="0"/>
  </r>
  <r>
    <n v="13"/>
    <n v="1329"/>
    <s v="FARM BADRILAL"/>
    <n v="9345"/>
    <d v="2026-03-26T17:48:17"/>
    <n v="4215"/>
    <d v="2026-03-26T19:14:19"/>
    <n v="5130"/>
    <x v="0"/>
    <x v="1"/>
    <n v="0"/>
    <n v="0"/>
    <n v="0"/>
    <n v="51.3"/>
    <n v="0.18000000000000002"/>
    <n v="51.1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1.301099999999998"/>
    <n v="0"/>
    <n v="0"/>
  </r>
  <r>
    <n v="14"/>
    <n v="1330"/>
    <s v="MP13AG9129"/>
    <n v="5330"/>
    <d v="2026-03-27T10:10:02"/>
    <n v="2415"/>
    <d v="2026-03-27T10:21:23"/>
    <n v="2915"/>
    <x v="1"/>
    <x v="2"/>
    <n v="54"/>
    <n v="0.6"/>
    <n v="33"/>
    <n v="28.82"/>
    <n v="9.9999999999999992E-2"/>
    <n v="28.72"/>
    <m/>
    <m/>
    <m/>
    <m/>
    <n v="0"/>
    <m/>
    <m/>
    <s v="FALSE"/>
    <d v="2026-04-06T00:00:00"/>
    <s v="DILIPSINGH GOYALAKHURD"/>
    <s v="GW-543"/>
    <n v="28.82"/>
    <n v="45"/>
    <n v="55"/>
    <n v="24.75"/>
    <n v="0.33"/>
    <n v="25.08"/>
    <n v="3.76"/>
    <n v="8"/>
    <n v="13.046495489243579"/>
    <n v="28.839999999999996"/>
    <x v="2"/>
    <n v="1.9999999999996021E-2"/>
    <s v="bad"/>
    <m/>
    <m/>
    <m/>
    <m/>
    <m/>
    <m/>
    <m/>
    <m/>
    <m/>
    <m/>
    <m/>
    <m/>
    <m/>
    <m/>
    <m/>
    <n v="-1.8899999999997797E-2"/>
    <n v="25.08"/>
    <n v="45"/>
  </r>
  <r>
    <n v="15"/>
    <n v="1331"/>
    <s v="JOHN GOYLA"/>
    <n v="8715"/>
    <d v="2026-03-27T10:11:40"/>
    <n v="4085"/>
    <d v="2026-03-27T10:37:39"/>
    <n v="4630"/>
    <x v="2"/>
    <x v="2"/>
    <n v="88"/>
    <n v="0.6"/>
    <n v="53"/>
    <n v="45.77"/>
    <n v="0.16"/>
    <n v="45.61000000000000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5.771100000000004"/>
    <n v="0"/>
    <n v="88"/>
  </r>
  <r>
    <n v="16"/>
    <n v="1332"/>
    <s v="EICHER"/>
    <n v="8285"/>
    <d v="2026-03-27T10:34:02"/>
    <n v="4010"/>
    <d v="2026-03-27T11:24:49"/>
    <n v="4275"/>
    <x v="0"/>
    <x v="3"/>
    <n v="0"/>
    <n v="0"/>
    <n v="0"/>
    <n v="42.75"/>
    <n v="0.15000000000000002"/>
    <n v="42.6"/>
    <m/>
    <m/>
    <m/>
    <m/>
    <n v="0"/>
    <m/>
    <m/>
    <s v="FALSE"/>
    <d v="2026-03-28T00:00:00"/>
    <s v="KARANSINGH BAGODA"/>
    <s v="LOK 1"/>
    <n v="127.25"/>
    <n v="206"/>
    <n v="55"/>
    <n v="113.3"/>
    <n v="0"/>
    <n v="113.3"/>
    <n v="13.77"/>
    <n v="26"/>
    <n v="10.821218074656189"/>
    <n v="127.07"/>
    <x v="3"/>
    <n v="-0.18000000000000682"/>
    <s v="bad"/>
    <m/>
    <m/>
    <m/>
    <m/>
    <m/>
    <m/>
    <m/>
    <m/>
    <m/>
    <m/>
    <m/>
    <m/>
    <m/>
    <m/>
    <m/>
    <n v="-84.318899999999999"/>
    <n v="113.3"/>
    <n v="206"/>
  </r>
  <r>
    <n v="17"/>
    <n v="1333"/>
    <s v="POWTERTRAC"/>
    <n v="8325"/>
    <d v="2026-03-27T10:35:38"/>
    <n v="3800"/>
    <d v="2026-03-27T12:00:12"/>
    <n v="4525"/>
    <x v="0"/>
    <x v="3"/>
    <n v="0"/>
    <n v="0"/>
    <n v="0"/>
    <n v="45.25"/>
    <n v="0.16"/>
    <n v="45.0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5.251100000000001"/>
    <n v="0"/>
    <n v="0"/>
  </r>
  <r>
    <n v="18"/>
    <n v="1334"/>
    <s v="FARM KARAN"/>
    <n v="8105"/>
    <d v="2026-03-27T10:46:55"/>
    <n v="4180"/>
    <d v="2026-03-27T12:48:31"/>
    <n v="3925"/>
    <x v="0"/>
    <x v="3"/>
    <n v="0"/>
    <n v="0"/>
    <n v="0"/>
    <n v="39.25"/>
    <n v="0.14000000000000001"/>
    <n v="39.1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39.251100000000001"/>
    <n v="0"/>
    <n v="0"/>
  </r>
  <r>
    <n v="19"/>
    <n v="1335"/>
    <s v="FARM JEEVAN"/>
    <n v="9405"/>
    <d v="2026-03-27T14:36:36"/>
    <n v="4145"/>
    <d v="2026-03-27T16:10:45"/>
    <n v="5260"/>
    <x v="0"/>
    <x v="1"/>
    <n v="0"/>
    <n v="0"/>
    <n v="0"/>
    <n v="52.6"/>
    <n v="0.18000000000000002"/>
    <n v="52.4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2.601100000000002"/>
    <n v="0"/>
    <n v="0"/>
  </r>
  <r>
    <n v="20"/>
    <n v="1336"/>
    <s v="JOHN JEEVAN"/>
    <n v="9635"/>
    <d v="2026-03-27T14:38:13"/>
    <n v="4175"/>
    <d v="2026-03-27T16:58:45"/>
    <n v="5460"/>
    <x v="0"/>
    <x v="1"/>
    <n v="0"/>
    <n v="0"/>
    <n v="0"/>
    <n v="54.6"/>
    <n v="0.19"/>
    <n v="54.41000000000000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4.601100000000002"/>
    <n v="0"/>
    <n v="0"/>
  </r>
  <r>
    <n v="21"/>
    <n v="1337"/>
    <s v="FARM JEEVAN"/>
    <n v="9410"/>
    <d v="2026-03-28T10:29:41"/>
    <n v="4200"/>
    <d v="2026-03-28T12:34:08"/>
    <n v="5210"/>
    <x v="0"/>
    <x v="1"/>
    <n v="0"/>
    <n v="0"/>
    <n v="0"/>
    <n v="52.1"/>
    <n v="0.18000000000000002"/>
    <n v="51.9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2.101100000000002"/>
    <n v="0"/>
    <n v="0"/>
  </r>
  <r>
    <n v="22"/>
    <n v="1338"/>
    <s v="JOHN JEEVAN"/>
    <n v="9665"/>
    <d v="2026-03-28T10:56:29"/>
    <n v="4175"/>
    <d v="2026-03-28T13:07:57"/>
    <n v="5490"/>
    <x v="0"/>
    <x v="1"/>
    <n v="0"/>
    <n v="0"/>
    <n v="0"/>
    <n v="54.9"/>
    <n v="0.19"/>
    <n v="54.7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4.9011"/>
    <n v="0"/>
    <n v="0"/>
  </r>
  <r>
    <n v="23"/>
    <n v="1339"/>
    <s v="MP41GA1333"/>
    <n v="14955"/>
    <d v="2026-03-30T09:57:19"/>
    <n v="3755"/>
    <d v="2026-03-30T13:57:55"/>
    <n v="11200"/>
    <x v="3"/>
    <x v="4"/>
    <n v="181"/>
    <n v="0.6"/>
    <n v="109"/>
    <n v="110.91"/>
    <n v="0.38"/>
    <n v="110.53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10.91109999999999"/>
    <n v="0"/>
    <n v="181"/>
  </r>
  <r>
    <n v="24"/>
    <n v="1340"/>
    <s v="MP13ZF1322"/>
    <n v="10725"/>
    <d v="2026-03-30T09:58:47"/>
    <n v="3260"/>
    <d v="2026-03-30T12:47:01"/>
    <n v="7465"/>
    <x v="3"/>
    <x v="4"/>
    <n v="121"/>
    <n v="0.6"/>
    <n v="73"/>
    <n v="73.92"/>
    <n v="0.25"/>
    <n v="73.6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73.921099999999996"/>
    <n v="0"/>
    <n v="121"/>
  </r>
  <r>
    <n v="25"/>
    <n v="1341"/>
    <s v="JOHN SHARMA"/>
    <n v="9205"/>
    <d v="2026-03-30T10:00:08"/>
    <n v="3675"/>
    <d v="2026-03-30T11:03:25"/>
    <n v="5530"/>
    <x v="3"/>
    <x v="5"/>
    <n v="95"/>
    <n v="0.6"/>
    <n v="57"/>
    <n v="54.73"/>
    <n v="0.19"/>
    <n v="54.5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4.731099999999998"/>
    <n v="0"/>
    <n v="95"/>
  </r>
  <r>
    <n v="26"/>
    <n v="1342"/>
    <s v="SWARAJ JAIN"/>
    <n v="10875"/>
    <d v="2026-03-30T10:01:39"/>
    <n v="4350"/>
    <d v="2026-03-30T13:17:13"/>
    <n v="6525"/>
    <x v="3"/>
    <x v="4"/>
    <n v="104"/>
    <n v="0.6"/>
    <n v="63"/>
    <n v="64.62"/>
    <n v="0.22"/>
    <n v="64.40000000000000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4.621099999999998"/>
    <n v="0"/>
    <n v="104"/>
  </r>
  <r>
    <n v="27"/>
    <n v="1343"/>
    <s v="SHARMA2"/>
    <n v="10015"/>
    <d v="2026-03-30T10:03:32"/>
    <n v="4135"/>
    <d v="2026-03-30T11:51:42"/>
    <n v="5880"/>
    <x v="3"/>
    <x v="5"/>
    <n v="100"/>
    <n v="0.6"/>
    <n v="60"/>
    <n v="58.2"/>
    <n v="0.2"/>
    <n v="58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8.201100000000004"/>
    <n v="0"/>
    <n v="100"/>
  </r>
  <r>
    <n v="28"/>
    <n v="1344"/>
    <s v="MAHINDRA SHARMA"/>
    <n v="10000"/>
    <d v="2026-03-30T10:05:19"/>
    <n v="4060"/>
    <d v="2026-03-30T11:53:30"/>
    <n v="5940"/>
    <x v="3"/>
    <x v="5"/>
    <n v="100"/>
    <n v="0.6"/>
    <n v="60"/>
    <n v="58.8"/>
    <n v="0.2"/>
    <n v="58.59999999999999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8.801099999999998"/>
    <n v="0"/>
    <n v="100"/>
  </r>
  <r>
    <n v="29"/>
    <n v="1345"/>
    <s v="SONALIKA SHARMA"/>
    <n v="8940"/>
    <d v="2026-03-30T10:07:14"/>
    <n v="3870"/>
    <d v="2026-03-30T12:16:38"/>
    <n v="5070"/>
    <x v="3"/>
    <x v="5"/>
    <n v="84"/>
    <n v="0.6"/>
    <n v="51"/>
    <n v="50.19"/>
    <n v="0.17"/>
    <n v="50.01999999999999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0.191099999999999"/>
    <n v="0"/>
    <n v="84"/>
  </r>
  <r>
    <n v="30"/>
    <n v="1346"/>
    <s v="MP13ZH5877"/>
    <n v="10285"/>
    <d v="2026-03-30T10:09:02"/>
    <n v="4055"/>
    <d v="2026-03-30T15:15:47"/>
    <n v="6230"/>
    <x v="3"/>
    <x v="4"/>
    <n v="101"/>
    <n v="0.6"/>
    <n v="61"/>
    <n v="61.69"/>
    <n v="0.21000000000000002"/>
    <n v="61.48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1.691099999999999"/>
    <n v="0"/>
    <n v="101"/>
  </r>
  <r>
    <n v="31"/>
    <n v="1347"/>
    <s v="YUVO JAIN"/>
    <n v="9275"/>
    <d v="2026-03-30T10:10:41"/>
    <n v="3715"/>
    <d v="2026-03-30T15:46:09"/>
    <n v="5560"/>
    <x v="3"/>
    <x v="4"/>
    <n v="91"/>
    <n v="0.6"/>
    <n v="55"/>
    <n v="55.05"/>
    <n v="0.19"/>
    <n v="54.8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5.051099999999998"/>
    <n v="0"/>
    <n v="91"/>
  </r>
  <r>
    <n v="32"/>
    <n v="1348"/>
    <s v="SONA JAIN"/>
    <n v="10215"/>
    <d v="2026-03-30T10:12:29"/>
    <n v="4030"/>
    <d v="2026-03-30T16:16:32"/>
    <n v="6185"/>
    <x v="3"/>
    <x v="4"/>
    <n v="101"/>
    <n v="0.6"/>
    <n v="61"/>
    <n v="61.24"/>
    <n v="0.21000000000000002"/>
    <n v="61.03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1.241100000000003"/>
    <n v="0"/>
    <n v="101"/>
  </r>
  <r>
    <n v="33"/>
    <n v="1349"/>
    <s v="TIGER JAIN"/>
    <n v="10485"/>
    <d v="2026-03-30T10:14:03"/>
    <n v="4130"/>
    <d v="2026-03-30T17:06:58"/>
    <n v="6355"/>
    <x v="3"/>
    <x v="4"/>
    <n v="101"/>
    <n v="0.6"/>
    <n v="61"/>
    <n v="62.94"/>
    <n v="0.22"/>
    <n v="62.7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2.941099999999999"/>
    <n v="0"/>
    <n v="101"/>
  </r>
  <r>
    <n v="34"/>
    <n v="1350"/>
    <s v="DI50 JAIN"/>
    <n v="10340"/>
    <d v="2026-03-30T10:15:26"/>
    <n v="4165"/>
    <d v="2026-03-30T16:44:11"/>
    <n v="6175"/>
    <x v="3"/>
    <x v="4"/>
    <n v="103"/>
    <n v="0.6"/>
    <n v="62"/>
    <n v="61.13"/>
    <n v="0.21000000000000002"/>
    <n v="60.9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1.131100000000004"/>
    <n v="0"/>
    <n v="103"/>
  </r>
  <r>
    <n v="35"/>
    <n v="1351"/>
    <s v="585 JAIN"/>
    <n v="8735"/>
    <d v="2026-03-30T10:16:50"/>
    <n v="3920"/>
    <d v="2026-03-30T17:53:07"/>
    <n v="4815"/>
    <x v="3"/>
    <x v="4"/>
    <n v="81"/>
    <n v="0.6"/>
    <n v="49"/>
    <n v="47.66"/>
    <n v="0.17"/>
    <n v="47.48999999999999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7.661099999999998"/>
    <n v="0"/>
    <n v="81"/>
  </r>
  <r>
    <n v="36"/>
    <n v="1352"/>
    <s v="MP13ZF1322"/>
    <n v="11445"/>
    <d v="2026-03-30T16:05:06"/>
    <n v="3265"/>
    <d v="2026-03-30T17:36:30"/>
    <n v="8180"/>
    <x v="3"/>
    <x v="4"/>
    <n v="138"/>
    <n v="0.6"/>
    <n v="83"/>
    <n v="80.97"/>
    <n v="0.28000000000000003"/>
    <n v="80.6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80.971099999999993"/>
    <n v="0"/>
    <n v="138"/>
  </r>
  <r>
    <n v="37"/>
    <n v="1354"/>
    <s v="JOHN"/>
    <n v="7410"/>
    <d v="2026-03-31T12:21:08"/>
    <n v="3900"/>
    <d v="2026-03-31T15:31:44"/>
    <n v="3510"/>
    <x v="4"/>
    <x v="6"/>
    <n v="65"/>
    <n v="0"/>
    <n v="0"/>
    <n v="35.1"/>
    <n v="0.12"/>
    <n v="34.980000000000004"/>
    <m/>
    <m/>
    <m/>
    <n v="3000"/>
    <n v="104940.00000000001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35.101100000000002"/>
    <n v="0"/>
    <n v="65"/>
  </r>
  <r>
    <n v="38"/>
    <n v="1355"/>
    <s v="SWARAJ"/>
    <n v="8390"/>
    <d v="2026-03-31T12:22:42"/>
    <n v="3895"/>
    <d v="2026-03-31T15:32:57"/>
    <n v="4495"/>
    <x v="4"/>
    <x v="6"/>
    <n v="86"/>
    <n v="0"/>
    <n v="0"/>
    <n v="44.95"/>
    <n v="0.15000000000000002"/>
    <n v="44.800000000000004"/>
    <m/>
    <m/>
    <m/>
    <n v="3000"/>
    <n v="13440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4.951100000000004"/>
    <n v="0"/>
    <n v="86"/>
  </r>
  <r>
    <n v="39"/>
    <n v="1357"/>
    <s v="NEW HOLLAND"/>
    <n v="8320"/>
    <d v="2026-04-01T11:41:04"/>
    <n v="3780"/>
    <d v="2026-04-01T12:38:10"/>
    <n v="4540"/>
    <x v="5"/>
    <x v="7"/>
    <n v="71"/>
    <n v="0.6"/>
    <n v="43"/>
    <n v="44.97"/>
    <n v="0.16"/>
    <n v="44.81"/>
    <m/>
    <m/>
    <s v="PATEL"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4.9711"/>
    <n v="0"/>
    <n v="71"/>
  </r>
  <r>
    <n v="40"/>
    <n v="1358"/>
    <s v="DL1M47281"/>
    <n v="15750"/>
    <d v="2026-04-01T17:27:49"/>
    <n v="4670"/>
    <d v="2026-04-01T18:40:54"/>
    <n v="11080"/>
    <x v="1"/>
    <x v="8"/>
    <n v="0"/>
    <n v="0"/>
    <n v="0"/>
    <n v="110.8"/>
    <n v="0.37"/>
    <n v="110.42999999999999"/>
    <m/>
    <m/>
    <m/>
    <m/>
    <n v="0"/>
    <m/>
    <m/>
    <s v="FALSE"/>
    <d v="2026-04-06T00:00:00"/>
    <s v="SANDEEP NIMBODA"/>
    <s v="GW-543"/>
    <n v="504.54999999999995"/>
    <n v="834"/>
    <n v="55"/>
    <n v="458.7"/>
    <n v="0"/>
    <n v="458.7"/>
    <n v="41.83"/>
    <n v="84"/>
    <n v="8.2905559409374696"/>
    <n v="500.53"/>
    <x v="2"/>
    <n v="-4.0199999999999818"/>
    <s v="bad"/>
    <m/>
    <m/>
    <m/>
    <m/>
    <m/>
    <m/>
    <m/>
    <m/>
    <m/>
    <m/>
    <m/>
    <m/>
    <m/>
    <m/>
    <m/>
    <n v="-389.72889999999995"/>
    <n v="458.7"/>
    <n v="834"/>
  </r>
  <r>
    <n v="41"/>
    <n v="1359"/>
    <s v="NEW HOLLAND"/>
    <n v="7040"/>
    <d v="2026-04-02T11:42:55"/>
    <n v="3785"/>
    <d v="2026-04-02T12:31:57"/>
    <n v="3255"/>
    <x v="5"/>
    <x v="7"/>
    <n v="50"/>
    <n v="0.6"/>
    <n v="30"/>
    <n v="32.25"/>
    <n v="0.11"/>
    <n v="32.1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32.251100000000001"/>
    <n v="0"/>
    <n v="50"/>
  </r>
  <r>
    <n v="42"/>
    <n v="1360"/>
    <s v="DL1M47281"/>
    <n v="16375"/>
    <d v="2026-04-02T13:30:16"/>
    <n v="4660"/>
    <d v="2026-04-02T14:41:29"/>
    <n v="11715"/>
    <x v="1"/>
    <x v="8"/>
    <n v="0"/>
    <n v="0"/>
    <n v="0"/>
    <n v="117.15"/>
    <n v="0.4"/>
    <n v="116.7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17.1511"/>
    <n v="0"/>
    <m/>
  </r>
  <r>
    <n v="43"/>
    <n v="1361"/>
    <s v="MP09GF0868"/>
    <n v="14190"/>
    <d v="2026-04-02T17:23:03"/>
    <n v="4380"/>
    <d v="2026-04-02T18:30:22"/>
    <n v="9810"/>
    <x v="1"/>
    <x v="8"/>
    <n v="0"/>
    <n v="0"/>
    <n v="0"/>
    <n v="98.1"/>
    <n v="0.33"/>
    <n v="97.7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98.101099999999988"/>
    <n v="0"/>
    <n v="0"/>
  </r>
  <r>
    <n v="44"/>
    <n v="1364"/>
    <s v="DL1M47281"/>
    <n v="17635"/>
    <d v="2026-04-03T12:06:34"/>
    <n v="4645"/>
    <d v="2026-04-03T13:51:48"/>
    <n v="12990"/>
    <x v="1"/>
    <x v="8"/>
    <n v="0"/>
    <n v="0"/>
    <n v="0"/>
    <n v="129.9"/>
    <n v="0.44"/>
    <n v="129.4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9.90110000000001"/>
    <n v="0"/>
    <n v="0"/>
  </r>
  <r>
    <n v="45"/>
    <n v="1365"/>
    <s v="JOHN SANDEEP"/>
    <n v="9105"/>
    <d v="2026-04-03T14:16:59"/>
    <n v="4245"/>
    <d v="2026-04-03T15:20:27"/>
    <n v="4860"/>
    <x v="1"/>
    <x v="8"/>
    <n v="0"/>
    <n v="0"/>
    <n v="0"/>
    <n v="48.6"/>
    <n v="0.17"/>
    <n v="48.43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8.601100000000002"/>
    <n v="0"/>
    <n v="0"/>
  </r>
  <r>
    <n v="46"/>
    <n v="1366"/>
    <s v="DL1M47281"/>
    <n v="16810"/>
    <d v="2026-04-04T10:04:37"/>
    <n v="4655"/>
    <d v="2026-04-04T11:25:54"/>
    <n v="12155"/>
    <x v="1"/>
    <x v="9"/>
    <n v="0"/>
    <n v="0"/>
    <n v="0"/>
    <n v="121.55"/>
    <n v="0.41000000000000003"/>
    <n v="121.14"/>
    <m/>
    <m/>
    <m/>
    <m/>
    <n v="0"/>
    <m/>
    <m/>
    <s v="FALSE"/>
    <d v="2026-04-06T00:00:00"/>
    <s v="HAKAMSINGH RALAYTA"/>
    <s v="GW-543"/>
    <n v="423.2"/>
    <n v="710"/>
    <n v="55"/>
    <n v="390.5"/>
    <n v="0"/>
    <n v="390.5"/>
    <n v="34.950000000000003"/>
    <n v="70"/>
    <n v="8.2585066162570904"/>
    <n v="425.45"/>
    <x v="2"/>
    <n v="2.25"/>
    <s v="bad"/>
    <m/>
    <m/>
    <m/>
    <m/>
    <m/>
    <m/>
    <m/>
    <m/>
    <m/>
    <m/>
    <m/>
    <m/>
    <m/>
    <m/>
    <m/>
    <n v="-303.89889999999997"/>
    <n v="390.5"/>
    <n v="710"/>
  </r>
  <r>
    <n v="47"/>
    <n v="1367"/>
    <s v="JOHN NILESH"/>
    <n v="11000"/>
    <d v="2026-04-04T11:08:55"/>
    <n v="4115"/>
    <d v="2026-04-04T12:02:50"/>
    <n v="6885"/>
    <x v="6"/>
    <x v="10"/>
    <n v="112"/>
    <n v="0.6"/>
    <n v="68"/>
    <n v="68.17"/>
    <n v="0.23"/>
    <n v="67.9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8.171099999999996"/>
    <n v="0"/>
    <n v="112"/>
  </r>
  <r>
    <n v="48"/>
    <n v="1368"/>
    <s v="NEW HOLLAND"/>
    <n v="7835"/>
    <d v="2026-04-04T12:01:27"/>
    <n v="3720"/>
    <d v="2026-04-04T12:35:02"/>
    <n v="4115"/>
    <x v="1"/>
    <x v="9"/>
    <n v="0"/>
    <n v="0"/>
    <n v="0"/>
    <n v="41.15"/>
    <n v="0.14000000000000001"/>
    <n v="41.0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1.1511"/>
    <n v="0"/>
    <n v="0"/>
  </r>
  <r>
    <n v="49"/>
    <n v="1369"/>
    <s v="3600 MAHENDRA"/>
    <n v="6940"/>
    <d v="2026-04-04T12:05:24"/>
    <n v="3780"/>
    <d v="2026-04-04T12:32:22"/>
    <n v="3160"/>
    <x v="5"/>
    <x v="7"/>
    <n v="50"/>
    <n v="0.6"/>
    <n v="30"/>
    <n v="31.3"/>
    <n v="0.11"/>
    <n v="31.1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31.301100000000002"/>
    <n v="0"/>
    <n v="50"/>
  </r>
  <r>
    <n v="50"/>
    <n v="1370"/>
    <s v="NEW HOLLAND"/>
    <n v="7475"/>
    <d v="2026-04-04T15:06:15"/>
    <n v="3480"/>
    <d v="2026-04-04T15:27:11"/>
    <n v="3995"/>
    <x v="1"/>
    <x v="9"/>
    <n v="0"/>
    <n v="0"/>
    <n v="0"/>
    <n v="39.950000000000003"/>
    <n v="0.14000000000000001"/>
    <n v="39.8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39.951100000000004"/>
    <n v="0"/>
    <n v="0"/>
  </r>
  <r>
    <n v="51"/>
    <n v="1371"/>
    <s v="DL1M47281"/>
    <n v="16845"/>
    <d v="2026-04-05T10:15:59"/>
    <n v="4670"/>
    <d v="2026-04-05T11:09:35"/>
    <n v="12175"/>
    <x v="1"/>
    <x v="9"/>
    <n v="0"/>
    <n v="0"/>
    <n v="0"/>
    <n v="121.75"/>
    <n v="0.41000000000000003"/>
    <n v="121.3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1.75109999999999"/>
    <n v="0"/>
    <n v="0"/>
  </r>
  <r>
    <n v="52"/>
    <n v="1372"/>
    <s v="DL1M47281"/>
    <n v="14540"/>
    <d v="2026-04-05T16:34:26"/>
    <n v="4660"/>
    <d v="2026-04-05T17:43:09"/>
    <n v="9880"/>
    <x v="1"/>
    <x v="9"/>
    <n v="0"/>
    <n v="0"/>
    <n v="0"/>
    <n v="98.8"/>
    <n v="0.33"/>
    <n v="98.4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98.801099999999991"/>
    <n v="0"/>
    <n v="0"/>
  </r>
  <r>
    <n v="53"/>
    <n v="1373"/>
    <n v="485"/>
    <n v="11280"/>
    <d v="2026-04-06T09:58:15"/>
    <n v="4210"/>
    <d v="2026-04-06T11:06:09"/>
    <n v="7070"/>
    <x v="6"/>
    <x v="10"/>
    <n v="120"/>
    <n v="0.6"/>
    <n v="72"/>
    <n v="69.98"/>
    <n v="0.24000000000000002"/>
    <n v="69.74000000000000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9.981099999999998"/>
    <n v="0"/>
    <n v="120"/>
  </r>
  <r>
    <n v="54"/>
    <n v="1374"/>
    <s v="JOHN NILESH"/>
    <n v="11280"/>
    <d v="2026-04-06T11:07:44"/>
    <n v="4130"/>
    <d v="2026-04-06T12:14:55"/>
    <n v="7150"/>
    <x v="6"/>
    <x v="10"/>
    <n v="114"/>
    <n v="0.6"/>
    <n v="69"/>
    <n v="70.81"/>
    <n v="0.24000000000000002"/>
    <n v="70.57000000000000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70.811099999999996"/>
    <n v="0"/>
    <n v="114"/>
  </r>
  <r>
    <n v="55"/>
    <n v="1375"/>
    <s v="MP09GE7627"/>
    <n v="16760"/>
    <d v="2026-04-06T13:58:37"/>
    <n v="4325"/>
    <d v="2026-04-06T15:26:14"/>
    <n v="12435"/>
    <x v="7"/>
    <x v="11"/>
    <n v="0"/>
    <n v="0"/>
    <n v="0"/>
    <n v="124.35"/>
    <n v="0.42"/>
    <n v="123.92999999999999"/>
    <m/>
    <m/>
    <m/>
    <m/>
    <n v="0"/>
    <m/>
    <m/>
    <s v="FALSE"/>
    <d v="2026-04-07T00:00:00"/>
    <s v="AALOK CHODHARY SAYARKHEDI"/>
    <s v="GW-322"/>
    <n v="124.35"/>
    <n v="193"/>
    <n v="55"/>
    <n v="106.15"/>
    <n v="0"/>
    <n v="106.15"/>
    <n v="16.28"/>
    <n v="33"/>
    <n v="13.092078809811019"/>
    <n v="122.43"/>
    <x v="4"/>
    <n v="-1.9199999999999875"/>
    <s v="bad"/>
    <m/>
    <m/>
    <m/>
    <m/>
    <m/>
    <m/>
    <m/>
    <m/>
    <m/>
    <m/>
    <m/>
    <m/>
    <m/>
    <m/>
    <m/>
    <n v="1.9210999999999876"/>
    <n v="106.15"/>
    <n v="193"/>
  </r>
  <r>
    <n v="56"/>
    <n v="1376"/>
    <s v="DL1M47281"/>
    <n v="16985"/>
    <d v="2026-04-06T16:15:53"/>
    <n v="4650"/>
    <d v="2026-04-06T17:53:15"/>
    <n v="12335"/>
    <x v="7"/>
    <x v="8"/>
    <n v="0"/>
    <n v="0"/>
    <n v="0"/>
    <n v="123.35"/>
    <n v="0.42"/>
    <n v="122.92999999999999"/>
    <m/>
    <m/>
    <m/>
    <m/>
    <n v="0"/>
    <m/>
    <m/>
    <s v="FALSE"/>
    <d v="2026-04-08T00:00:00"/>
    <s v="SANDEEP NIMBODA"/>
    <s v="GW-322"/>
    <n v="314.5"/>
    <n v="505"/>
    <n v="55"/>
    <n v="277.75"/>
    <n v="0.24"/>
    <n v="277.99"/>
    <n v="36.26"/>
    <n v="71"/>
    <n v="11.52941176470588"/>
    <n v="314.25"/>
    <x v="5"/>
    <n v="-0.25"/>
    <s v="bad"/>
    <m/>
    <m/>
    <m/>
    <m/>
    <m/>
    <m/>
    <m/>
    <m/>
    <m/>
    <m/>
    <m/>
    <m/>
    <m/>
    <m/>
    <m/>
    <n v="-190.8989"/>
    <n v="277.99"/>
    <n v="505"/>
  </r>
  <r>
    <n v="57"/>
    <n v="1377"/>
    <s v="DL1M47281"/>
    <n v="12970"/>
    <d v="2026-04-07T11:14:35"/>
    <n v="4675"/>
    <d v="2026-04-07T12:09:14"/>
    <n v="8295"/>
    <x v="7"/>
    <x v="8"/>
    <n v="0"/>
    <n v="0"/>
    <n v="0"/>
    <n v="82.95"/>
    <n v="0.28000000000000003"/>
    <n v="82.6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82.951099999999997"/>
    <n v="0"/>
    <n v="0"/>
  </r>
  <r>
    <n v="58"/>
    <n v="1378"/>
    <s v="JOHN NILESH"/>
    <n v="11400"/>
    <d v="2026-04-07T12:34:51"/>
    <n v="4190"/>
    <d v="2026-04-07T13:35:34"/>
    <n v="7210"/>
    <x v="6"/>
    <x v="10"/>
    <n v="123"/>
    <n v="0.6"/>
    <n v="74"/>
    <n v="71.36"/>
    <n v="0.25"/>
    <n v="71.1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71.361099999999993"/>
    <n v="0"/>
    <n v="123"/>
  </r>
  <r>
    <n v="59"/>
    <n v="1379"/>
    <s v="JOHN NILESH"/>
    <n v="11360"/>
    <d v="2026-04-07T13:39:40"/>
    <n v="4105"/>
    <d v="2026-04-07T14:10:54"/>
    <n v="7255"/>
    <x v="6"/>
    <x v="10"/>
    <n v="122"/>
    <n v="0.6"/>
    <n v="74"/>
    <n v="71.81"/>
    <n v="0.25"/>
    <n v="71.5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71.811099999999996"/>
    <n v="0"/>
    <n v="122"/>
  </r>
  <r>
    <n v="60"/>
    <n v="1380"/>
    <s v="DL1M47281"/>
    <n v="15475"/>
    <d v="2026-04-07T17:47:02"/>
    <n v="4655"/>
    <d v="2026-04-07T19:28:56"/>
    <n v="10820"/>
    <x v="7"/>
    <x v="8"/>
    <n v="0"/>
    <n v="0"/>
    <n v="0"/>
    <n v="108.2"/>
    <n v="0.37"/>
    <n v="107.83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08.2011"/>
    <n v="0"/>
    <n v="0"/>
  </r>
  <r>
    <n v="61"/>
    <n v="1381"/>
    <n v="485"/>
    <n v="11590"/>
    <d v="2026-04-08T11:20:41"/>
    <n v="4135"/>
    <d v="2026-04-08T12:15:04"/>
    <n v="7455"/>
    <x v="6"/>
    <x v="10"/>
    <n v="124"/>
    <n v="0.6"/>
    <n v="75"/>
    <n v="73.8"/>
    <n v="0.25"/>
    <n v="73.5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73.801099999999991"/>
    <n v="0"/>
    <n v="124"/>
  </r>
  <r>
    <n v="62"/>
    <n v="1382"/>
    <s v="JOHN"/>
    <n v="11615"/>
    <d v="2026-04-08T11:56:24"/>
    <n v="4195"/>
    <d v="2026-04-08T12:45:57"/>
    <n v="7420"/>
    <x v="6"/>
    <x v="10"/>
    <n v="124"/>
    <n v="0.6"/>
    <n v="75"/>
    <n v="73.45"/>
    <n v="0.25"/>
    <n v="73.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73.451099999999997"/>
    <n v="0"/>
    <n v="124"/>
  </r>
  <r>
    <n v="63"/>
    <n v="1383"/>
    <s v="MP09GF0898"/>
    <n v="15810"/>
    <d v="2026-04-08T14:36:30"/>
    <n v="4370"/>
    <d v="2026-04-08T15:58:43"/>
    <n v="11440"/>
    <x v="8"/>
    <x v="12"/>
    <n v="0"/>
    <n v="0"/>
    <n v="0"/>
    <n v="114.4"/>
    <n v="0.39"/>
    <n v="114.01"/>
    <m/>
    <m/>
    <m/>
    <m/>
    <n v="0"/>
    <m/>
    <m/>
    <s v="FALSE"/>
    <d v="2026-04-10T00:00:00"/>
    <s v="PAWAN JAT MUNDAT"/>
    <s v="HI-8713 PUSA MANGAL"/>
    <n v="466.25"/>
    <n v="774"/>
    <n v="55"/>
    <n v="425.7"/>
    <n v="0"/>
    <n v="425.7"/>
    <n v="39.67"/>
    <n v="11"/>
    <n v="8.5083109919571047"/>
    <n v="465.37"/>
    <x v="6"/>
    <n v="-0.87999999999999545"/>
    <s v="bad"/>
    <m/>
    <m/>
    <m/>
    <m/>
    <m/>
    <m/>
    <m/>
    <m/>
    <m/>
    <m/>
    <m/>
    <m/>
    <m/>
    <m/>
    <m/>
    <n v="-350.96889999999996"/>
    <n v="425.7"/>
    <n v="774"/>
  </r>
  <r>
    <n v="64"/>
    <n v="1384"/>
    <s v="DL1M47281"/>
    <n v="16875"/>
    <d v="2026-04-08T16:00:56"/>
    <n v="4660"/>
    <d v="2026-04-08T18:29:48"/>
    <n v="12215"/>
    <x v="8"/>
    <x v="12"/>
    <n v="0"/>
    <n v="0"/>
    <n v="0"/>
    <n v="122.15"/>
    <n v="0.41000000000000003"/>
    <n v="121.7400000000000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2.1511"/>
    <n v="0"/>
    <n v="0"/>
  </r>
  <r>
    <n v="65"/>
    <n v="1385"/>
    <s v="MP09GF0868"/>
    <n v="15240"/>
    <d v="2026-04-09T14:31:57"/>
    <n v="4380"/>
    <d v="2026-04-09T16:19:35"/>
    <n v="10860"/>
    <x v="8"/>
    <x v="12"/>
    <n v="0"/>
    <n v="0"/>
    <n v="0"/>
    <n v="108.6"/>
    <n v="0.37"/>
    <n v="108.2299999999999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08.60109999999999"/>
    <n v="0"/>
    <n v="0"/>
  </r>
  <r>
    <n v="66"/>
    <n v="1386"/>
    <s v="DL1M47281"/>
    <n v="16795"/>
    <d v="2026-04-09T16:21:58"/>
    <n v="4685"/>
    <d v="2026-04-09T18:26:28"/>
    <n v="12110"/>
    <x v="8"/>
    <x v="12"/>
    <n v="0"/>
    <n v="0"/>
    <n v="0"/>
    <n v="121.1"/>
    <n v="0.41000000000000003"/>
    <n v="120.6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1.10109999999999"/>
    <n v="0"/>
    <n v="0"/>
  </r>
  <r>
    <n v="67"/>
    <n v="1387"/>
    <s v="JOHN NILESH"/>
    <n v="11730"/>
    <d v="2026-04-09T18:12:28"/>
    <n v="4165"/>
    <d v="2026-04-09T19:04:24"/>
    <n v="7565"/>
    <x v="6"/>
    <x v="10"/>
    <n v="124"/>
    <n v="0.6"/>
    <n v="75"/>
    <n v="74.900000000000006"/>
    <n v="0.26"/>
    <n v="74.6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74.9011"/>
    <n v="0"/>
    <n v="124"/>
  </r>
  <r>
    <n v="68"/>
    <n v="1388"/>
    <s v="MP09GF0868"/>
    <n v="15160"/>
    <d v="2026-04-10T13:39:38"/>
    <n v="4375"/>
    <d v="2026-04-10T14:55:11"/>
    <n v="10785"/>
    <x v="9"/>
    <x v="13"/>
    <n v="0"/>
    <n v="0"/>
    <n v="0"/>
    <n v="107.85"/>
    <n v="0.36"/>
    <n v="107.4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07.85109999999999"/>
    <n v="0"/>
    <n v="0"/>
  </r>
  <r>
    <n v="69"/>
    <n v="1389"/>
    <s v="MP42ZC5532"/>
    <n v="14880"/>
    <d v="2026-04-10T14:17:52"/>
    <n v="5270"/>
    <d v="2026-04-10T16:00:20"/>
    <n v="9610"/>
    <x v="10"/>
    <x v="14"/>
    <n v="190"/>
    <n v="0.6"/>
    <n v="114"/>
    <n v="94.96"/>
    <n v="0.33"/>
    <n v="94.63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94.961099999999988"/>
    <n v="0"/>
    <n v="190"/>
  </r>
  <r>
    <n v="70"/>
    <n v="1390"/>
    <s v="MP42AA4955"/>
    <n v="9640"/>
    <d v="2026-04-10T14:20:37"/>
    <n v="4090"/>
    <d v="2026-04-10T16:01:57"/>
    <n v="5550"/>
    <x v="10"/>
    <x v="14"/>
    <n v="110"/>
    <n v="0.6"/>
    <n v="66"/>
    <n v="54.84"/>
    <n v="0.19"/>
    <n v="54.65000000000000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4.841100000000004"/>
    <n v="0"/>
    <n v="110"/>
  </r>
  <r>
    <n v="71"/>
    <n v="1391"/>
    <s v="SONA SANDEEP"/>
    <n v="9785"/>
    <d v="2026-04-10T14:56:34"/>
    <n v="4235"/>
    <d v="2026-04-10T15:24:58"/>
    <n v="5550"/>
    <x v="9"/>
    <x v="13"/>
    <n v="0"/>
    <n v="0"/>
    <n v="0"/>
    <n v="55.5"/>
    <n v="0.19"/>
    <n v="55.31"/>
    <m/>
    <m/>
    <m/>
    <m/>
    <n v="0"/>
    <m/>
    <m/>
    <s v="FALSE"/>
    <d v="2026-04-11T00:00:00"/>
    <s v="INDARSINGH RAMGARH"/>
    <s v="HI-8759 PUSA TEJAS"/>
    <n v="284.39999999999998"/>
    <n v="464"/>
    <n v="55"/>
    <n v="255.2"/>
    <n v="0"/>
    <n v="255.2"/>
    <n v="26.79"/>
    <n v="0"/>
    <n v="9.4198312236286927"/>
    <n v="281.99"/>
    <x v="5"/>
    <n v="-2.4099999999999682"/>
    <s v="bad"/>
    <m/>
    <m/>
    <m/>
    <m/>
    <m/>
    <m/>
    <m/>
    <m/>
    <m/>
    <m/>
    <m/>
    <m/>
    <m/>
    <m/>
    <m/>
    <n v="-226.48889999999997"/>
    <n v="255.2"/>
    <n v="464"/>
  </r>
  <r>
    <n v="72"/>
    <n v="1392"/>
    <s v="DL1M47281"/>
    <n v="16775"/>
    <d v="2026-04-10T15:26:56"/>
    <n v="4670"/>
    <d v="2026-04-10T17:14:31"/>
    <n v="12105"/>
    <x v="9"/>
    <x v="13"/>
    <n v="0"/>
    <n v="0"/>
    <n v="0"/>
    <n v="121.05"/>
    <n v="0.41000000000000003"/>
    <n v="120.6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1.05109999999999"/>
    <n v="0"/>
    <n v="0"/>
  </r>
  <r>
    <n v="73"/>
    <n v="1394"/>
    <s v="MP13ZY3240"/>
    <n v="15520"/>
    <d v="2026-04-11T12:01:11"/>
    <n v="5180"/>
    <d v="2026-04-11T13:36:17"/>
    <n v="10340"/>
    <x v="9"/>
    <x v="15"/>
    <n v="0"/>
    <n v="0"/>
    <n v="0"/>
    <n v="103.4"/>
    <n v="0.35000000000000003"/>
    <n v="103.0500000000000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03.4011"/>
    <n v="0"/>
    <n v="0"/>
  </r>
  <r>
    <n v="74"/>
    <n v="1395"/>
    <s v="SONALIKA"/>
    <n v="9045"/>
    <d v="2026-04-11T13:39:15"/>
    <n v="3925"/>
    <d v="2026-04-11T15:06:41"/>
    <n v="5120"/>
    <x v="9"/>
    <x v="15"/>
    <n v="0"/>
    <n v="0"/>
    <n v="0"/>
    <n v="51.2"/>
    <n v="0.18000000000000002"/>
    <n v="51.02"/>
    <m/>
    <m/>
    <m/>
    <m/>
    <n v="0"/>
    <m/>
    <m/>
    <s v="FALSE"/>
    <d v="2026-04-13T00:00:00"/>
    <s v="RAMCHANDRA JITARKHEDI"/>
    <s v="HI-8759 PUSA TEJAS"/>
    <n v="261.60000000000002"/>
    <n v="423"/>
    <n v="55"/>
    <n v="232.65"/>
    <n v="0.13"/>
    <n v="232.78"/>
    <n v="28.16"/>
    <n v="51"/>
    <n v="10.764525993883792"/>
    <n v="260.94"/>
    <x v="5"/>
    <n v="-0.66000000000002501"/>
    <s v="bad"/>
    <m/>
    <m/>
    <m/>
    <m/>
    <m/>
    <m/>
    <m/>
    <m/>
    <m/>
    <m/>
    <m/>
    <m/>
    <m/>
    <m/>
    <m/>
    <n v="-209.73889999999997"/>
    <n v="232.78"/>
    <n v="423"/>
  </r>
  <r>
    <n v="75"/>
    <n v="1397"/>
    <s v="MP13GB1398"/>
    <n v="14765"/>
    <d v="2026-04-11T15:09:12"/>
    <n v="4065"/>
    <d v="2026-04-11T16:41:03"/>
    <n v="10700"/>
    <x v="9"/>
    <x v="15"/>
    <n v="0"/>
    <n v="0"/>
    <n v="0"/>
    <n v="107"/>
    <n v="0.36"/>
    <n v="106.6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07.00109999999999"/>
    <n v="0"/>
    <n v="0"/>
  </r>
  <r>
    <n v="76"/>
    <n v="1398"/>
    <s v="MP09GF5599"/>
    <n v="15730"/>
    <d v="2026-04-13T11:09:41"/>
    <n v="5120"/>
    <d v="2026-04-13T12:01:05"/>
    <n v="10610"/>
    <x v="9"/>
    <x v="16"/>
    <n v="0"/>
    <n v="0"/>
    <n v="0"/>
    <n v="106.1"/>
    <n v="0.36"/>
    <n v="105.74"/>
    <m/>
    <m/>
    <m/>
    <m/>
    <n v="0"/>
    <m/>
    <m/>
    <s v="FALSE"/>
    <d v="2026-04-14T00:00:00"/>
    <s v="VIKRAM JAT KHANDODA"/>
    <s v="HI-8759 PUSA TEJAS"/>
    <n v="385.05"/>
    <n v="654"/>
    <n v="55"/>
    <n v="359.7"/>
    <n v="0.18"/>
    <n v="359.88"/>
    <n v="25.12"/>
    <n v="51"/>
    <n v="6.5238280742760679"/>
    <n v="385"/>
    <x v="5"/>
    <n v="-5.0000000000011369E-2"/>
    <s v="bad"/>
    <m/>
    <m/>
    <m/>
    <m/>
    <m/>
    <m/>
    <m/>
    <m/>
    <m/>
    <m/>
    <m/>
    <m/>
    <m/>
    <m/>
    <m/>
    <n v="-278.89889999999997"/>
    <n v="359.88"/>
    <n v="654"/>
  </r>
  <r>
    <n v="77"/>
    <n v="1399"/>
    <s v="MP13ZR0497"/>
    <n v="17210"/>
    <d v="2026-04-13T11:11:00"/>
    <n v="4990"/>
    <d v="2026-04-13T14:36:45"/>
    <n v="12220"/>
    <x v="9"/>
    <x v="16"/>
    <n v="0"/>
    <n v="0"/>
    <n v="0"/>
    <n v="122.2"/>
    <n v="0.41000000000000003"/>
    <n v="121.7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2.2011"/>
    <n v="0"/>
    <n v="0"/>
  </r>
  <r>
    <n v="78"/>
    <n v="1400"/>
    <s v="DL1M47281"/>
    <n v="17440"/>
    <d v="2026-04-13T14:35:07"/>
    <n v="4660"/>
    <d v="2026-04-13T16:31:23"/>
    <n v="12780"/>
    <x v="11"/>
    <x v="8"/>
    <n v="220"/>
    <n v="0.6"/>
    <n v="132"/>
    <n v="126.48"/>
    <n v="0.43"/>
    <n v="126.0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6.4811"/>
    <n v="0"/>
    <n v="220"/>
  </r>
  <r>
    <n v="79"/>
    <n v="1401"/>
    <s v="CG04QR7499"/>
    <n v="22260"/>
    <d v="2026-04-13T14:40:01"/>
    <n v="6585"/>
    <d v="2026-04-13T16:59:05"/>
    <n v="15675"/>
    <x v="9"/>
    <x v="16"/>
    <n v="0"/>
    <n v="0"/>
    <n v="0"/>
    <n v="156.75"/>
    <n v="0.53"/>
    <n v="156.22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56.75110000000001"/>
    <n v="0"/>
    <n v="0"/>
  </r>
  <r>
    <n v="80"/>
    <n v="1402"/>
    <s v="MP09GF0868"/>
    <n v="16970"/>
    <d v="2026-04-13T17:16:06"/>
    <n v="4375"/>
    <d v="2026-04-13T18:44:52"/>
    <n v="12595"/>
    <x v="11"/>
    <x v="8"/>
    <n v="220"/>
    <n v="0.6"/>
    <n v="132"/>
    <n v="124.63"/>
    <n v="0.42"/>
    <n v="124.2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4.63109999999999"/>
    <n v="0"/>
    <n v="220"/>
  </r>
  <r>
    <n v="81"/>
    <n v="1403"/>
    <s v="SWARAJ BHESLA"/>
    <n v="8755"/>
    <d v="2026-04-13T18:21:22"/>
    <n v="4215"/>
    <d v="2026-04-13T18:54:21"/>
    <n v="4540"/>
    <x v="9"/>
    <x v="17"/>
    <n v="0"/>
    <n v="0"/>
    <n v="0"/>
    <n v="45.4"/>
    <n v="0.16"/>
    <n v="45.24"/>
    <m/>
    <m/>
    <m/>
    <m/>
    <n v="0"/>
    <m/>
    <m/>
    <s v="FALSE"/>
    <d v="2026-04-14T00:00:00"/>
    <s v="SHIVRAM JAT BHESLA"/>
    <s v="HI-8759 PUSA TEJAS"/>
    <n v="180.55"/>
    <n v="297"/>
    <n v="55"/>
    <n v="163.35"/>
    <n v="0"/>
    <n v="163.35"/>
    <n v="16.32"/>
    <n v="32"/>
    <n v="9.0390473553032393"/>
    <n v="179.67"/>
    <x v="7"/>
    <n v="-0.88000000000002387"/>
    <s v="good"/>
    <m/>
    <m/>
    <m/>
    <m/>
    <m/>
    <m/>
    <m/>
    <m/>
    <m/>
    <m/>
    <m/>
    <m/>
    <m/>
    <m/>
    <m/>
    <n v="-134.26889999999997"/>
    <n v="163.35"/>
    <n v="297"/>
  </r>
  <r>
    <n v="82"/>
    <n v="1404"/>
    <s v="SONALIKA BHESLA"/>
    <n v="8180"/>
    <d v="2026-04-13T18:56:38"/>
    <n v="4030"/>
    <d v="2026-04-13T19:18:53"/>
    <n v="4150"/>
    <x v="9"/>
    <x v="17"/>
    <n v="0"/>
    <n v="0"/>
    <n v="0"/>
    <n v="41.5"/>
    <n v="0.14000000000000001"/>
    <n v="41.36"/>
    <m/>
    <m/>
    <m/>
    <m/>
    <n v="0"/>
    <m/>
    <m/>
    <s v="TRUE"/>
    <m/>
    <m/>
    <m/>
    <m/>
    <m/>
    <m/>
    <m/>
    <m/>
    <m/>
    <m/>
    <m/>
    <m/>
    <m/>
    <x v="1"/>
    <m/>
    <s v="good"/>
    <m/>
    <m/>
    <m/>
    <m/>
    <m/>
    <m/>
    <m/>
    <m/>
    <m/>
    <m/>
    <m/>
    <m/>
    <m/>
    <m/>
    <m/>
    <n v="41.501100000000001"/>
    <n v="0"/>
    <n v="0"/>
  </r>
  <r>
    <n v="84"/>
    <n v="1405"/>
    <s v="MP13ZR0497"/>
    <n v="14330"/>
    <d v="2026-04-14T10:51:20"/>
    <n v="4965"/>
    <d v="2026-04-14T12:18:37"/>
    <n v="9365"/>
    <x v="9"/>
    <x v="17"/>
    <n v="0"/>
    <n v="0"/>
    <n v="0"/>
    <n v="93.65"/>
    <n v="0.32"/>
    <n v="93.330000000000013"/>
    <m/>
    <m/>
    <m/>
    <m/>
    <n v="0"/>
    <m/>
    <m/>
    <s v="TRUE"/>
    <m/>
    <m/>
    <m/>
    <m/>
    <m/>
    <m/>
    <m/>
    <m/>
    <m/>
    <m/>
    <m/>
    <m/>
    <m/>
    <x v="1"/>
    <m/>
    <s v="good"/>
    <m/>
    <m/>
    <m/>
    <m/>
    <m/>
    <m/>
    <m/>
    <m/>
    <m/>
    <m/>
    <m/>
    <m/>
    <m/>
    <m/>
    <m/>
    <n v="93.6511"/>
    <n v="0"/>
    <n v="0"/>
  </r>
  <r>
    <n v="85"/>
    <n v="1406"/>
    <s v="DL1M47281"/>
    <n v="17200"/>
    <d v="2026-04-14T11:03:02"/>
    <n v="10380"/>
    <d v="2026-04-14T11:58:16"/>
    <n v="6820"/>
    <x v="11"/>
    <x v="8"/>
    <n v="118"/>
    <n v="0.6"/>
    <n v="71"/>
    <n v="67.489999999999995"/>
    <n v="0.23"/>
    <n v="67.25999999999999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67.491099999999989"/>
    <n v="0"/>
    <n v="118"/>
  </r>
  <r>
    <n v="86"/>
    <n v="1407"/>
    <s v="DL1M47281"/>
    <n v="10380"/>
    <d v="2026-04-14T11:58:57"/>
    <n v="4670"/>
    <d v="2026-04-14T12:46:50"/>
    <n v="5710"/>
    <x v="12"/>
    <x v="8"/>
    <n v="102"/>
    <n v="0.6"/>
    <n v="62"/>
    <n v="56.48"/>
    <n v="0.2"/>
    <n v="56.27999999999999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6.481099999999998"/>
    <n v="0"/>
    <n v="102"/>
  </r>
  <r>
    <n v="87"/>
    <n v="1408"/>
    <s v="MP09GF0868"/>
    <n v="16580"/>
    <d v="2026-04-14T13:03:04"/>
    <n v="4380"/>
    <d v="2026-04-14T14:30:06"/>
    <n v="12200"/>
    <x v="12"/>
    <x v="8"/>
    <n v="220"/>
    <n v="0.6"/>
    <n v="132"/>
    <n v="120.68"/>
    <n v="0.41000000000000003"/>
    <n v="120.2700000000000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0.6811"/>
    <n v="0"/>
    <n v="220"/>
  </r>
  <r>
    <n v="88"/>
    <n v="1409"/>
    <n v="0"/>
    <n v="0"/>
    <d v="1899-12-30T00:00:00"/>
    <n v="0"/>
    <d v="1899-12-30T00:00:00"/>
    <n v="0"/>
    <x v="13"/>
    <x v="18"/>
    <n v="0"/>
    <n v="0"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89"/>
    <n v="1410"/>
    <s v="YUVO DINESH"/>
    <n v="8215"/>
    <d v="2026-04-14T15:16:43"/>
    <n v="3765"/>
    <d v="2026-04-14T17:25:49"/>
    <n v="4450"/>
    <x v="9"/>
    <x v="19"/>
    <n v="0"/>
    <n v="0"/>
    <n v="0"/>
    <n v="44.5"/>
    <n v="0.15000000000000002"/>
    <n v="44.3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4.501100000000001"/>
    <n v="0"/>
    <n v="0"/>
  </r>
  <r>
    <n v="90"/>
    <n v="1411"/>
    <s v="FERGUSAN DINE 1"/>
    <n v="4535"/>
    <d v="2026-04-14T16:57:03"/>
    <n v="9945"/>
    <d v="2026-04-15T10:53:34"/>
    <n v="5410"/>
    <x v="9"/>
    <x v="19"/>
    <n v="0"/>
    <n v="0"/>
    <n v="0"/>
    <n v="54.1"/>
    <n v="0.19"/>
    <n v="53.91000000000000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4.101100000000002"/>
    <n v="0"/>
    <n v="0"/>
  </r>
  <r>
    <n v="91"/>
    <n v="1412"/>
    <s v="SONALIKA DINESH"/>
    <n v="8405"/>
    <d v="2026-04-15T10:23:29"/>
    <n v="4160"/>
    <d v="2026-04-15T10:47:12"/>
    <n v="4245"/>
    <x v="9"/>
    <x v="19"/>
    <n v="0"/>
    <n v="0"/>
    <n v="0"/>
    <n v="42.45"/>
    <n v="0.15000000000000002"/>
    <n v="42.30000000000000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2.451100000000004"/>
    <n v="0"/>
    <n v="0"/>
  </r>
  <r>
    <n v="92"/>
    <n v="1413"/>
    <s v="FER DINESH 2"/>
    <n v="9945"/>
    <d v="2026-04-15T10:54:28"/>
    <n v="4535"/>
    <d v="2026-04-15T11:24:43"/>
    <n v="5410"/>
    <x v="9"/>
    <x v="19"/>
    <n v="0"/>
    <n v="0"/>
    <n v="0"/>
    <n v="54.1"/>
    <n v="0.19"/>
    <n v="53.910000000000004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4.101100000000002"/>
    <n v="0"/>
    <n v="0"/>
  </r>
  <r>
    <n v="93"/>
    <n v="1414"/>
    <s v="MASSEY DINESH"/>
    <n v="9125"/>
    <d v="2026-04-15T11:16:14"/>
    <n v="4110"/>
    <d v="2026-04-15T11:43:02"/>
    <n v="5015"/>
    <x v="9"/>
    <x v="19"/>
    <n v="0"/>
    <n v="0"/>
    <n v="0"/>
    <n v="50.15"/>
    <n v="0.17"/>
    <n v="49.98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0.1511"/>
    <n v="0"/>
    <n v="0"/>
  </r>
  <r>
    <n v="94"/>
    <n v="1415"/>
    <s v="HOLLAND DINESH"/>
    <n v="8920"/>
    <d v="2026-04-15T11:46:01"/>
    <n v="4040"/>
    <d v="2026-04-15T13:16:44"/>
    <n v="4880"/>
    <x v="9"/>
    <x v="19"/>
    <n v="0"/>
    <n v="0"/>
    <n v="0"/>
    <n v="48.8"/>
    <n v="0.17"/>
    <n v="48.62999999999999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8.801099999999998"/>
    <n v="0"/>
    <n v="0"/>
  </r>
  <r>
    <n v="95"/>
    <n v="1416"/>
    <s v="SONALIKA DINESH"/>
    <n v="8360"/>
    <d v="2026-04-15T13:14:42"/>
    <n v="4155"/>
    <d v="2026-04-15T13:43:08"/>
    <n v="4205"/>
    <x v="9"/>
    <x v="19"/>
    <n v="0"/>
    <n v="0"/>
    <n v="0"/>
    <n v="42.05"/>
    <n v="0.15000000000000002"/>
    <n v="41.9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2.051099999999998"/>
    <n v="0"/>
    <n v="0"/>
  </r>
  <r>
    <n v="96"/>
    <n v="1417"/>
    <s v="MAHINDRA DINESH"/>
    <n v="5350"/>
    <d v="2026-04-15T13:41:52"/>
    <n v="3420"/>
    <d v="2026-04-15T15:55:10"/>
    <n v="1930"/>
    <x v="9"/>
    <x v="19"/>
    <n v="0"/>
    <n v="0"/>
    <n v="0"/>
    <n v="19.3"/>
    <n v="6.9999999999999993E-2"/>
    <n v="19.23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9.301100000000002"/>
    <n v="0"/>
    <n v="0"/>
  </r>
  <r>
    <n v="97"/>
    <n v="1418"/>
    <s v="SONALIKA DINESH"/>
    <n v="8365"/>
    <d v="2026-04-15T14:12:55"/>
    <n v="4055"/>
    <d v="2026-04-15T16:49:33"/>
    <n v="4310"/>
    <x v="9"/>
    <x v="19"/>
    <n v="0"/>
    <n v="0"/>
    <n v="0"/>
    <n v="43.1"/>
    <n v="0.15000000000000002"/>
    <n v="42.9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3.101100000000002"/>
    <n v="0"/>
    <n v="0"/>
  </r>
  <r>
    <n v="98"/>
    <n v="1419"/>
    <s v="FARM MAHENDRASI"/>
    <n v="9470"/>
    <d v="2026-04-15T15:29:44"/>
    <n v="4245"/>
    <d v="2026-04-15T16:35:12"/>
    <n v="5225"/>
    <x v="9"/>
    <x v="20"/>
    <n v="0"/>
    <n v="0"/>
    <n v="0"/>
    <n v="52.25"/>
    <n v="0.18000000000000002"/>
    <n v="52.07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2.251100000000001"/>
    <n v="0"/>
    <n v="0"/>
  </r>
  <r>
    <n v="99"/>
    <n v="1420"/>
    <s v="MASSY DINESH"/>
    <n v="9175"/>
    <d v="2026-04-15T16:09:55"/>
    <n v="4110"/>
    <d v="2026-04-15T17:21:32"/>
    <n v="5065"/>
    <x v="9"/>
    <x v="19"/>
    <n v="0"/>
    <m/>
    <n v="0"/>
    <n v="50.65"/>
    <n v="0.17"/>
    <n v="50.48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50.6511"/>
    <n v="0"/>
    <n v="0"/>
  </r>
  <r>
    <n v="100"/>
    <n v="1421"/>
    <s v="MP09GF0868"/>
    <n v="16770"/>
    <d v="2026-04-15T16:20:49"/>
    <n v="4385"/>
    <d v="2026-04-15T18:28:53"/>
    <n v="12385"/>
    <x v="12"/>
    <x v="8"/>
    <n v="220"/>
    <n v="0.6"/>
    <n v="132"/>
    <n v="122.53"/>
    <n v="0.42"/>
    <n v="122.1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22.5311"/>
    <n v="0"/>
    <n v="220"/>
  </r>
  <r>
    <n v="101"/>
    <n v="1422"/>
    <s v="SONALIKA DINESH"/>
    <n v="9135"/>
    <d v="2026-04-15T17:16:13"/>
    <n v="4230"/>
    <d v="2026-04-15T19:09:45"/>
    <n v="4905"/>
    <x v="9"/>
    <x v="19"/>
    <n v="0"/>
    <n v="0"/>
    <n v="0"/>
    <n v="49.05"/>
    <n v="0.17"/>
    <n v="48.879999999999995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9.051099999999998"/>
    <n v="0"/>
    <n v="0"/>
  </r>
  <r>
    <n v="102"/>
    <n v="1423"/>
    <s v="DL1M47281"/>
    <n v="17880"/>
    <d v="2026-04-15T18:09:39"/>
    <n v="7090"/>
    <d v="2026-04-15T19:06:26"/>
    <n v="10790"/>
    <x v="14"/>
    <x v="8"/>
    <n v="193"/>
    <n v="0.6"/>
    <n v="116"/>
    <n v="106.74"/>
    <n v="0.36"/>
    <n v="106.38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06.74109999999999"/>
    <n v="0"/>
    <n v="193"/>
  </r>
  <r>
    <n v="103"/>
    <n v="1424"/>
    <s v="DL1M47281"/>
    <n v="7090"/>
    <d v="2026-04-15T19:07:02"/>
    <n v="4690"/>
    <d v="2026-04-15T19:26:06"/>
    <n v="2400"/>
    <x v="12"/>
    <x v="8"/>
    <n v="43"/>
    <n v="0.6"/>
    <n v="26"/>
    <n v="23.74"/>
    <n v="0.08"/>
    <n v="23.66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23.741099999999999"/>
    <n v="0"/>
    <n v="43"/>
  </r>
  <r>
    <n v="104"/>
    <n v="1425"/>
    <s v="SONALIKA DINESH"/>
    <n v="8380"/>
    <d v="2026-04-15T19:16:39"/>
    <n v="4155"/>
    <d v="2026-04-15T19:38:10"/>
    <n v="4225"/>
    <x v="9"/>
    <x v="19"/>
    <n v="0"/>
    <n v="0"/>
    <n v="0"/>
    <n v="42.25"/>
    <n v="0.15000000000000002"/>
    <n v="42.1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42.251100000000001"/>
    <n v="0"/>
    <n v="0"/>
  </r>
  <r>
    <n v="105"/>
    <n v="1426"/>
    <s v="MASSY DINESH"/>
    <n v="6140"/>
    <d v="2026-04-15T19:28:48"/>
    <n v="4095"/>
    <d v="2026-04-15T19:58:52"/>
    <n v="2045"/>
    <x v="9"/>
    <x v="19"/>
    <n v="0"/>
    <n v="0"/>
    <n v="0"/>
    <n v="20.45"/>
    <n v="6.9999999999999993E-2"/>
    <n v="20.38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20.4511"/>
    <n v="0"/>
    <n v="0"/>
  </r>
  <r>
    <n v="10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0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0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0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1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2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3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4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5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6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7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8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19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0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1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2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3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4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5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6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7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8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29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0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1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2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3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4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5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6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7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8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39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0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1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2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3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4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5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6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6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7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8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79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80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81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82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83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84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n v="485"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  <r>
    <m/>
    <m/>
    <m/>
    <m/>
    <m/>
    <m/>
    <m/>
    <m/>
    <x v="15"/>
    <x v="21"/>
    <m/>
    <m/>
    <n v="0"/>
    <n v="0"/>
    <n v="0"/>
    <n v="0"/>
    <m/>
    <m/>
    <m/>
    <m/>
    <n v="0"/>
    <m/>
    <m/>
    <s v="FALSE"/>
    <m/>
    <m/>
    <m/>
    <m/>
    <m/>
    <m/>
    <m/>
    <m/>
    <m/>
    <m/>
    <m/>
    <m/>
    <m/>
    <x v="1"/>
    <m/>
    <s v="bad"/>
    <m/>
    <m/>
    <m/>
    <m/>
    <m/>
    <m/>
    <m/>
    <m/>
    <m/>
    <m/>
    <m/>
    <m/>
    <m/>
    <m/>
    <m/>
    <n v="1.1000000000000001E-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outline="1" outlineData="1" compactData="0" multipleFieldFilters="0" chartFormat="5">
  <location ref="B19:L36" firstHeaderRow="0" firstDataRow="1" firstDataCol="2" rowPageCount="1" colPageCount="1"/>
  <pivotFields count="58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8">
        <item sd="0" m="1" x="16"/>
        <item sd="0" m="1" x="23"/>
        <item sd="0" m="1" x="26"/>
        <item sd="0" m="1" x="21"/>
        <item sd="0" x="15"/>
        <item sd="0" m="1" x="19"/>
        <item sd="0" x="13"/>
        <item sd="0" x="6"/>
        <item sd="0" m="1" x="17"/>
        <item sd="0" m="1" x="24"/>
        <item sd="0" m="1" x="22"/>
        <item sd="0" m="1" x="18"/>
        <item sd="0" m="1" x="20"/>
        <item sd="0" m="1" x="25"/>
        <item sd="0" x="0"/>
        <item sd="0" x="1"/>
        <item sd="0" x="2"/>
        <item sd="0" x="3"/>
        <item sd="0" x="4"/>
        <item sd="0" x="5"/>
        <item sd="0" x="7"/>
        <item sd="0" x="8"/>
        <item sd="0" x="9"/>
        <item sd="0" x="10"/>
        <item sd="0" x="11"/>
        <item sd="0" x="12"/>
        <item sd="0" x="14"/>
        <item t="default" sd="0"/>
      </items>
    </pivotField>
    <pivotField axis="axisRow" compact="0" showAll="0">
      <items count="23">
        <item x="21"/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0"/>
        <item t="default"/>
      </items>
    </pivotField>
    <pivotField dataField="1" compact="0" showAll="0"/>
    <pivotField compact="0" showAll="0"/>
    <pivotField compact="0" numFmtId="2" showAll="0"/>
    <pivotField dataField="1" compact="0" numFmtId="2" showAll="0"/>
    <pivotField compact="0" numFmtId="2" showAll="0"/>
    <pivotField compact="0" numFmtId="2" showAll="0"/>
    <pivotField compact="0" showAll="0"/>
    <pivotField compact="0" showAll="0"/>
    <pivotField compact="0" showAll="0"/>
    <pivotField compact="0" showAll="0"/>
    <pivotField compact="0" numFmtI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axis="axisPage" compact="0" multipleItemSelectionAllowed="1" showAll="0">
      <items count="9">
        <item x="5"/>
        <item x="1"/>
        <item x="0"/>
        <item x="3"/>
        <item x="2"/>
        <item x="4"/>
        <item x="6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 defaultSubtotal="0"/>
    <pivotField dataField="1" compact="0" showAll="0" defaultSubtotal="0"/>
    <pivotField compact="0" showAll="0"/>
  </pivotFields>
  <rowFields count="2">
    <field x="8"/>
    <field x="9"/>
  </rowFields>
  <rowItems count="17">
    <i>
      <x v="4"/>
    </i>
    <i>
      <x v="6"/>
    </i>
    <i>
      <x v="7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37" hier="-1"/>
  </pageFields>
  <dataFields count="9">
    <dataField name="INWARD BAGS" fld="10" baseField="8" baseItem="0"/>
    <dataField name="Wgt-BagS" fld="13" baseField="0" baseItem="0"/>
    <dataField name="GRADED BAG" fld="28" baseField="8" baseItem="0"/>
    <dataField name="Total Graded QT" fld="32" baseField="9" baseItem="0"/>
    <dataField name="U/s" fld="33" baseField="8" baseItem="0"/>
    <dataField name="Remaining Gradings" fld="55" baseField="0" baseItem="0" numFmtId="2"/>
    <dataField name="packed bags" fld="44" baseField="8" baseItem="0"/>
    <dataField name="Packed Qty" fld="46" baseField="8" baseItem="0"/>
    <dataField name="Remaining packings" fld="56" baseField="0" baseItem="0"/>
  </dataFields>
  <formats count="27">
    <format dxfId="26">
      <pivotArea field="8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8" type="button" dataOnly="0" labelOnly="1" outline="0" axis="axisRow" fieldPosition="0"/>
    </format>
    <format dxfId="19">
      <pivotArea dataOnly="0" labelOnly="1" fieldPosition="0">
        <references count="1">
          <reference field="8" count="0"/>
        </references>
      </pivotArea>
    </format>
    <format dxfId="18">
      <pivotArea dataOnly="0" labelOnly="1" grandRow="1" outline="0" fieldPosition="0"/>
    </format>
    <format dxfId="17">
      <pivotArea dataOnly="0" labelOnly="1" fieldPosition="0">
        <references count="2">
          <reference field="8" count="1" selected="0">
            <x v="4"/>
          </reference>
          <reference field="9" count="1">
            <x v="0"/>
          </reference>
        </references>
      </pivotArea>
    </format>
    <format dxfId="16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5">
      <pivotArea field="37" type="button" dataOnly="0" labelOnly="1" outline="0" axis="axisPage" fieldPosition="0"/>
    </format>
    <format dxfId="14">
      <pivotArea field="8" type="button" dataOnly="0" labelOnly="1" outline="0" axis="axisRow" fieldPosition="0"/>
    </format>
    <format dxfId="13">
      <pivotArea dataOnly="0" labelOnly="1" outline="0" fieldPosition="0">
        <references count="1">
          <reference field="8" count="1">
            <x v="1"/>
          </reference>
        </references>
      </pivotArea>
    </format>
    <format dxfId="12">
      <pivotArea dataOnly="0" labelOnly="1" outline="0" fieldPosition="0">
        <references count="1">
          <reference field="8" count="1">
            <x v="2"/>
          </reference>
        </references>
      </pivotArea>
    </format>
    <format dxfId="11">
      <pivotArea dataOnly="0" labelOnly="1" outline="0" fieldPosition="0">
        <references count="1">
          <reference field="8" count="1">
            <x v="3"/>
          </reference>
        </references>
      </pivotArea>
    </format>
    <format dxfId="10">
      <pivotArea dataOnly="0" labelOnly="1" outline="0" fieldPosition="0">
        <references count="1">
          <reference field="8" count="1">
            <x v="4"/>
          </reference>
        </references>
      </pivotArea>
    </format>
    <format dxfId="9">
      <pivotArea dataOnly="0" labelOnly="1" outline="0" fieldPosition="0">
        <references count="1">
          <reference field="8" count="1">
            <x v="5"/>
          </reference>
        </references>
      </pivotArea>
    </format>
    <format dxfId="8">
      <pivotArea dataOnly="0" labelOnly="1" outline="0" fieldPosition="0">
        <references count="1">
          <reference field="8" count="1">
            <x v="11"/>
          </reference>
        </references>
      </pivotArea>
    </format>
    <format dxfId="7">
      <pivotArea dataOnly="0" labelOnly="1" outline="0" fieldPosition="0">
        <references count="1">
          <reference field="8" count="1">
            <x v="12"/>
          </reference>
        </references>
      </pivotArea>
    </format>
    <format dxfId="6">
      <pivotArea dataOnly="0" labelOnly="1" outline="0" fieldPosition="0">
        <references count="1">
          <reference field="8" count="1">
            <x v="13"/>
          </reference>
        </references>
      </pivotArea>
    </format>
    <format dxfId="5">
      <pivotArea dataOnly="0" labelOnly="1" grandRow="1" outline="0" fieldPosition="0"/>
    </format>
    <format dxfId="4">
      <pivotArea outline="0" fieldPosition="0">
        <references count="1">
          <reference field="4294967294" count="1" selected="0">
            <x v="8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15" displayName="Table_15" ref="A3:BF590" dataDxfId="86">
  <autoFilter ref="A3:BF590" xr:uid="{00000000-0009-0000-0100-000002000000}">
    <filterColumn colId="9">
      <filters>
        <filter val="PAWAN JAT MUNDAT"/>
      </filters>
    </filterColumn>
  </autoFilter>
  <tableColumns count="58">
    <tableColumn id="1" xr3:uid="{00000000-0010-0000-0000-000001000000}" name="SNO" dataDxfId="85"/>
    <tableColumn id="2" xr3:uid="{00000000-0010-0000-0000-000002000000}" name="SLIPNO" dataDxfId="84"/>
    <tableColumn id="3" xr3:uid="{00000000-0010-0000-0000-000003000000}" name="Truck No" dataDxfId="83"/>
    <tableColumn id="4" xr3:uid="{00000000-0010-0000-0000-000004000000}" name="First Wt" dataDxfId="82"/>
    <tableColumn id="5" xr3:uid="{00000000-0010-0000-0000-000005000000}" name="DateTime In" dataDxfId="81"/>
    <tableColumn id="6" xr3:uid="{00000000-0010-0000-0000-000006000000}" name="Second Wt" dataDxfId="80"/>
    <tableColumn id="7" xr3:uid="{00000000-0010-0000-0000-000007000000}" name="DateTime Out" dataDxfId="79"/>
    <tableColumn id="8" xr3:uid="{00000000-0010-0000-0000-000008000000}" name="Net Wt" dataDxfId="78"/>
    <tableColumn id="9" xr3:uid="{00000000-0010-0000-0000-000009000000}" name="Material Name" dataDxfId="77"/>
    <tableColumn id="10" xr3:uid="{00000000-0010-0000-0000-00000A000000}" name="Supplier Name" dataDxfId="76"/>
    <tableColumn id="11" xr3:uid="{00000000-0010-0000-0000-00000B000000}" name="Bags" dataDxfId="75"/>
    <tableColumn id="12" xr3:uid="{00000000-0010-0000-0000-00000C000000}" name="Size" dataDxfId="74"/>
    <tableColumn id="13" xr3:uid="{00000000-0010-0000-0000-00000D000000}" name="Bag Wgt" dataDxfId="73">
      <calculatedColumnFormula>ROUNDUP((K4*L4),0)</calculatedColumnFormula>
    </tableColumn>
    <tableColumn id="14" xr3:uid="{00000000-0010-0000-0000-00000E000000}" name="Wgt-Bag" dataDxfId="72">
      <calculatedColumnFormula>(H4-M4)/100</calculatedColumnFormula>
    </tableColumn>
    <tableColumn id="15" xr3:uid="{00000000-0010-0000-0000-00000F000000}" name="BOUNCING" dataDxfId="71">
      <calculatedColumnFormula>ROUNDUP((H4/90)*0.003,2)</calculatedColumnFormula>
    </tableColumn>
    <tableColumn id="16" xr3:uid="{00000000-0010-0000-0000-000010000000}" name="NET WEIGHT" dataDxfId="70">
      <calculatedColumnFormula>(N4)-O4</calculatedColumnFormula>
    </tableColumn>
    <tableColumn id="17" xr3:uid="{00000000-0010-0000-0000-000011000000}" name="MOISTURE" dataDxfId="69"/>
    <tableColumn id="18" xr3:uid="{00000000-0010-0000-0000-000012000000}" name="GERMINATION" dataDxfId="68"/>
    <tableColumn id="19" xr3:uid="{00000000-0010-0000-0000-000013000000}" name="REMARK" dataDxfId="67"/>
    <tableColumn id="20" xr3:uid="{00000000-0010-0000-0000-000014000000}" name="RATE" dataDxfId="66"/>
    <tableColumn id="21" xr3:uid="{00000000-0010-0000-0000-000015000000}" name="AMOUNT" dataDxfId="65">
      <calculatedColumnFormula>T4*P4</calculatedColumnFormula>
    </tableColumn>
    <tableColumn id="22" xr3:uid="{00000000-0010-0000-0000-000016000000}" name="CHEQUE" dataDxfId="64"/>
    <tableColumn id="23" xr3:uid="{00000000-0010-0000-0000-000017000000}" name="CASH" dataDxfId="63"/>
    <tableColumn id="24" xr3:uid="{00000000-0010-0000-0000-000018000000}" name="FLAG" dataDxfId="62">
      <calculatedColumnFormula>+IF(AND('GRADING PACKING'!L$5=INWARDDATA!J4,'GRADING PACKING'!L$6=INWARDDATA!I4,AB4=0),"TRUE","FALSE")</calculatedColumnFormula>
    </tableColumn>
    <tableColumn id="25" xr3:uid="{00000000-0010-0000-0000-000019000000}" name="GRADING DATE" dataDxfId="61"/>
    <tableColumn id="26" xr3:uid="{00000000-0010-0000-0000-00001A000000}" name="CODE" dataDxfId="60"/>
    <tableColumn id="27" xr3:uid="{00000000-0010-0000-0000-00001B000000}" name="VARIETY" dataDxfId="59"/>
    <tableColumn id="28" xr3:uid="{00000000-0010-0000-0000-00001C000000}" name="WEIGHT RECPT" dataDxfId="58"/>
    <tableColumn id="29" xr3:uid="{00000000-0010-0000-0000-00001D000000}" name="GRADED BAGS" dataDxfId="57"/>
    <tableColumn id="30" xr3:uid="{00000000-0010-0000-0000-00001E000000}" name="GRADED BAG SIZE" dataDxfId="56"/>
    <tableColumn id="31" xr3:uid="{00000000-0010-0000-0000-00001F000000}" name="GRADED QUANTITY" dataDxfId="55"/>
    <tableColumn id="32" xr3:uid="{00000000-0010-0000-0000-000020000000}" name="GRADED LOOSE" dataDxfId="54"/>
    <tableColumn id="55" xr3:uid="{00000000-0010-0000-0000-000037000000}" name="Total Graded" dataDxfId="53"/>
    <tableColumn id="33" xr3:uid="{00000000-0010-0000-0000-000021000000}" name="UNDERSIZE" dataDxfId="52"/>
    <tableColumn id="34" xr3:uid="{00000000-0010-0000-0000-000022000000}" name="U/s Bags" dataDxfId="51"/>
    <tableColumn id="35" xr3:uid="{00000000-0010-0000-0000-000023000000}" name="UNDERSIZE %" dataDxfId="50"/>
    <tableColumn id="36" xr3:uid="{00000000-0010-0000-0000-000024000000}" name="Final Graded" dataDxfId="49"/>
    <tableColumn id="37" xr3:uid="{00000000-0010-0000-0000-000025000000}" name="LOCATION" dataDxfId="48"/>
    <tableColumn id="38" xr3:uid="{00000000-0010-0000-0000-000026000000}" name="DIFFERENCE" dataDxfId="47"/>
    <tableColumn id="39" xr3:uid="{00000000-0010-0000-0000-000027000000}" name="FLAG2" dataDxfId="46">
      <calculatedColumnFormula>+IF(AND('GRADING PACKING'!L$5=INWARDDATA!J4,'GRADING PACKING'!L$6=INWARDDATA!I4,AR4=0),"good","bad")</calculatedColumnFormula>
    </tableColumn>
    <tableColumn id="40" xr3:uid="{00000000-0010-0000-0000-000028000000}" name="PACKING DATE" dataDxfId="45"/>
    <tableColumn id="41" xr3:uid="{00000000-0010-0000-0000-000029000000}" name="Graded2" dataDxfId="44"/>
    <tableColumn id="42" xr3:uid="{00000000-0010-0000-0000-00002A000000}" name="Packed Quantity" dataDxfId="43"/>
    <tableColumn id="43" xr3:uid="{00000000-0010-0000-0000-00002B000000}" name="Remaining Quantity" dataDxfId="42"/>
    <tableColumn id="44" xr3:uid="{00000000-0010-0000-0000-00002C000000}" name="NO OF BAGS" dataDxfId="41"/>
    <tableColumn id="45" xr3:uid="{00000000-0010-0000-0000-00002D000000}" name="PACKING BAG SIZE" dataDxfId="40"/>
    <tableColumn id="46" xr3:uid="{00000000-0010-0000-0000-00002E000000}" name="Packing Quantity" dataDxfId="39"/>
    <tableColumn id="47" xr3:uid="{00000000-0010-0000-0000-00002F000000}" name="PACKING LOOSE" dataDxfId="38"/>
    <tableColumn id="48" xr3:uid="{00000000-0010-0000-0000-000030000000}" name="GHAMSI" dataDxfId="37"/>
    <tableColumn id="49" xr3:uid="{00000000-0010-0000-0000-000031000000}" name="Total packed" dataDxfId="36"/>
    <tableColumn id="50" xr3:uid="{00000000-0010-0000-0000-000032000000}" name="Difference3" dataDxfId="35"/>
    <tableColumn id="51" xr3:uid="{00000000-0010-0000-0000-000033000000}" name="MOISTURE4" dataDxfId="34"/>
    <tableColumn id="52" xr3:uid="{00000000-0010-0000-0000-000034000000}" name="GERMINATION5" dataDxfId="33"/>
    <tableColumn id="53" xr3:uid="{00000000-0010-0000-0000-000035000000}" name="LOT NO" dataDxfId="32"/>
    <tableColumn id="54" xr3:uid="{00000000-0010-0000-0000-000036000000}" name="REMARK / LOCATOIN" dataDxfId="31"/>
    <tableColumn id="56" xr3:uid="{00000000-0010-0000-0000-000038000000}" name="Remaining Grading" dataDxfId="30">
      <calculatedColumnFormula>Table_15[[#This Row],[Wgt-Bag]]-Table_15[[#This Row],[Total Graded]]-Table_15[[#This Row],[UNDERSIZE]]+0.0011</calculatedColumnFormula>
    </tableColumn>
    <tableColumn id="57" xr3:uid="{00000000-0010-0000-0000-000039000000}" name="Remaining packing" dataDxfId="29">
      <calculatedColumnFormula>Table_15[[#This Row],[Total Graded]]-Table_15[[#This Row],[Packing Quantity]]+Table_15[[#This Row],[PACKING LOOSE]]</calculatedColumnFormula>
    </tableColumn>
    <tableColumn id="58" xr3:uid="{00000000-0010-0000-0000-00003A000000}" name="BAGS COUNT" dataDxfId="28">
      <calculatedColumnFormula>IF(Table_15[[#This Row],[GRADED BAGS]]&gt;0,Table_15[[#This Row],[GRADED BAGS]],Table_15[[#This Row],[Bags]])</calculatedColumnFormula>
    </tableColumn>
  </tableColumns>
  <tableStyleInfo name="INWARDDAT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86"/>
  <sheetViews>
    <sheetView topLeftCell="A119" zoomScale="95" zoomScaleNormal="99" workbookViewId="0">
      <selection activeCell="B125" sqref="B125:J126"/>
    </sheetView>
  </sheetViews>
  <sheetFormatPr defaultRowHeight="14" x14ac:dyDescent="0.3"/>
  <cols>
    <col min="1" max="1" width="4.83203125" style="118" customWidth="1"/>
    <col min="2" max="2" width="6.25" style="118" customWidth="1"/>
    <col min="3" max="3" width="16.08203125" style="118" bestFit="1" customWidth="1"/>
    <col min="4" max="4" width="13.83203125" style="118" bestFit="1" customWidth="1"/>
    <col min="5" max="5" width="2.83203125" style="119" customWidth="1"/>
    <col min="6" max="6" width="12.08203125" style="118" bestFit="1" customWidth="1"/>
    <col min="7" max="7" width="3.08203125" style="119" customWidth="1"/>
    <col min="8" max="8" width="9.58203125" style="118" customWidth="1"/>
    <col min="9" max="9" width="16.33203125" style="118" customWidth="1"/>
    <col min="10" max="10" width="25.5" style="118" bestFit="1" customWidth="1"/>
    <col min="11" max="11" width="4.83203125" style="118" customWidth="1"/>
    <col min="12" max="12" width="7.58203125" style="118" customWidth="1"/>
    <col min="13" max="13" width="6.5" style="118" customWidth="1"/>
  </cols>
  <sheetData>
    <row r="1" spans="1:13" ht="25.5" customHeight="1" x14ac:dyDescent="0.3">
      <c r="A1"/>
      <c r="B1"/>
      <c r="C1" s="99"/>
      <c r="D1"/>
      <c r="E1" s="83"/>
      <c r="F1"/>
      <c r="G1"/>
      <c r="H1" s="117"/>
      <c r="I1" s="117"/>
      <c r="J1" s="117"/>
      <c r="K1"/>
      <c r="L1" s="99"/>
      <c r="M1"/>
    </row>
    <row r="2" spans="1:13" ht="18" x14ac:dyDescent="0.4">
      <c r="A2" s="187"/>
      <c r="B2" s="188"/>
      <c r="C2" s="188"/>
      <c r="D2" s="188"/>
      <c r="E2" s="188"/>
      <c r="F2" s="188"/>
      <c r="G2" s="188"/>
      <c r="H2" s="189">
        <f>SUBTOTAL(9,H4:H495)/100</f>
        <v>9379.2000000000007</v>
      </c>
      <c r="I2" s="188"/>
      <c r="J2" s="188"/>
      <c r="K2" s="188"/>
      <c r="L2" s="188"/>
      <c r="M2" s="114"/>
    </row>
    <row r="3" spans="1:13" s="113" customFormat="1" ht="37.5" customHeight="1" x14ac:dyDescent="0.25">
      <c r="A3" s="186" t="s">
        <v>95</v>
      </c>
      <c r="B3" s="186" t="s">
        <v>91</v>
      </c>
      <c r="C3" s="186" t="s">
        <v>2</v>
      </c>
      <c r="D3" s="186" t="s">
        <v>3</v>
      </c>
      <c r="E3" s="186" t="s">
        <v>4</v>
      </c>
      <c r="F3" s="186" t="s">
        <v>5</v>
      </c>
      <c r="G3" s="186" t="s">
        <v>6</v>
      </c>
      <c r="H3" s="186" t="s">
        <v>7</v>
      </c>
      <c r="I3" s="186" t="s">
        <v>8</v>
      </c>
      <c r="J3" s="186" t="s">
        <v>9</v>
      </c>
      <c r="K3" s="186" t="s">
        <v>92</v>
      </c>
      <c r="L3" s="186" t="s">
        <v>93</v>
      </c>
      <c r="M3" s="186" t="s">
        <v>94</v>
      </c>
    </row>
    <row r="4" spans="1:13" s="226" customFormat="1" ht="19.5" customHeight="1" x14ac:dyDescent="0.3">
      <c r="A4" s="230">
        <v>1</v>
      </c>
      <c r="B4" s="230">
        <v>1317</v>
      </c>
      <c r="C4" s="230" t="s">
        <v>124</v>
      </c>
      <c r="D4" s="230">
        <v>10135</v>
      </c>
      <c r="E4" s="231">
        <v>46106.480520833335</v>
      </c>
      <c r="F4" s="230">
        <v>4640</v>
      </c>
      <c r="G4" s="231">
        <v>46106.661493055559</v>
      </c>
      <c r="H4" s="230">
        <v>5495</v>
      </c>
      <c r="I4" s="230" t="s">
        <v>125</v>
      </c>
      <c r="J4" s="230" t="s">
        <v>126</v>
      </c>
      <c r="K4" s="230" t="s">
        <v>90</v>
      </c>
      <c r="L4" s="230" t="s">
        <v>115</v>
      </c>
      <c r="M4" s="230" t="s">
        <v>116</v>
      </c>
    </row>
    <row r="5" spans="1:13" s="226" customFormat="1" ht="19.5" customHeight="1" x14ac:dyDescent="0.3">
      <c r="A5" s="230">
        <v>2</v>
      </c>
      <c r="B5" s="230">
        <v>1318</v>
      </c>
      <c r="C5" s="230" t="s">
        <v>127</v>
      </c>
      <c r="D5" s="230">
        <v>10775</v>
      </c>
      <c r="E5" s="231">
        <v>46106.48164351852</v>
      </c>
      <c r="F5" s="230">
        <v>5000</v>
      </c>
      <c r="G5" s="231">
        <v>46106.505381944444</v>
      </c>
      <c r="H5" s="230">
        <v>5775</v>
      </c>
      <c r="I5" s="230" t="s">
        <v>125</v>
      </c>
      <c r="J5" s="230" t="s">
        <v>126</v>
      </c>
      <c r="K5" s="230" t="s">
        <v>90</v>
      </c>
      <c r="L5" s="230" t="s">
        <v>115</v>
      </c>
      <c r="M5" s="230" t="s">
        <v>117</v>
      </c>
    </row>
    <row r="6" spans="1:13" s="226" customFormat="1" ht="19.5" customHeight="1" x14ac:dyDescent="0.3">
      <c r="A6" s="230">
        <v>3</v>
      </c>
      <c r="B6" s="230">
        <v>1319</v>
      </c>
      <c r="C6" s="230" t="s">
        <v>128</v>
      </c>
      <c r="D6" s="230">
        <v>10170</v>
      </c>
      <c r="E6" s="231">
        <v>46106.482476851852</v>
      </c>
      <c r="F6" s="230">
        <v>4415</v>
      </c>
      <c r="G6" s="231">
        <v>46106.625694444447</v>
      </c>
      <c r="H6" s="230">
        <v>5755</v>
      </c>
      <c r="I6" s="230" t="s">
        <v>125</v>
      </c>
      <c r="J6" s="230" t="s">
        <v>126</v>
      </c>
      <c r="K6" s="230" t="s">
        <v>90</v>
      </c>
      <c r="L6" s="230" t="s">
        <v>115</v>
      </c>
      <c r="M6" s="230" t="s">
        <v>116</v>
      </c>
    </row>
    <row r="7" spans="1:13" s="226" customFormat="1" ht="19.5" customHeight="1" x14ac:dyDescent="0.3">
      <c r="A7" s="230">
        <v>4</v>
      </c>
      <c r="B7" s="230">
        <v>1320</v>
      </c>
      <c r="C7" s="230" t="s">
        <v>129</v>
      </c>
      <c r="D7" s="230">
        <v>9935</v>
      </c>
      <c r="E7" s="231">
        <v>46106.483738425923</v>
      </c>
      <c r="F7" s="230">
        <v>4175</v>
      </c>
      <c r="G7" s="231">
        <v>46106.553842592592</v>
      </c>
      <c r="H7" s="230">
        <v>5760</v>
      </c>
      <c r="I7" s="230" t="s">
        <v>125</v>
      </c>
      <c r="J7" s="230" t="s">
        <v>126</v>
      </c>
      <c r="K7" s="230" t="s">
        <v>90</v>
      </c>
      <c r="L7" s="230" t="s">
        <v>115</v>
      </c>
      <c r="M7" s="230" t="s">
        <v>117</v>
      </c>
    </row>
    <row r="8" spans="1:13" s="226" customFormat="1" ht="19.5" customHeight="1" x14ac:dyDescent="0.3">
      <c r="A8" s="230">
        <v>5</v>
      </c>
      <c r="B8" s="230">
        <v>1321</v>
      </c>
      <c r="C8" s="230" t="s">
        <v>130</v>
      </c>
      <c r="D8" s="230">
        <v>9165</v>
      </c>
      <c r="E8" s="231">
        <v>46106.498553240737</v>
      </c>
      <c r="F8" s="230">
        <v>3705</v>
      </c>
      <c r="G8" s="231">
        <v>46106.524710648147</v>
      </c>
      <c r="H8" s="230">
        <v>5460</v>
      </c>
      <c r="I8" s="230" t="s">
        <v>125</v>
      </c>
      <c r="J8" s="230" t="s">
        <v>126</v>
      </c>
      <c r="K8" s="230" t="s">
        <v>90</v>
      </c>
      <c r="L8" s="230" t="s">
        <v>115</v>
      </c>
      <c r="M8" s="230" t="s">
        <v>117</v>
      </c>
    </row>
    <row r="9" spans="1:13" s="226" customFormat="1" ht="19.5" customHeight="1" x14ac:dyDescent="0.3">
      <c r="A9" s="230">
        <v>6</v>
      </c>
      <c r="B9" s="230">
        <v>1322</v>
      </c>
      <c r="C9" s="230" t="s">
        <v>113</v>
      </c>
      <c r="D9" s="230">
        <v>9505</v>
      </c>
      <c r="E9" s="231">
        <v>46106.533379629633</v>
      </c>
      <c r="F9" s="230">
        <v>4190</v>
      </c>
      <c r="G9" s="231">
        <v>46106.690208333333</v>
      </c>
      <c r="H9" s="230">
        <v>5315</v>
      </c>
      <c r="I9" s="230" t="s">
        <v>125</v>
      </c>
      <c r="J9" s="230" t="s">
        <v>126</v>
      </c>
      <c r="K9" s="230" t="s">
        <v>90</v>
      </c>
      <c r="L9" s="230" t="s">
        <v>115</v>
      </c>
      <c r="M9" s="230" t="s">
        <v>116</v>
      </c>
    </row>
    <row r="10" spans="1:13" s="113" customFormat="1" ht="19.5" customHeight="1" x14ac:dyDescent="0.25">
      <c r="A10" s="230">
        <v>1</v>
      </c>
      <c r="B10" s="230">
        <v>1323</v>
      </c>
      <c r="C10" s="230" t="s">
        <v>135</v>
      </c>
      <c r="D10" s="230">
        <v>8100</v>
      </c>
      <c r="E10" s="231">
        <v>46107.423090277778</v>
      </c>
      <c r="F10" s="230">
        <v>3770</v>
      </c>
      <c r="G10" s="231">
        <v>46107.468912037039</v>
      </c>
      <c r="H10" s="230">
        <v>4330</v>
      </c>
      <c r="I10" s="230" t="s">
        <v>125</v>
      </c>
      <c r="J10" s="230" t="s">
        <v>126</v>
      </c>
      <c r="K10" s="230" t="s">
        <v>90</v>
      </c>
      <c r="L10" s="230" t="s">
        <v>115</v>
      </c>
      <c r="M10" s="230" t="s">
        <v>117</v>
      </c>
    </row>
    <row r="11" spans="1:13" s="113" customFormat="1" ht="19.5" customHeight="1" x14ac:dyDescent="0.25">
      <c r="A11" s="230">
        <v>2</v>
      </c>
      <c r="B11" s="230">
        <v>1324</v>
      </c>
      <c r="C11" s="230" t="s">
        <v>124</v>
      </c>
      <c r="D11" s="230">
        <v>9025</v>
      </c>
      <c r="E11" s="231">
        <v>46107.430671296293</v>
      </c>
      <c r="F11" s="230">
        <v>4590</v>
      </c>
      <c r="G11" s="231">
        <v>46107.509699074071</v>
      </c>
      <c r="H11" s="230">
        <v>4435</v>
      </c>
      <c r="I11" s="230" t="s">
        <v>125</v>
      </c>
      <c r="J11" s="230" t="s">
        <v>126</v>
      </c>
      <c r="K11" s="230" t="s">
        <v>90</v>
      </c>
      <c r="L11" s="230" t="s">
        <v>115</v>
      </c>
      <c r="M11" s="230" t="s">
        <v>117</v>
      </c>
    </row>
    <row r="12" spans="1:13" s="113" customFormat="1" ht="19.5" customHeight="1" x14ac:dyDescent="0.25">
      <c r="A12" s="230">
        <v>3</v>
      </c>
      <c r="B12" s="230">
        <v>1325</v>
      </c>
      <c r="C12" s="230" t="s">
        <v>136</v>
      </c>
      <c r="D12" s="230">
        <v>8730</v>
      </c>
      <c r="E12" s="231">
        <v>46107.431620370371</v>
      </c>
      <c r="F12" s="230">
        <v>4175</v>
      </c>
      <c r="G12" s="231">
        <v>46107.484305555554</v>
      </c>
      <c r="H12" s="230">
        <v>4555</v>
      </c>
      <c r="I12" s="230" t="s">
        <v>125</v>
      </c>
      <c r="J12" s="230" t="s">
        <v>126</v>
      </c>
      <c r="K12" s="230" t="s">
        <v>90</v>
      </c>
      <c r="L12" s="230" t="s">
        <v>115</v>
      </c>
      <c r="M12" s="230" t="s">
        <v>117</v>
      </c>
    </row>
    <row r="13" spans="1:13" s="113" customFormat="1" ht="19.5" customHeight="1" x14ac:dyDescent="0.25">
      <c r="A13" s="230">
        <v>4</v>
      </c>
      <c r="B13" s="230">
        <v>1326</v>
      </c>
      <c r="C13" s="230" t="s">
        <v>137</v>
      </c>
      <c r="D13" s="230">
        <v>18900</v>
      </c>
      <c r="E13" s="231">
        <v>46107.435636574075</v>
      </c>
      <c r="F13" s="230">
        <v>5290</v>
      </c>
      <c r="G13" s="231">
        <v>46107.679340277777</v>
      </c>
      <c r="H13" s="230">
        <v>13610</v>
      </c>
      <c r="I13" s="230" t="s">
        <v>125</v>
      </c>
      <c r="J13" s="230" t="s">
        <v>138</v>
      </c>
      <c r="K13" s="230" t="s">
        <v>90</v>
      </c>
      <c r="L13" s="230" t="s">
        <v>115</v>
      </c>
      <c r="M13" s="230" t="s">
        <v>116</v>
      </c>
    </row>
    <row r="14" spans="1:13" s="113" customFormat="1" ht="19.5" customHeight="1" x14ac:dyDescent="0.25">
      <c r="A14" s="230">
        <v>5</v>
      </c>
      <c r="B14" s="230">
        <v>1327</v>
      </c>
      <c r="C14" s="230" t="s">
        <v>139</v>
      </c>
      <c r="D14" s="230">
        <v>9790</v>
      </c>
      <c r="E14" s="231">
        <v>46107.52412037037</v>
      </c>
      <c r="F14" s="230">
        <v>4420</v>
      </c>
      <c r="G14" s="231">
        <v>46107.739861111113</v>
      </c>
      <c r="H14" s="230">
        <v>5370</v>
      </c>
      <c r="I14" s="230" t="s">
        <v>125</v>
      </c>
      <c r="J14" s="230" t="s">
        <v>138</v>
      </c>
      <c r="K14" s="230" t="s">
        <v>90</v>
      </c>
      <c r="L14" s="230" t="s">
        <v>115</v>
      </c>
      <c r="M14" s="230" t="s">
        <v>116</v>
      </c>
    </row>
    <row r="15" spans="1:13" s="113" customFormat="1" ht="19.5" customHeight="1" x14ac:dyDescent="0.25">
      <c r="A15" s="230">
        <v>6</v>
      </c>
      <c r="B15" s="230">
        <v>1328</v>
      </c>
      <c r="C15" s="230" t="s">
        <v>140</v>
      </c>
      <c r="D15" s="230">
        <v>10810</v>
      </c>
      <c r="E15" s="231">
        <v>46107.72792824074</v>
      </c>
      <c r="F15" s="230">
        <v>5020</v>
      </c>
      <c r="G15" s="231">
        <v>46107.77416666667</v>
      </c>
      <c r="H15" s="230">
        <v>5790</v>
      </c>
      <c r="I15" s="230" t="s">
        <v>125</v>
      </c>
      <c r="J15" s="230" t="s">
        <v>138</v>
      </c>
      <c r="K15" s="230" t="s">
        <v>90</v>
      </c>
      <c r="L15" s="230" t="s">
        <v>115</v>
      </c>
      <c r="M15" s="230" t="s">
        <v>116</v>
      </c>
    </row>
    <row r="16" spans="1:13" s="113" customFormat="1" ht="19.5" customHeight="1" x14ac:dyDescent="0.25">
      <c r="A16" s="230">
        <v>7</v>
      </c>
      <c r="B16" s="230">
        <v>1329</v>
      </c>
      <c r="C16" s="230" t="s">
        <v>141</v>
      </c>
      <c r="D16" s="230">
        <v>9345</v>
      </c>
      <c r="E16" s="231">
        <v>46107.741863425923</v>
      </c>
      <c r="F16" s="230">
        <v>4215</v>
      </c>
      <c r="G16" s="231">
        <v>46107.801608796297</v>
      </c>
      <c r="H16" s="230">
        <v>5130</v>
      </c>
      <c r="I16" s="230" t="s">
        <v>125</v>
      </c>
      <c r="J16" s="230" t="s">
        <v>138</v>
      </c>
      <c r="K16" s="230" t="s">
        <v>90</v>
      </c>
      <c r="L16" s="230" t="s">
        <v>115</v>
      </c>
      <c r="M16" s="230" t="s">
        <v>116</v>
      </c>
    </row>
    <row r="17" spans="1:13" s="113" customFormat="1" ht="19.5" customHeight="1" x14ac:dyDescent="0.25">
      <c r="A17" s="230">
        <v>1</v>
      </c>
      <c r="B17" s="230">
        <v>1330</v>
      </c>
      <c r="C17" s="230" t="s">
        <v>142</v>
      </c>
      <c r="D17" s="230">
        <v>5330</v>
      </c>
      <c r="E17" s="231">
        <v>46108.423634259256</v>
      </c>
      <c r="F17" s="230">
        <v>2415</v>
      </c>
      <c r="G17" s="231">
        <v>46108.431516203702</v>
      </c>
      <c r="H17" s="230">
        <v>2915</v>
      </c>
      <c r="I17" s="230" t="s">
        <v>143</v>
      </c>
      <c r="J17" s="230" t="s">
        <v>144</v>
      </c>
      <c r="K17" s="230" t="s">
        <v>90</v>
      </c>
      <c r="L17" s="230" t="s">
        <v>115</v>
      </c>
      <c r="M17" s="230" t="s">
        <v>117</v>
      </c>
    </row>
    <row r="18" spans="1:13" s="113" customFormat="1" ht="19.5" customHeight="1" x14ac:dyDescent="0.25">
      <c r="A18" s="230">
        <v>2</v>
      </c>
      <c r="B18" s="230">
        <v>1331</v>
      </c>
      <c r="C18" s="230" t="s">
        <v>145</v>
      </c>
      <c r="D18" s="230">
        <v>8715</v>
      </c>
      <c r="E18" s="231">
        <v>46108.424768518518</v>
      </c>
      <c r="F18" s="230">
        <v>4085</v>
      </c>
      <c r="G18" s="231">
        <v>46108.442812499998</v>
      </c>
      <c r="H18" s="230">
        <v>4630</v>
      </c>
      <c r="I18" s="230" t="s">
        <v>146</v>
      </c>
      <c r="J18" s="230" t="s">
        <v>144</v>
      </c>
      <c r="K18" s="230" t="s">
        <v>90</v>
      </c>
      <c r="L18" s="230" t="s">
        <v>115</v>
      </c>
      <c r="M18" s="230" t="s">
        <v>117</v>
      </c>
    </row>
    <row r="19" spans="1:13" s="113" customFormat="1" ht="19.5" customHeight="1" x14ac:dyDescent="0.25">
      <c r="A19" s="230">
        <v>3</v>
      </c>
      <c r="B19" s="230">
        <v>1332</v>
      </c>
      <c r="C19" s="230" t="s">
        <v>147</v>
      </c>
      <c r="D19" s="230">
        <v>8285</v>
      </c>
      <c r="E19" s="231">
        <v>46108.440300925926</v>
      </c>
      <c r="F19" s="230">
        <v>4010</v>
      </c>
      <c r="G19" s="231">
        <v>46108.47556712963</v>
      </c>
      <c r="H19" s="230">
        <v>4275</v>
      </c>
      <c r="I19" s="230" t="s">
        <v>125</v>
      </c>
      <c r="J19" s="230" t="s">
        <v>148</v>
      </c>
      <c r="K19" s="230" t="s">
        <v>90</v>
      </c>
      <c r="L19" s="230" t="s">
        <v>115</v>
      </c>
      <c r="M19" s="230" t="s">
        <v>117</v>
      </c>
    </row>
    <row r="20" spans="1:13" s="113" customFormat="1" ht="19.5" customHeight="1" x14ac:dyDescent="0.25">
      <c r="A20" s="230">
        <v>4</v>
      </c>
      <c r="B20" s="230">
        <v>1333</v>
      </c>
      <c r="C20" s="230" t="s">
        <v>149</v>
      </c>
      <c r="D20" s="230">
        <v>8325</v>
      </c>
      <c r="E20" s="231">
        <v>46108.441412037035</v>
      </c>
      <c r="F20" s="230">
        <v>3800</v>
      </c>
      <c r="G20" s="231">
        <v>46108.500138888892</v>
      </c>
      <c r="H20" s="230">
        <v>4525</v>
      </c>
      <c r="I20" s="230" t="s">
        <v>125</v>
      </c>
      <c r="J20" s="230" t="s">
        <v>148</v>
      </c>
      <c r="K20" s="230" t="s">
        <v>90</v>
      </c>
      <c r="L20" s="230" t="s">
        <v>115</v>
      </c>
      <c r="M20" s="230" t="s">
        <v>117</v>
      </c>
    </row>
    <row r="21" spans="1:13" s="113" customFormat="1" ht="19.5" customHeight="1" x14ac:dyDescent="0.25">
      <c r="A21" s="230">
        <v>5</v>
      </c>
      <c r="B21" s="230">
        <v>1334</v>
      </c>
      <c r="C21" s="230" t="s">
        <v>150</v>
      </c>
      <c r="D21" s="230">
        <v>8105</v>
      </c>
      <c r="E21" s="231">
        <v>46108.449247685188</v>
      </c>
      <c r="F21" s="230">
        <v>4180</v>
      </c>
      <c r="G21" s="231">
        <v>46108.533692129633</v>
      </c>
      <c r="H21" s="230">
        <v>3925</v>
      </c>
      <c r="I21" s="230" t="s">
        <v>125</v>
      </c>
      <c r="J21" s="230" t="s">
        <v>148</v>
      </c>
      <c r="K21" s="230" t="s">
        <v>90</v>
      </c>
      <c r="L21" s="230" t="s">
        <v>115</v>
      </c>
      <c r="M21" s="230" t="s">
        <v>117</v>
      </c>
    </row>
    <row r="22" spans="1:13" s="113" customFormat="1" x14ac:dyDescent="0.25">
      <c r="A22" s="230">
        <v>6</v>
      </c>
      <c r="B22" s="230">
        <v>1335</v>
      </c>
      <c r="C22" s="230" t="s">
        <v>151</v>
      </c>
      <c r="D22" s="230">
        <v>9405</v>
      </c>
      <c r="E22" s="231">
        <v>46108.608749999999</v>
      </c>
      <c r="F22" s="230">
        <v>4145</v>
      </c>
      <c r="G22" s="231">
        <v>46108.674131944441</v>
      </c>
      <c r="H22" s="230">
        <v>5260</v>
      </c>
      <c r="I22" s="230" t="s">
        <v>125</v>
      </c>
      <c r="J22" s="230" t="s">
        <v>138</v>
      </c>
      <c r="K22" s="230" t="s">
        <v>90</v>
      </c>
      <c r="L22" s="230" t="s">
        <v>115</v>
      </c>
      <c r="M22" s="230" t="s">
        <v>116</v>
      </c>
    </row>
    <row r="23" spans="1:13" s="113" customFormat="1" x14ac:dyDescent="0.25">
      <c r="A23" s="230">
        <v>7</v>
      </c>
      <c r="B23" s="230">
        <v>1336</v>
      </c>
      <c r="C23" s="230" t="s">
        <v>152</v>
      </c>
      <c r="D23" s="230">
        <v>9635</v>
      </c>
      <c r="E23" s="231">
        <v>46108.609872685185</v>
      </c>
      <c r="F23" s="230">
        <v>4175</v>
      </c>
      <c r="G23" s="231">
        <v>46108.707465277781</v>
      </c>
      <c r="H23" s="230">
        <v>5460</v>
      </c>
      <c r="I23" s="230" t="s">
        <v>125</v>
      </c>
      <c r="J23" s="230" t="s">
        <v>138</v>
      </c>
      <c r="K23" s="230" t="s">
        <v>90</v>
      </c>
      <c r="L23" s="230" t="s">
        <v>115</v>
      </c>
      <c r="M23" s="230" t="s">
        <v>116</v>
      </c>
    </row>
    <row r="24" spans="1:13" s="113" customFormat="1" x14ac:dyDescent="0.25">
      <c r="A24" s="230">
        <v>1</v>
      </c>
      <c r="B24" s="230">
        <v>1337</v>
      </c>
      <c r="C24" s="230" t="s">
        <v>151</v>
      </c>
      <c r="D24" s="230">
        <v>9410</v>
      </c>
      <c r="E24" s="231">
        <v>46109.437280092592</v>
      </c>
      <c r="F24" s="230">
        <v>4200</v>
      </c>
      <c r="G24" s="231">
        <v>46109.5237037037</v>
      </c>
      <c r="H24" s="230">
        <v>5210</v>
      </c>
      <c r="I24" s="230" t="s">
        <v>125</v>
      </c>
      <c r="J24" s="230" t="s">
        <v>138</v>
      </c>
      <c r="K24" s="230" t="s">
        <v>90</v>
      </c>
      <c r="L24" s="230" t="s">
        <v>115</v>
      </c>
      <c r="M24" s="230" t="s">
        <v>117</v>
      </c>
    </row>
    <row r="25" spans="1:13" s="113" customFormat="1" x14ac:dyDescent="0.25">
      <c r="A25" s="230">
        <v>2</v>
      </c>
      <c r="B25" s="230">
        <v>1338</v>
      </c>
      <c r="C25" s="230" t="s">
        <v>152</v>
      </c>
      <c r="D25" s="230">
        <v>9665</v>
      </c>
      <c r="E25" s="231">
        <v>46109.455891203703</v>
      </c>
      <c r="F25" s="230">
        <v>4175</v>
      </c>
      <c r="G25" s="231">
        <v>46109.5471875</v>
      </c>
      <c r="H25" s="230">
        <v>5490</v>
      </c>
      <c r="I25" s="230" t="s">
        <v>125</v>
      </c>
      <c r="J25" s="230" t="s">
        <v>138</v>
      </c>
      <c r="K25" s="230" t="s">
        <v>90</v>
      </c>
      <c r="L25" s="230" t="s">
        <v>115</v>
      </c>
      <c r="M25" s="230" t="s">
        <v>117</v>
      </c>
    </row>
    <row r="26" spans="1:13" s="113" customFormat="1" ht="28" x14ac:dyDescent="0.25">
      <c r="A26" s="230">
        <v>1</v>
      </c>
      <c r="B26" s="230">
        <v>1339</v>
      </c>
      <c r="C26" s="230" t="s">
        <v>154</v>
      </c>
      <c r="D26" s="230">
        <v>14955</v>
      </c>
      <c r="E26" s="231">
        <v>46111.414803240739</v>
      </c>
      <c r="F26" s="230">
        <v>3755</v>
      </c>
      <c r="G26" s="231">
        <v>46111.581886574073</v>
      </c>
      <c r="H26" s="230">
        <v>11200</v>
      </c>
      <c r="I26" s="230" t="s">
        <v>155</v>
      </c>
      <c r="J26" s="230" t="s">
        <v>156</v>
      </c>
      <c r="K26" s="230" t="s">
        <v>90</v>
      </c>
      <c r="L26" s="230" t="s">
        <v>115</v>
      </c>
      <c r="M26" s="230" t="s">
        <v>117</v>
      </c>
    </row>
    <row r="27" spans="1:13" s="113" customFormat="1" ht="28" x14ac:dyDescent="0.25">
      <c r="A27" s="230">
        <v>2</v>
      </c>
      <c r="B27" s="230">
        <v>1340</v>
      </c>
      <c r="C27" s="230" t="s">
        <v>157</v>
      </c>
      <c r="D27" s="230">
        <v>10725</v>
      </c>
      <c r="E27" s="231">
        <v>46111.415821759256</v>
      </c>
      <c r="F27" s="230">
        <v>3260</v>
      </c>
      <c r="G27" s="231">
        <v>46111.532650462963</v>
      </c>
      <c r="H27" s="230">
        <v>7465</v>
      </c>
      <c r="I27" s="230" t="s">
        <v>155</v>
      </c>
      <c r="J27" s="230" t="s">
        <v>156</v>
      </c>
      <c r="K27" s="230" t="s">
        <v>90</v>
      </c>
      <c r="L27" s="230" t="s">
        <v>115</v>
      </c>
      <c r="M27" s="230" t="s">
        <v>117</v>
      </c>
    </row>
    <row r="28" spans="1:13" s="113" customFormat="1" ht="28" x14ac:dyDescent="0.25">
      <c r="A28" s="230">
        <v>3</v>
      </c>
      <c r="B28" s="230">
        <v>1341</v>
      </c>
      <c r="C28" s="230" t="s">
        <v>158</v>
      </c>
      <c r="D28" s="230">
        <v>9205</v>
      </c>
      <c r="E28" s="231">
        <v>46111.416759259257</v>
      </c>
      <c r="F28" s="230">
        <v>3675</v>
      </c>
      <c r="G28" s="231">
        <v>46111.460706018515</v>
      </c>
      <c r="H28" s="230">
        <v>5530</v>
      </c>
      <c r="I28" s="230" t="s">
        <v>155</v>
      </c>
      <c r="J28" s="230" t="s">
        <v>159</v>
      </c>
      <c r="K28" s="230" t="s">
        <v>90</v>
      </c>
      <c r="L28" s="230" t="s">
        <v>115</v>
      </c>
      <c r="M28" s="230" t="s">
        <v>117</v>
      </c>
    </row>
    <row r="29" spans="1:13" s="113" customFormat="1" ht="28" x14ac:dyDescent="0.25">
      <c r="A29" s="230">
        <v>4</v>
      </c>
      <c r="B29" s="230">
        <v>1342</v>
      </c>
      <c r="C29" s="230" t="s">
        <v>160</v>
      </c>
      <c r="D29" s="230">
        <v>10875</v>
      </c>
      <c r="E29" s="231">
        <v>46111.417812500003</v>
      </c>
      <c r="F29" s="230">
        <v>4350</v>
      </c>
      <c r="G29" s="231">
        <v>46111.553622685184</v>
      </c>
      <c r="H29" s="230">
        <v>6525</v>
      </c>
      <c r="I29" s="230" t="s">
        <v>155</v>
      </c>
      <c r="J29" s="230" t="s">
        <v>156</v>
      </c>
      <c r="K29" s="230" t="s">
        <v>90</v>
      </c>
      <c r="L29" s="230" t="s">
        <v>115</v>
      </c>
      <c r="M29" s="230" t="s">
        <v>117</v>
      </c>
    </row>
    <row r="30" spans="1:13" s="113" customFormat="1" ht="28" x14ac:dyDescent="0.25">
      <c r="A30" s="230">
        <v>5</v>
      </c>
      <c r="B30" s="230">
        <v>1343</v>
      </c>
      <c r="C30" s="230" t="s">
        <v>161</v>
      </c>
      <c r="D30" s="230">
        <v>10015</v>
      </c>
      <c r="E30" s="231">
        <v>46111.419120370374</v>
      </c>
      <c r="F30" s="230">
        <v>4135</v>
      </c>
      <c r="G30" s="231">
        <v>46111.49423611111</v>
      </c>
      <c r="H30" s="230">
        <v>5880</v>
      </c>
      <c r="I30" s="230" t="s">
        <v>155</v>
      </c>
      <c r="J30" s="230" t="s">
        <v>159</v>
      </c>
      <c r="K30" s="230" t="s">
        <v>90</v>
      </c>
      <c r="L30" s="230" t="s">
        <v>115</v>
      </c>
      <c r="M30" s="230" t="s">
        <v>117</v>
      </c>
    </row>
    <row r="31" spans="1:13" s="113" customFormat="1" ht="28" x14ac:dyDescent="0.25">
      <c r="A31" s="230">
        <v>6</v>
      </c>
      <c r="B31" s="230">
        <v>1344</v>
      </c>
      <c r="C31" s="230" t="s">
        <v>162</v>
      </c>
      <c r="D31" s="230">
        <v>10000</v>
      </c>
      <c r="E31" s="231">
        <v>46111.420358796298</v>
      </c>
      <c r="F31" s="230">
        <v>4060</v>
      </c>
      <c r="G31" s="231">
        <v>46111.495486111111</v>
      </c>
      <c r="H31" s="230">
        <v>5940</v>
      </c>
      <c r="I31" s="230" t="s">
        <v>155</v>
      </c>
      <c r="J31" s="230" t="s">
        <v>159</v>
      </c>
      <c r="K31" s="230" t="s">
        <v>90</v>
      </c>
      <c r="L31" s="230" t="s">
        <v>115</v>
      </c>
      <c r="M31" s="230" t="s">
        <v>117</v>
      </c>
    </row>
    <row r="32" spans="1:13" s="113" customFormat="1" ht="28" x14ac:dyDescent="0.25">
      <c r="A32" s="230">
        <v>7</v>
      </c>
      <c r="B32" s="230">
        <v>1345</v>
      </c>
      <c r="C32" s="230" t="s">
        <v>163</v>
      </c>
      <c r="D32" s="230">
        <v>8940</v>
      </c>
      <c r="E32" s="231">
        <v>46111.421689814815</v>
      </c>
      <c r="F32" s="230">
        <v>3870</v>
      </c>
      <c r="G32" s="231">
        <v>46111.511550925927</v>
      </c>
      <c r="H32" s="230">
        <v>5070</v>
      </c>
      <c r="I32" s="230" t="s">
        <v>155</v>
      </c>
      <c r="J32" s="230" t="s">
        <v>159</v>
      </c>
      <c r="K32" s="230" t="s">
        <v>90</v>
      </c>
      <c r="L32" s="230" t="s">
        <v>115</v>
      </c>
      <c r="M32" s="230" t="s">
        <v>117</v>
      </c>
    </row>
    <row r="33" spans="1:13" s="113" customFormat="1" ht="28" x14ac:dyDescent="0.25">
      <c r="A33" s="230">
        <v>8</v>
      </c>
      <c r="B33" s="230">
        <v>1346</v>
      </c>
      <c r="C33" s="230" t="s">
        <v>164</v>
      </c>
      <c r="D33" s="230">
        <v>10285</v>
      </c>
      <c r="E33" s="231">
        <v>46111.422939814816</v>
      </c>
      <c r="F33" s="230">
        <v>4055</v>
      </c>
      <c r="G33" s="231">
        <v>46111.635960648149</v>
      </c>
      <c r="H33" s="230">
        <v>6230</v>
      </c>
      <c r="I33" s="230" t="s">
        <v>155</v>
      </c>
      <c r="J33" s="230" t="s">
        <v>156</v>
      </c>
      <c r="K33" s="230" t="s">
        <v>90</v>
      </c>
      <c r="L33" s="230" t="s">
        <v>115</v>
      </c>
      <c r="M33" s="230" t="s">
        <v>116</v>
      </c>
    </row>
    <row r="34" spans="1:13" ht="28" x14ac:dyDescent="0.3">
      <c r="A34" s="230">
        <v>9</v>
      </c>
      <c r="B34" s="230">
        <v>1347</v>
      </c>
      <c r="C34" s="230" t="s">
        <v>165</v>
      </c>
      <c r="D34" s="230">
        <v>9275</v>
      </c>
      <c r="E34" s="231">
        <v>46111.424085648148</v>
      </c>
      <c r="F34" s="230">
        <v>3715</v>
      </c>
      <c r="G34" s="231">
        <v>46111.657048611109</v>
      </c>
      <c r="H34" s="230">
        <v>5560</v>
      </c>
      <c r="I34" s="230" t="s">
        <v>155</v>
      </c>
      <c r="J34" s="230" t="s">
        <v>156</v>
      </c>
      <c r="K34" s="230" t="s">
        <v>90</v>
      </c>
      <c r="L34" s="230" t="s">
        <v>115</v>
      </c>
      <c r="M34" s="230" t="s">
        <v>116</v>
      </c>
    </row>
    <row r="35" spans="1:13" ht="28" x14ac:dyDescent="0.3">
      <c r="A35" s="230">
        <v>10</v>
      </c>
      <c r="B35" s="230">
        <v>1348</v>
      </c>
      <c r="C35" s="230" t="s">
        <v>166</v>
      </c>
      <c r="D35" s="230">
        <v>10215</v>
      </c>
      <c r="E35" s="231">
        <v>46111.425335648149</v>
      </c>
      <c r="F35" s="230">
        <v>4030</v>
      </c>
      <c r="G35" s="231">
        <v>46111.678148148145</v>
      </c>
      <c r="H35" s="230">
        <v>6185</v>
      </c>
      <c r="I35" s="230" t="s">
        <v>155</v>
      </c>
      <c r="J35" s="230" t="s">
        <v>156</v>
      </c>
      <c r="K35" s="230" t="s">
        <v>90</v>
      </c>
      <c r="L35" s="230" t="s">
        <v>115</v>
      </c>
      <c r="M35" s="230" t="s">
        <v>116</v>
      </c>
    </row>
    <row r="36" spans="1:13" ht="28" x14ac:dyDescent="0.3">
      <c r="A36" s="230">
        <v>11</v>
      </c>
      <c r="B36" s="230">
        <v>1349</v>
      </c>
      <c r="C36" s="230" t="s">
        <v>167</v>
      </c>
      <c r="D36" s="230">
        <v>10485</v>
      </c>
      <c r="E36" s="231">
        <v>46111.426423611112</v>
      </c>
      <c r="F36" s="230">
        <v>4130</v>
      </c>
      <c r="G36" s="231">
        <v>46111.713171296295</v>
      </c>
      <c r="H36" s="230">
        <v>6355</v>
      </c>
      <c r="I36" s="230" t="s">
        <v>155</v>
      </c>
      <c r="J36" s="230" t="s">
        <v>156</v>
      </c>
      <c r="K36" s="230" t="s">
        <v>90</v>
      </c>
      <c r="L36" s="230" t="s">
        <v>115</v>
      </c>
      <c r="M36" s="230" t="s">
        <v>116</v>
      </c>
    </row>
    <row r="37" spans="1:13" ht="28" x14ac:dyDescent="0.3">
      <c r="A37" s="230">
        <v>12</v>
      </c>
      <c r="B37" s="230">
        <v>1350</v>
      </c>
      <c r="C37" s="230" t="s">
        <v>168</v>
      </c>
      <c r="D37" s="230">
        <v>10340</v>
      </c>
      <c r="E37" s="231">
        <v>46111.427384259259</v>
      </c>
      <c r="F37" s="230">
        <v>4165</v>
      </c>
      <c r="G37" s="231">
        <v>46111.69734953704</v>
      </c>
      <c r="H37" s="230">
        <v>6175</v>
      </c>
      <c r="I37" s="230" t="s">
        <v>155</v>
      </c>
      <c r="J37" s="230" t="s">
        <v>156</v>
      </c>
      <c r="K37" s="230" t="s">
        <v>90</v>
      </c>
      <c r="L37" s="230" t="s">
        <v>115</v>
      </c>
      <c r="M37" s="230" t="s">
        <v>116</v>
      </c>
    </row>
    <row r="38" spans="1:13" ht="28" x14ac:dyDescent="0.3">
      <c r="A38" s="230">
        <v>13</v>
      </c>
      <c r="B38" s="230">
        <v>1351</v>
      </c>
      <c r="C38" s="230" t="s">
        <v>169</v>
      </c>
      <c r="D38" s="230">
        <v>8735</v>
      </c>
      <c r="E38" s="231">
        <v>46111.428356481483</v>
      </c>
      <c r="F38" s="230">
        <v>3920</v>
      </c>
      <c r="G38" s="231">
        <v>46111.745219907411</v>
      </c>
      <c r="H38" s="230">
        <v>4815</v>
      </c>
      <c r="I38" s="230" t="s">
        <v>155</v>
      </c>
      <c r="J38" s="230" t="s">
        <v>156</v>
      </c>
      <c r="K38" s="230" t="s">
        <v>90</v>
      </c>
      <c r="L38" s="230" t="s">
        <v>115</v>
      </c>
      <c r="M38" s="230" t="s">
        <v>116</v>
      </c>
    </row>
    <row r="39" spans="1:13" ht="28" x14ac:dyDescent="0.3">
      <c r="A39" s="230">
        <v>14</v>
      </c>
      <c r="B39" s="230">
        <v>1352</v>
      </c>
      <c r="C39" s="230" t="s">
        <v>157</v>
      </c>
      <c r="D39" s="230">
        <v>11445</v>
      </c>
      <c r="E39" s="231">
        <v>46111.670208333337</v>
      </c>
      <c r="F39" s="230">
        <v>3265</v>
      </c>
      <c r="G39" s="231">
        <v>46111.733680555553</v>
      </c>
      <c r="H39" s="230">
        <v>8180</v>
      </c>
      <c r="I39" s="230" t="s">
        <v>155</v>
      </c>
      <c r="J39" s="230" t="s">
        <v>156</v>
      </c>
      <c r="K39" s="230" t="s">
        <v>90</v>
      </c>
      <c r="L39" s="230" t="s">
        <v>115</v>
      </c>
      <c r="M39" s="230" t="s">
        <v>116</v>
      </c>
    </row>
    <row r="40" spans="1:13" ht="35" x14ac:dyDescent="0.3">
      <c r="A40" s="165">
        <v>2</v>
      </c>
      <c r="B40" s="165">
        <v>1354</v>
      </c>
      <c r="C40" s="165" t="s">
        <v>171</v>
      </c>
      <c r="D40" s="165">
        <v>7410</v>
      </c>
      <c r="E40" s="166">
        <v>46112.514675925922</v>
      </c>
      <c r="F40" s="165">
        <v>3900</v>
      </c>
      <c r="G40" s="166">
        <v>46112.647037037037</v>
      </c>
      <c r="H40" s="165">
        <v>3510</v>
      </c>
      <c r="I40" s="165" t="s">
        <v>172</v>
      </c>
      <c r="J40" s="165" t="s">
        <v>173</v>
      </c>
      <c r="K40" s="165" t="s">
        <v>90</v>
      </c>
      <c r="L40" s="165" t="s">
        <v>115</v>
      </c>
      <c r="M40" s="165" t="s">
        <v>116</v>
      </c>
    </row>
    <row r="41" spans="1:13" ht="35" x14ac:dyDescent="0.3">
      <c r="A41" s="165">
        <v>3</v>
      </c>
      <c r="B41" s="165">
        <v>1355</v>
      </c>
      <c r="C41" s="165" t="s">
        <v>174</v>
      </c>
      <c r="D41" s="165">
        <v>8390</v>
      </c>
      <c r="E41" s="166">
        <v>46112.515763888892</v>
      </c>
      <c r="F41" s="165">
        <v>3895</v>
      </c>
      <c r="G41" s="166">
        <v>46112.647881944446</v>
      </c>
      <c r="H41" s="165">
        <v>4495</v>
      </c>
      <c r="I41" s="165" t="s">
        <v>172</v>
      </c>
      <c r="J41" s="165" t="s">
        <v>173</v>
      </c>
      <c r="K41" s="165" t="s">
        <v>90</v>
      </c>
      <c r="L41" s="165" t="s">
        <v>115</v>
      </c>
      <c r="M41" s="165" t="s">
        <v>116</v>
      </c>
    </row>
    <row r="42" spans="1:13" ht="35" x14ac:dyDescent="0.3">
      <c r="A42" s="165">
        <v>1</v>
      </c>
      <c r="B42" s="165">
        <v>1357</v>
      </c>
      <c r="C42" s="165" t="s">
        <v>175</v>
      </c>
      <c r="D42" s="165">
        <v>8320</v>
      </c>
      <c r="E42" s="166">
        <v>46113.486851851849</v>
      </c>
      <c r="F42" s="165">
        <v>3780</v>
      </c>
      <c r="G42" s="166">
        <v>46113.526504629626</v>
      </c>
      <c r="H42" s="165">
        <v>4540</v>
      </c>
      <c r="I42" s="165" t="s">
        <v>176</v>
      </c>
      <c r="J42" s="165" t="s">
        <v>177</v>
      </c>
      <c r="K42" s="165" t="s">
        <v>90</v>
      </c>
      <c r="L42" s="165" t="s">
        <v>115</v>
      </c>
      <c r="M42" s="165" t="s">
        <v>117</v>
      </c>
    </row>
    <row r="43" spans="1:13" ht="17.5" x14ac:dyDescent="0.3">
      <c r="A43" s="165">
        <v>2</v>
      </c>
      <c r="B43" s="165">
        <v>1358</v>
      </c>
      <c r="C43" s="165" t="s">
        <v>178</v>
      </c>
      <c r="D43" s="165">
        <v>15750</v>
      </c>
      <c r="E43" s="166">
        <v>46113.727650462963</v>
      </c>
      <c r="F43" s="165">
        <v>4670</v>
      </c>
      <c r="G43" s="166">
        <v>46113.778402777774</v>
      </c>
      <c r="H43" s="165">
        <v>11080</v>
      </c>
      <c r="I43" s="165" t="s">
        <v>143</v>
      </c>
      <c r="J43" s="165" t="s">
        <v>179</v>
      </c>
      <c r="K43" s="165" t="s">
        <v>90</v>
      </c>
      <c r="L43" s="165" t="s">
        <v>115</v>
      </c>
      <c r="M43" s="165" t="s">
        <v>116</v>
      </c>
    </row>
    <row r="44" spans="1:13" ht="35" x14ac:dyDescent="0.3">
      <c r="A44" s="165">
        <v>1</v>
      </c>
      <c r="B44" s="165">
        <v>1359</v>
      </c>
      <c r="C44" s="165" t="s">
        <v>175</v>
      </c>
      <c r="D44" s="165">
        <v>7040</v>
      </c>
      <c r="E44" s="166">
        <v>46114.488136574073</v>
      </c>
      <c r="F44" s="165">
        <v>3785</v>
      </c>
      <c r="G44" s="166">
        <v>46114.522187499999</v>
      </c>
      <c r="H44" s="165">
        <v>3255</v>
      </c>
      <c r="I44" s="165" t="s">
        <v>176</v>
      </c>
      <c r="J44" s="165" t="s">
        <v>177</v>
      </c>
      <c r="K44" s="165" t="s">
        <v>90</v>
      </c>
      <c r="L44" s="165" t="s">
        <v>115</v>
      </c>
      <c r="M44" s="165" t="s">
        <v>117</v>
      </c>
    </row>
    <row r="45" spans="1:13" ht="17.5" x14ac:dyDescent="0.3">
      <c r="A45" s="165">
        <v>2</v>
      </c>
      <c r="B45" s="165">
        <v>1360</v>
      </c>
      <c r="C45" s="165" t="s">
        <v>178</v>
      </c>
      <c r="D45" s="165">
        <v>16375</v>
      </c>
      <c r="E45" s="166">
        <v>46114.562685185185</v>
      </c>
      <c r="F45" s="165">
        <v>4660</v>
      </c>
      <c r="G45" s="166">
        <v>46114.612141203703</v>
      </c>
      <c r="H45" s="165">
        <v>11715</v>
      </c>
      <c r="I45" s="165" t="s">
        <v>143</v>
      </c>
      <c r="J45" s="165" t="s">
        <v>179</v>
      </c>
      <c r="K45" s="165" t="s">
        <v>90</v>
      </c>
      <c r="L45" s="165" t="s">
        <v>115</v>
      </c>
      <c r="M45" s="165" t="s">
        <v>116</v>
      </c>
    </row>
    <row r="46" spans="1:13" ht="17.5" x14ac:dyDescent="0.3">
      <c r="A46" s="165">
        <v>3</v>
      </c>
      <c r="B46" s="165">
        <v>1361</v>
      </c>
      <c r="C46" s="165" t="s">
        <v>181</v>
      </c>
      <c r="D46" s="165">
        <v>14190</v>
      </c>
      <c r="E46" s="166">
        <v>46114.724340277775</v>
      </c>
      <c r="F46" s="165">
        <v>4380</v>
      </c>
      <c r="G46" s="166">
        <v>46114.771087962959</v>
      </c>
      <c r="H46" s="165">
        <v>9810</v>
      </c>
      <c r="I46" s="165" t="s">
        <v>143</v>
      </c>
      <c r="J46" s="165" t="s">
        <v>179</v>
      </c>
      <c r="K46" s="165" t="s">
        <v>90</v>
      </c>
      <c r="L46" s="165" t="s">
        <v>115</v>
      </c>
      <c r="M46" s="165" t="s">
        <v>116</v>
      </c>
    </row>
    <row r="47" spans="1:13" ht="17.5" x14ac:dyDescent="0.3">
      <c r="A47" s="165">
        <v>1</v>
      </c>
      <c r="B47" s="165">
        <v>1364</v>
      </c>
      <c r="C47" s="165" t="s">
        <v>178</v>
      </c>
      <c r="D47" s="165">
        <v>17635</v>
      </c>
      <c r="E47" s="166">
        <v>46115.504560185182</v>
      </c>
      <c r="F47" s="165">
        <v>4645</v>
      </c>
      <c r="G47" s="166">
        <v>46115.577638888892</v>
      </c>
      <c r="H47" s="165">
        <v>12990</v>
      </c>
      <c r="I47" s="165" t="s">
        <v>143</v>
      </c>
      <c r="J47" s="165" t="s">
        <v>179</v>
      </c>
      <c r="K47" s="165" t="s">
        <v>90</v>
      </c>
      <c r="L47" s="165" t="s">
        <v>115</v>
      </c>
      <c r="M47" s="165" t="s">
        <v>117</v>
      </c>
    </row>
    <row r="48" spans="1:13" ht="35" x14ac:dyDescent="0.3">
      <c r="A48" s="165">
        <v>2</v>
      </c>
      <c r="B48" s="165">
        <v>1365</v>
      </c>
      <c r="C48" s="165" t="s">
        <v>182</v>
      </c>
      <c r="D48" s="165">
        <v>9105</v>
      </c>
      <c r="E48" s="166">
        <v>46115.595127314817</v>
      </c>
      <c r="F48" s="165">
        <v>4245</v>
      </c>
      <c r="G48" s="166">
        <v>46115.639201388891</v>
      </c>
      <c r="H48" s="165">
        <v>4860</v>
      </c>
      <c r="I48" s="165" t="s">
        <v>143</v>
      </c>
      <c r="J48" s="165" t="s">
        <v>179</v>
      </c>
      <c r="K48" s="165" t="s">
        <v>90</v>
      </c>
      <c r="L48" s="165" t="s">
        <v>115</v>
      </c>
      <c r="M48" s="165" t="s">
        <v>116</v>
      </c>
    </row>
    <row r="49" spans="1:13" ht="35" x14ac:dyDescent="0.3">
      <c r="A49" s="165">
        <v>1</v>
      </c>
      <c r="B49" s="165">
        <v>1366</v>
      </c>
      <c r="C49" s="165" t="s">
        <v>178</v>
      </c>
      <c r="D49" s="165">
        <v>16810</v>
      </c>
      <c r="E49" s="166">
        <v>46116.419872685183</v>
      </c>
      <c r="F49" s="165">
        <v>4655</v>
      </c>
      <c r="G49" s="166">
        <v>46116.476319444446</v>
      </c>
      <c r="H49" s="165">
        <v>12155</v>
      </c>
      <c r="I49" s="165" t="s">
        <v>143</v>
      </c>
      <c r="J49" s="165" t="s">
        <v>183</v>
      </c>
      <c r="K49" s="165" t="s">
        <v>90</v>
      </c>
      <c r="L49" s="165" t="s">
        <v>115</v>
      </c>
      <c r="M49" s="165" t="s">
        <v>117</v>
      </c>
    </row>
    <row r="50" spans="1:13" ht="35" x14ac:dyDescent="0.3">
      <c r="A50" s="165">
        <v>2</v>
      </c>
      <c r="B50" s="165">
        <v>1367</v>
      </c>
      <c r="C50" s="165" t="s">
        <v>184</v>
      </c>
      <c r="D50" s="165">
        <v>11000</v>
      </c>
      <c r="E50" s="166">
        <v>46116.464525462965</v>
      </c>
      <c r="F50" s="165">
        <v>4115</v>
      </c>
      <c r="G50" s="166">
        <v>46116.501967592594</v>
      </c>
      <c r="H50" s="165">
        <v>6885</v>
      </c>
      <c r="I50" s="165">
        <v>3385</v>
      </c>
      <c r="J50" s="165" t="s">
        <v>185</v>
      </c>
      <c r="K50" s="165" t="s">
        <v>90</v>
      </c>
      <c r="L50" s="165" t="s">
        <v>115</v>
      </c>
      <c r="M50" s="165" t="s">
        <v>117</v>
      </c>
    </row>
    <row r="51" spans="1:13" ht="35" x14ac:dyDescent="0.3">
      <c r="A51" s="165">
        <v>3</v>
      </c>
      <c r="B51" s="165">
        <v>1368</v>
      </c>
      <c r="C51" s="165" t="s">
        <v>175</v>
      </c>
      <c r="D51" s="165">
        <v>7835</v>
      </c>
      <c r="E51" s="166">
        <v>46116.501006944447</v>
      </c>
      <c r="F51" s="165">
        <v>3720</v>
      </c>
      <c r="G51" s="166">
        <v>46116.524328703701</v>
      </c>
      <c r="H51" s="165">
        <v>4115</v>
      </c>
      <c r="I51" s="165" t="s">
        <v>143</v>
      </c>
      <c r="J51" s="165" t="s">
        <v>183</v>
      </c>
      <c r="K51" s="165" t="s">
        <v>90</v>
      </c>
      <c r="L51" s="165" t="s">
        <v>115</v>
      </c>
      <c r="M51" s="165" t="s">
        <v>117</v>
      </c>
    </row>
    <row r="52" spans="1:13" ht="35" x14ac:dyDescent="0.3">
      <c r="A52" s="165">
        <v>4</v>
      </c>
      <c r="B52" s="165">
        <v>1369</v>
      </c>
      <c r="C52" s="165" t="s">
        <v>186</v>
      </c>
      <c r="D52" s="165">
        <v>6940</v>
      </c>
      <c r="E52" s="166">
        <v>46116.503750000003</v>
      </c>
      <c r="F52" s="165">
        <v>3780</v>
      </c>
      <c r="G52" s="166">
        <v>46116.522476851853</v>
      </c>
      <c r="H52" s="165">
        <v>3160</v>
      </c>
      <c r="I52" s="165" t="s">
        <v>176</v>
      </c>
      <c r="J52" s="165" t="s">
        <v>177</v>
      </c>
      <c r="K52" s="165" t="s">
        <v>90</v>
      </c>
      <c r="L52" s="165" t="s">
        <v>115</v>
      </c>
      <c r="M52" s="165" t="s">
        <v>117</v>
      </c>
    </row>
    <row r="53" spans="1:13" ht="35" x14ac:dyDescent="0.3">
      <c r="A53" s="165">
        <v>5</v>
      </c>
      <c r="B53" s="165">
        <v>1370</v>
      </c>
      <c r="C53" s="165" t="s">
        <v>175</v>
      </c>
      <c r="D53" s="165">
        <v>7475</v>
      </c>
      <c r="E53" s="166">
        <v>46116.629340277781</v>
      </c>
      <c r="F53" s="165">
        <v>3480</v>
      </c>
      <c r="G53" s="166">
        <v>46116.643877314818</v>
      </c>
      <c r="H53" s="165">
        <v>3995</v>
      </c>
      <c r="I53" s="165" t="s">
        <v>143</v>
      </c>
      <c r="J53" s="165" t="s">
        <v>183</v>
      </c>
      <c r="K53" s="165" t="s">
        <v>90</v>
      </c>
      <c r="L53" s="165" t="s">
        <v>115</v>
      </c>
      <c r="M53" s="165" t="s">
        <v>116</v>
      </c>
    </row>
    <row r="54" spans="1:13" ht="35" x14ac:dyDescent="0.3">
      <c r="A54" s="165">
        <v>1</v>
      </c>
      <c r="B54" s="165">
        <v>1371</v>
      </c>
      <c r="C54" s="165" t="s">
        <v>178</v>
      </c>
      <c r="D54" s="165">
        <v>16845</v>
      </c>
      <c r="E54" s="166">
        <v>46117.427766203706</v>
      </c>
      <c r="F54" s="165">
        <v>4670</v>
      </c>
      <c r="G54" s="166">
        <v>46117.464988425927</v>
      </c>
      <c r="H54" s="165">
        <v>12175</v>
      </c>
      <c r="I54" s="165" t="s">
        <v>143</v>
      </c>
      <c r="J54" s="165" t="s">
        <v>183</v>
      </c>
      <c r="K54" s="165" t="s">
        <v>90</v>
      </c>
      <c r="L54" s="165" t="s">
        <v>115</v>
      </c>
      <c r="M54" s="165" t="s">
        <v>117</v>
      </c>
    </row>
    <row r="55" spans="1:13" ht="35" x14ac:dyDescent="0.3">
      <c r="A55" s="165">
        <v>2</v>
      </c>
      <c r="B55" s="165">
        <v>1372</v>
      </c>
      <c r="C55" s="165" t="s">
        <v>178</v>
      </c>
      <c r="D55" s="165">
        <v>14540</v>
      </c>
      <c r="E55" s="166">
        <v>46117.690578703703</v>
      </c>
      <c r="F55" s="165">
        <v>4660</v>
      </c>
      <c r="G55" s="166">
        <v>46117.738298611112</v>
      </c>
      <c r="H55" s="165">
        <v>9880</v>
      </c>
      <c r="I55" s="165" t="s">
        <v>143</v>
      </c>
      <c r="J55" s="165" t="s">
        <v>183</v>
      </c>
      <c r="K55" s="165" t="s">
        <v>90</v>
      </c>
      <c r="L55" s="165" t="s">
        <v>115</v>
      </c>
      <c r="M55" s="165" t="s">
        <v>116</v>
      </c>
    </row>
    <row r="56" spans="1:13" ht="35" x14ac:dyDescent="0.3">
      <c r="A56" s="165">
        <v>1</v>
      </c>
      <c r="B56" s="165">
        <v>1373</v>
      </c>
      <c r="C56" s="165">
        <v>485</v>
      </c>
      <c r="D56" s="165">
        <v>11280</v>
      </c>
      <c r="E56" s="166">
        <v>46118.415451388886</v>
      </c>
      <c r="F56" s="165">
        <v>4210</v>
      </c>
      <c r="G56" s="166">
        <v>46118.462604166663</v>
      </c>
      <c r="H56" s="165">
        <v>7070</v>
      </c>
      <c r="I56" s="165">
        <v>3385</v>
      </c>
      <c r="J56" s="165" t="s">
        <v>185</v>
      </c>
      <c r="K56" s="165" t="s">
        <v>90</v>
      </c>
      <c r="L56" s="165" t="s">
        <v>115</v>
      </c>
      <c r="M56" s="165" t="s">
        <v>117</v>
      </c>
    </row>
    <row r="57" spans="1:13" ht="35" x14ac:dyDescent="0.3">
      <c r="A57" s="165">
        <v>2</v>
      </c>
      <c r="B57" s="165">
        <v>1374</v>
      </c>
      <c r="C57" s="165" t="s">
        <v>184</v>
      </c>
      <c r="D57" s="165">
        <v>11280</v>
      </c>
      <c r="E57" s="166">
        <v>46118.463703703703</v>
      </c>
      <c r="F57" s="165">
        <v>4130</v>
      </c>
      <c r="G57" s="166">
        <v>46118.510358796295</v>
      </c>
      <c r="H57" s="165">
        <v>7150</v>
      </c>
      <c r="I57" s="165">
        <v>3385</v>
      </c>
      <c r="J57" s="165" t="s">
        <v>185</v>
      </c>
      <c r="K57" s="165" t="s">
        <v>90</v>
      </c>
      <c r="L57" s="165" t="s">
        <v>115</v>
      </c>
      <c r="M57" s="165" t="s">
        <v>117</v>
      </c>
    </row>
    <row r="58" spans="1:13" ht="35" x14ac:dyDescent="0.3">
      <c r="A58" s="165">
        <v>3</v>
      </c>
      <c r="B58" s="165">
        <v>1375</v>
      </c>
      <c r="C58" s="165" t="s">
        <v>189</v>
      </c>
      <c r="D58" s="165">
        <v>16760</v>
      </c>
      <c r="E58" s="166">
        <v>46118.582372685189</v>
      </c>
      <c r="F58" s="165">
        <v>4325</v>
      </c>
      <c r="G58" s="166">
        <v>46118.643217592595</v>
      </c>
      <c r="H58" s="165">
        <v>12435</v>
      </c>
      <c r="I58" s="165" t="s">
        <v>190</v>
      </c>
      <c r="J58" s="165" t="s">
        <v>191</v>
      </c>
      <c r="K58" s="165" t="s">
        <v>90</v>
      </c>
      <c r="L58" s="165" t="s">
        <v>115</v>
      </c>
      <c r="M58" s="165" t="s">
        <v>116</v>
      </c>
    </row>
    <row r="59" spans="1:13" ht="17.5" x14ac:dyDescent="0.3">
      <c r="A59" s="165">
        <v>4</v>
      </c>
      <c r="B59" s="165">
        <v>1376</v>
      </c>
      <c r="C59" s="165" t="s">
        <v>178</v>
      </c>
      <c r="D59" s="165">
        <v>16985</v>
      </c>
      <c r="E59" s="166">
        <v>46118.67769675926</v>
      </c>
      <c r="F59" s="165">
        <v>4650</v>
      </c>
      <c r="G59" s="166">
        <v>46118.745312500003</v>
      </c>
      <c r="H59" s="165">
        <v>12335</v>
      </c>
      <c r="I59" s="165" t="s">
        <v>190</v>
      </c>
      <c r="J59" s="165" t="s">
        <v>179</v>
      </c>
      <c r="K59" s="165" t="s">
        <v>90</v>
      </c>
      <c r="L59" s="165" t="s">
        <v>115</v>
      </c>
      <c r="M59" s="165" t="s">
        <v>116</v>
      </c>
    </row>
    <row r="60" spans="1:13" ht="17.5" x14ac:dyDescent="0.3">
      <c r="A60" s="165">
        <v>1</v>
      </c>
      <c r="B60" s="165">
        <v>1377</v>
      </c>
      <c r="C60" s="165" t="s">
        <v>178</v>
      </c>
      <c r="D60" s="165">
        <v>12970</v>
      </c>
      <c r="E60" s="166">
        <v>46119.468460648146</v>
      </c>
      <c r="F60" s="165">
        <v>4675</v>
      </c>
      <c r="G60" s="166">
        <v>46119.506412037037</v>
      </c>
      <c r="H60" s="165">
        <v>8295</v>
      </c>
      <c r="I60" s="165" t="s">
        <v>190</v>
      </c>
      <c r="J60" s="165" t="s">
        <v>179</v>
      </c>
      <c r="K60" s="165" t="s">
        <v>90</v>
      </c>
      <c r="L60" s="165" t="s">
        <v>115</v>
      </c>
      <c r="M60" s="165" t="s">
        <v>117</v>
      </c>
    </row>
    <row r="61" spans="1:13" ht="35" x14ac:dyDescent="0.3">
      <c r="A61" s="165">
        <v>2</v>
      </c>
      <c r="B61" s="165">
        <v>1378</v>
      </c>
      <c r="C61" s="165" t="s">
        <v>184</v>
      </c>
      <c r="D61" s="165">
        <v>11400</v>
      </c>
      <c r="E61" s="166">
        <v>46119.524201388886</v>
      </c>
      <c r="F61" s="165">
        <v>4190</v>
      </c>
      <c r="G61" s="166">
        <v>46119.566365740742</v>
      </c>
      <c r="H61" s="165">
        <v>7210</v>
      </c>
      <c r="I61" s="165">
        <v>3385</v>
      </c>
      <c r="J61" s="165" t="s">
        <v>185</v>
      </c>
      <c r="K61" s="165" t="s">
        <v>90</v>
      </c>
      <c r="L61" s="165" t="s">
        <v>115</v>
      </c>
      <c r="M61" s="165" t="s">
        <v>117</v>
      </c>
    </row>
    <row r="62" spans="1:13" ht="35" x14ac:dyDescent="0.3">
      <c r="A62" s="165">
        <v>3</v>
      </c>
      <c r="B62" s="165">
        <v>1379</v>
      </c>
      <c r="C62" s="165" t="s">
        <v>184</v>
      </c>
      <c r="D62" s="165">
        <v>11360</v>
      </c>
      <c r="E62" s="166">
        <v>46119.569212962961</v>
      </c>
      <c r="F62" s="165">
        <v>4105</v>
      </c>
      <c r="G62" s="166">
        <v>46119.590902777774</v>
      </c>
      <c r="H62" s="165">
        <v>7255</v>
      </c>
      <c r="I62" s="165">
        <v>3385</v>
      </c>
      <c r="J62" s="165" t="s">
        <v>185</v>
      </c>
      <c r="K62" s="165" t="s">
        <v>90</v>
      </c>
      <c r="L62" s="165" t="s">
        <v>115</v>
      </c>
      <c r="M62" s="165" t="s">
        <v>116</v>
      </c>
    </row>
    <row r="63" spans="1:13" ht="17.5" x14ac:dyDescent="0.3">
      <c r="A63" s="165">
        <v>4</v>
      </c>
      <c r="B63" s="165">
        <v>1380</v>
      </c>
      <c r="C63" s="165" t="s">
        <v>178</v>
      </c>
      <c r="D63" s="165">
        <v>15475</v>
      </c>
      <c r="E63" s="166">
        <v>46119.740995370368</v>
      </c>
      <c r="F63" s="165">
        <v>4655</v>
      </c>
      <c r="G63" s="166">
        <v>46119.811759259261</v>
      </c>
      <c r="H63" s="165">
        <v>10820</v>
      </c>
      <c r="I63" s="165" t="s">
        <v>190</v>
      </c>
      <c r="J63" s="165" t="s">
        <v>179</v>
      </c>
      <c r="K63" s="165" t="s">
        <v>90</v>
      </c>
      <c r="L63" s="165" t="s">
        <v>115</v>
      </c>
      <c r="M63" s="165" t="s">
        <v>116</v>
      </c>
    </row>
    <row r="64" spans="1:13" ht="35" x14ac:dyDescent="0.3">
      <c r="A64" s="165">
        <v>1</v>
      </c>
      <c r="B64" s="165">
        <v>1381</v>
      </c>
      <c r="C64" s="165">
        <v>485</v>
      </c>
      <c r="D64" s="165">
        <v>11590</v>
      </c>
      <c r="E64" s="166">
        <v>46120.472696759258</v>
      </c>
      <c r="F64" s="165">
        <v>4135</v>
      </c>
      <c r="G64" s="166">
        <v>46120.510462962964</v>
      </c>
      <c r="H64" s="165">
        <v>7455</v>
      </c>
      <c r="I64" s="165">
        <v>3385</v>
      </c>
      <c r="J64" s="165" t="s">
        <v>185</v>
      </c>
      <c r="K64" s="165" t="s">
        <v>90</v>
      </c>
      <c r="L64" s="165" t="s">
        <v>115</v>
      </c>
      <c r="M64" s="165" t="s">
        <v>117</v>
      </c>
    </row>
    <row r="65" spans="1:14" ht="35" x14ac:dyDescent="0.3">
      <c r="A65" s="165">
        <v>2</v>
      </c>
      <c r="B65" s="165">
        <v>1382</v>
      </c>
      <c r="C65" s="165" t="s">
        <v>171</v>
      </c>
      <c r="D65" s="165">
        <v>11615</v>
      </c>
      <c r="E65" s="166">
        <v>46120.497499999998</v>
      </c>
      <c r="F65" s="165">
        <v>4195</v>
      </c>
      <c r="G65" s="166">
        <v>46120.531909722224</v>
      </c>
      <c r="H65" s="165">
        <v>7420</v>
      </c>
      <c r="I65" s="165">
        <v>3385</v>
      </c>
      <c r="J65" s="165" t="s">
        <v>185</v>
      </c>
      <c r="K65" s="165" t="s">
        <v>90</v>
      </c>
      <c r="L65" s="165" t="s">
        <v>115</v>
      </c>
      <c r="M65" s="165" t="s">
        <v>117</v>
      </c>
    </row>
    <row r="66" spans="1:14" ht="52.5" x14ac:dyDescent="0.3">
      <c r="A66" s="165">
        <v>3</v>
      </c>
      <c r="B66" s="165">
        <v>1383</v>
      </c>
      <c r="C66" s="165" t="s">
        <v>195</v>
      </c>
      <c r="D66" s="165">
        <v>15810</v>
      </c>
      <c r="E66" s="166">
        <v>46120.608680555553</v>
      </c>
      <c r="F66" s="165">
        <v>4370</v>
      </c>
      <c r="G66" s="166">
        <v>46120.665775462963</v>
      </c>
      <c r="H66" s="165">
        <v>11440</v>
      </c>
      <c r="I66" s="165" t="s">
        <v>196</v>
      </c>
      <c r="J66" s="165" t="s">
        <v>197</v>
      </c>
      <c r="K66" s="165" t="s">
        <v>90</v>
      </c>
      <c r="L66" s="165" t="s">
        <v>115</v>
      </c>
      <c r="M66" s="165" t="s">
        <v>116</v>
      </c>
    </row>
    <row r="67" spans="1:14" ht="52.5" x14ac:dyDescent="0.3">
      <c r="A67" s="165">
        <v>4</v>
      </c>
      <c r="B67" s="165">
        <v>1384</v>
      </c>
      <c r="C67" s="165" t="s">
        <v>178</v>
      </c>
      <c r="D67" s="165">
        <v>16875</v>
      </c>
      <c r="E67" s="166">
        <v>46120.667314814818</v>
      </c>
      <c r="F67" s="165">
        <v>4660</v>
      </c>
      <c r="G67" s="166">
        <v>46120.770694444444</v>
      </c>
      <c r="H67" s="165">
        <v>12215</v>
      </c>
      <c r="I67" s="165" t="s">
        <v>196</v>
      </c>
      <c r="J67" s="165" t="s">
        <v>197</v>
      </c>
      <c r="K67" s="165" t="s">
        <v>90</v>
      </c>
      <c r="L67" s="165" t="s">
        <v>115</v>
      </c>
      <c r="M67" s="165" t="s">
        <v>116</v>
      </c>
    </row>
    <row r="68" spans="1:14" ht="52.5" x14ac:dyDescent="0.3">
      <c r="A68" s="165">
        <v>1</v>
      </c>
      <c r="B68" s="165">
        <v>1385</v>
      </c>
      <c r="C68" s="165" t="s">
        <v>181</v>
      </c>
      <c r="D68" s="165">
        <v>15240</v>
      </c>
      <c r="E68" s="166">
        <v>46121.605520833335</v>
      </c>
      <c r="F68" s="165">
        <v>4380</v>
      </c>
      <c r="G68" s="166">
        <v>46121.680266203701</v>
      </c>
      <c r="H68" s="165">
        <v>10860</v>
      </c>
      <c r="I68" s="165" t="s">
        <v>196</v>
      </c>
      <c r="J68" s="165" t="s">
        <v>197</v>
      </c>
      <c r="K68" s="165" t="s">
        <v>90</v>
      </c>
      <c r="L68" s="165" t="s">
        <v>115</v>
      </c>
      <c r="M68" s="165" t="s">
        <v>116</v>
      </c>
    </row>
    <row r="69" spans="1:14" ht="52.5" x14ac:dyDescent="0.3">
      <c r="A69" s="165">
        <v>2</v>
      </c>
      <c r="B69" s="165">
        <v>1386</v>
      </c>
      <c r="C69" s="165" t="s">
        <v>178</v>
      </c>
      <c r="D69" s="165">
        <v>16795</v>
      </c>
      <c r="E69" s="166">
        <v>46121.681921296295</v>
      </c>
      <c r="F69" s="165">
        <v>4685</v>
      </c>
      <c r="G69" s="166">
        <v>46121.768379629626</v>
      </c>
      <c r="H69" s="165">
        <v>12110</v>
      </c>
      <c r="I69" s="165" t="s">
        <v>196</v>
      </c>
      <c r="J69" s="165" t="s">
        <v>197</v>
      </c>
      <c r="K69" s="165" t="s">
        <v>90</v>
      </c>
      <c r="L69" s="165" t="s">
        <v>115</v>
      </c>
      <c r="M69" s="165" t="s">
        <v>116</v>
      </c>
    </row>
    <row r="70" spans="1:14" ht="35" x14ac:dyDescent="0.3">
      <c r="A70" s="165">
        <v>3</v>
      </c>
      <c r="B70" s="165">
        <v>1387</v>
      </c>
      <c r="C70" s="165" t="s">
        <v>184</v>
      </c>
      <c r="D70" s="165">
        <v>11730</v>
      </c>
      <c r="E70" s="166">
        <v>46121.758657407408</v>
      </c>
      <c r="F70" s="165">
        <v>4165</v>
      </c>
      <c r="G70" s="166">
        <v>46121.794722222221</v>
      </c>
      <c r="H70" s="165">
        <v>7565</v>
      </c>
      <c r="I70" s="165">
        <v>3385</v>
      </c>
      <c r="J70" s="165" t="s">
        <v>185</v>
      </c>
      <c r="K70" s="165" t="s">
        <v>90</v>
      </c>
      <c r="L70" s="165" t="s">
        <v>115</v>
      </c>
      <c r="M70" s="165" t="s">
        <v>116</v>
      </c>
    </row>
    <row r="71" spans="1:14" ht="35" x14ac:dyDescent="0.3">
      <c r="A71" s="165">
        <v>1</v>
      </c>
      <c r="B71" s="165">
        <v>1388</v>
      </c>
      <c r="C71" s="165" t="s">
        <v>181</v>
      </c>
      <c r="D71" s="165">
        <v>15160</v>
      </c>
      <c r="E71" s="166">
        <v>46122.569189814814</v>
      </c>
      <c r="F71" s="165">
        <v>4375</v>
      </c>
      <c r="G71" s="166">
        <v>46122.621655092589</v>
      </c>
      <c r="H71" s="165">
        <v>10785</v>
      </c>
      <c r="I71" s="165" t="s">
        <v>199</v>
      </c>
      <c r="J71" s="165" t="s">
        <v>200</v>
      </c>
      <c r="K71" s="165" t="s">
        <v>90</v>
      </c>
      <c r="L71" s="165" t="s">
        <v>115</v>
      </c>
      <c r="M71" s="165" t="s">
        <v>116</v>
      </c>
    </row>
    <row r="72" spans="1:14" ht="35" x14ac:dyDescent="0.3">
      <c r="A72" s="165">
        <v>2</v>
      </c>
      <c r="B72" s="165">
        <v>1389</v>
      </c>
      <c r="C72" s="165" t="s">
        <v>201</v>
      </c>
      <c r="D72" s="165">
        <v>14880</v>
      </c>
      <c r="E72" s="166">
        <v>46122.59574074074</v>
      </c>
      <c r="F72" s="165">
        <v>5270</v>
      </c>
      <c r="G72" s="166">
        <v>46122.666898148149</v>
      </c>
      <c r="H72" s="165">
        <v>9610</v>
      </c>
      <c r="I72" s="165" t="s">
        <v>202</v>
      </c>
      <c r="J72" s="165" t="s">
        <v>203</v>
      </c>
      <c r="K72" s="165" t="s">
        <v>90</v>
      </c>
      <c r="L72" s="165" t="s">
        <v>115</v>
      </c>
      <c r="M72" s="165" t="s">
        <v>116</v>
      </c>
    </row>
    <row r="73" spans="1:14" ht="35" x14ac:dyDescent="0.3">
      <c r="A73" s="165">
        <v>3</v>
      </c>
      <c r="B73" s="165">
        <v>1390</v>
      </c>
      <c r="C73" s="165" t="s">
        <v>204</v>
      </c>
      <c r="D73" s="165">
        <v>9640</v>
      </c>
      <c r="E73" s="166">
        <v>46122.597650462965</v>
      </c>
      <c r="F73" s="165">
        <v>4090</v>
      </c>
      <c r="G73" s="166">
        <v>46122.668020833335</v>
      </c>
      <c r="H73" s="165">
        <v>5550</v>
      </c>
      <c r="I73" s="165" t="s">
        <v>202</v>
      </c>
      <c r="J73" s="165" t="s">
        <v>203</v>
      </c>
      <c r="K73" s="165" t="s">
        <v>90</v>
      </c>
      <c r="L73" s="165" t="s">
        <v>115</v>
      </c>
      <c r="M73" s="165" t="s">
        <v>116</v>
      </c>
    </row>
    <row r="74" spans="1:14" ht="35" x14ac:dyDescent="0.3">
      <c r="A74" s="165">
        <v>4</v>
      </c>
      <c r="B74" s="165">
        <v>1391</v>
      </c>
      <c r="C74" s="165" t="s">
        <v>205</v>
      </c>
      <c r="D74" s="165">
        <v>9785</v>
      </c>
      <c r="E74" s="166">
        <v>46122.622615740744</v>
      </c>
      <c r="F74" s="165">
        <v>4235</v>
      </c>
      <c r="G74" s="166">
        <v>46122.642337962963</v>
      </c>
      <c r="H74" s="165">
        <v>5550</v>
      </c>
      <c r="I74" s="165" t="s">
        <v>199</v>
      </c>
      <c r="J74" s="165" t="s">
        <v>200</v>
      </c>
      <c r="K74" s="165" t="s">
        <v>90</v>
      </c>
      <c r="L74" s="165" t="s">
        <v>115</v>
      </c>
      <c r="M74" s="165" t="s">
        <v>116</v>
      </c>
    </row>
    <row r="75" spans="1:14" ht="35" x14ac:dyDescent="0.3">
      <c r="A75" s="165">
        <v>5</v>
      </c>
      <c r="B75" s="165">
        <v>1392</v>
      </c>
      <c r="C75" s="165" t="s">
        <v>178</v>
      </c>
      <c r="D75" s="165">
        <v>16775</v>
      </c>
      <c r="E75" s="166">
        <v>46122.643703703703</v>
      </c>
      <c r="F75" s="165">
        <v>4670</v>
      </c>
      <c r="G75" s="166">
        <v>46122.718414351853</v>
      </c>
      <c r="H75" s="165">
        <v>12105</v>
      </c>
      <c r="I75" s="165" t="s">
        <v>199</v>
      </c>
      <c r="J75" s="165" t="s">
        <v>200</v>
      </c>
      <c r="K75" s="165" t="s">
        <v>90</v>
      </c>
      <c r="L75" s="165" t="s">
        <v>115</v>
      </c>
      <c r="M75" s="165" t="s">
        <v>116</v>
      </c>
    </row>
    <row r="76" spans="1:14" ht="35" x14ac:dyDescent="0.3">
      <c r="A76" s="165">
        <v>1</v>
      </c>
      <c r="B76" s="165">
        <v>1394</v>
      </c>
      <c r="C76" s="165" t="s">
        <v>206</v>
      </c>
      <c r="D76" s="165">
        <v>15520</v>
      </c>
      <c r="E76" s="166">
        <v>46123.500821759262</v>
      </c>
      <c r="F76" s="165">
        <v>5180</v>
      </c>
      <c r="G76" s="166">
        <v>46123.566863425927</v>
      </c>
      <c r="H76" s="165">
        <v>10340</v>
      </c>
      <c r="I76" s="165" t="s">
        <v>199</v>
      </c>
      <c r="J76" s="165" t="s">
        <v>207</v>
      </c>
      <c r="K76" s="165" t="s">
        <v>90</v>
      </c>
      <c r="L76" s="165" t="s">
        <v>115</v>
      </c>
      <c r="M76" s="165" t="s">
        <v>117</v>
      </c>
    </row>
    <row r="77" spans="1:14" ht="35" x14ac:dyDescent="0.3">
      <c r="A77" s="165">
        <v>2</v>
      </c>
      <c r="B77" s="165">
        <v>1395</v>
      </c>
      <c r="C77" s="165" t="s">
        <v>208</v>
      </c>
      <c r="D77" s="165">
        <v>9045</v>
      </c>
      <c r="E77" s="166">
        <v>46123.568923611114</v>
      </c>
      <c r="F77" s="165">
        <v>3925</v>
      </c>
      <c r="G77" s="166">
        <v>46123.629641203705</v>
      </c>
      <c r="H77" s="165">
        <v>5120</v>
      </c>
      <c r="I77" s="165" t="s">
        <v>199</v>
      </c>
      <c r="J77" s="165" t="s">
        <v>207</v>
      </c>
      <c r="K77" s="165" t="s">
        <v>90</v>
      </c>
      <c r="L77" s="165" t="s">
        <v>115</v>
      </c>
      <c r="M77" s="165" t="s">
        <v>116</v>
      </c>
    </row>
    <row r="78" spans="1:14" ht="35" x14ac:dyDescent="0.3">
      <c r="A78" s="165">
        <v>3</v>
      </c>
      <c r="B78" s="165">
        <v>1397</v>
      </c>
      <c r="C78" s="165" t="s">
        <v>209</v>
      </c>
      <c r="D78" s="165">
        <v>14765</v>
      </c>
      <c r="E78" s="166">
        <v>46123.631388888891</v>
      </c>
      <c r="F78" s="165">
        <v>4065</v>
      </c>
      <c r="G78" s="166">
        <v>46123.695173611108</v>
      </c>
      <c r="H78" s="165">
        <v>10700</v>
      </c>
      <c r="I78" s="165" t="s">
        <v>199</v>
      </c>
      <c r="J78" s="165" t="s">
        <v>207</v>
      </c>
      <c r="K78" s="165" t="s">
        <v>90</v>
      </c>
      <c r="L78" s="165" t="s">
        <v>115</v>
      </c>
      <c r="M78" s="165" t="s">
        <v>116</v>
      </c>
      <c r="N78" s="114"/>
    </row>
    <row r="79" spans="1:14" ht="35" x14ac:dyDescent="0.3">
      <c r="A79" s="165">
        <v>1</v>
      </c>
      <c r="B79" s="165">
        <v>1398</v>
      </c>
      <c r="C79" s="165" t="s">
        <v>210</v>
      </c>
      <c r="D79" s="165">
        <v>15730</v>
      </c>
      <c r="E79" s="166">
        <v>46125.465057870373</v>
      </c>
      <c r="F79" s="165">
        <v>5120</v>
      </c>
      <c r="G79" s="166">
        <v>46125.500752314816</v>
      </c>
      <c r="H79" s="165">
        <v>10610</v>
      </c>
      <c r="I79" s="165" t="s">
        <v>199</v>
      </c>
      <c r="J79" s="165" t="s">
        <v>211</v>
      </c>
      <c r="K79" s="165" t="s">
        <v>90</v>
      </c>
      <c r="L79" s="165" t="s">
        <v>115</v>
      </c>
      <c r="M79" s="165" t="s">
        <v>117</v>
      </c>
    </row>
    <row r="80" spans="1:14" ht="35" x14ac:dyDescent="0.3">
      <c r="A80" s="165">
        <v>2</v>
      </c>
      <c r="B80" s="165">
        <v>1399</v>
      </c>
      <c r="C80" s="165" t="s">
        <v>212</v>
      </c>
      <c r="D80" s="165">
        <v>17210</v>
      </c>
      <c r="E80" s="166">
        <v>46125.46597222222</v>
      </c>
      <c r="F80" s="165">
        <v>4990</v>
      </c>
      <c r="G80" s="166">
        <v>46125.608854166669</v>
      </c>
      <c r="H80" s="165">
        <v>12220</v>
      </c>
      <c r="I80" s="165" t="s">
        <v>199</v>
      </c>
      <c r="J80" s="165" t="s">
        <v>211</v>
      </c>
      <c r="K80" s="165" t="s">
        <v>90</v>
      </c>
      <c r="L80" s="165" t="s">
        <v>115</v>
      </c>
      <c r="M80" s="165" t="s">
        <v>116</v>
      </c>
    </row>
    <row r="81" spans="1:13" ht="17.5" x14ac:dyDescent="0.3">
      <c r="A81" s="165">
        <v>3</v>
      </c>
      <c r="B81" s="165">
        <v>1400</v>
      </c>
      <c r="C81" s="165" t="s">
        <v>178</v>
      </c>
      <c r="D81" s="165">
        <v>17440</v>
      </c>
      <c r="E81" s="166">
        <v>46125.607719907406</v>
      </c>
      <c r="F81" s="165">
        <v>4660</v>
      </c>
      <c r="G81" s="166">
        <v>46125.688460648147</v>
      </c>
      <c r="H81" s="165">
        <v>12780</v>
      </c>
      <c r="I81" s="165" t="s">
        <v>213</v>
      </c>
      <c r="J81" s="165" t="s">
        <v>179</v>
      </c>
      <c r="K81" s="165" t="s">
        <v>90</v>
      </c>
      <c r="L81" s="165" t="s">
        <v>115</v>
      </c>
      <c r="M81" s="165" t="s">
        <v>116</v>
      </c>
    </row>
    <row r="82" spans="1:13" ht="35" x14ac:dyDescent="0.3">
      <c r="A82" s="165">
        <v>4</v>
      </c>
      <c r="B82" s="165">
        <v>1401</v>
      </c>
      <c r="C82" s="165" t="s">
        <v>214</v>
      </c>
      <c r="D82" s="165">
        <v>22260</v>
      </c>
      <c r="E82" s="166">
        <v>46125.611122685186</v>
      </c>
      <c r="F82" s="165">
        <v>6585</v>
      </c>
      <c r="G82" s="166">
        <v>46125.707696759258</v>
      </c>
      <c r="H82" s="165">
        <v>15675</v>
      </c>
      <c r="I82" s="165" t="s">
        <v>199</v>
      </c>
      <c r="J82" s="165" t="s">
        <v>211</v>
      </c>
      <c r="K82" s="165" t="s">
        <v>90</v>
      </c>
      <c r="L82" s="165" t="s">
        <v>115</v>
      </c>
      <c r="M82" s="165" t="s">
        <v>116</v>
      </c>
    </row>
    <row r="83" spans="1:13" ht="17.5" x14ac:dyDescent="0.3">
      <c r="A83" s="165">
        <v>5</v>
      </c>
      <c r="B83" s="165">
        <v>1402</v>
      </c>
      <c r="C83" s="165" t="s">
        <v>181</v>
      </c>
      <c r="D83" s="165">
        <v>16970</v>
      </c>
      <c r="E83" s="166">
        <v>46125.719513888886</v>
      </c>
      <c r="F83" s="165">
        <v>4375</v>
      </c>
      <c r="G83" s="166">
        <v>46125.781157407408</v>
      </c>
      <c r="H83" s="165">
        <v>12595</v>
      </c>
      <c r="I83" s="165" t="s">
        <v>215</v>
      </c>
      <c r="J83" s="165" t="s">
        <v>179</v>
      </c>
      <c r="K83" s="165" t="s">
        <v>90</v>
      </c>
      <c r="L83" s="165" t="s">
        <v>115</v>
      </c>
      <c r="M83" s="165" t="s">
        <v>116</v>
      </c>
    </row>
    <row r="84" spans="1:13" ht="35" x14ac:dyDescent="0.3">
      <c r="A84" s="165">
        <v>6</v>
      </c>
      <c r="B84" s="165">
        <v>1403</v>
      </c>
      <c r="C84" s="165" t="s">
        <v>216</v>
      </c>
      <c r="D84" s="165">
        <v>8755</v>
      </c>
      <c r="E84" s="166">
        <v>46125.764837962961</v>
      </c>
      <c r="F84" s="165">
        <v>4215</v>
      </c>
      <c r="G84" s="166">
        <v>46125.787743055553</v>
      </c>
      <c r="H84" s="165">
        <v>4540</v>
      </c>
      <c r="I84" s="165" t="s">
        <v>199</v>
      </c>
      <c r="J84" s="165" t="s">
        <v>217</v>
      </c>
      <c r="K84" s="165" t="s">
        <v>90</v>
      </c>
      <c r="L84" s="165" t="s">
        <v>115</v>
      </c>
      <c r="M84" s="165" t="s">
        <v>116</v>
      </c>
    </row>
    <row r="85" spans="1:13" ht="35" x14ac:dyDescent="0.3">
      <c r="A85" s="165">
        <v>7</v>
      </c>
      <c r="B85" s="165">
        <v>1404</v>
      </c>
      <c r="C85" s="165" t="s">
        <v>218</v>
      </c>
      <c r="D85" s="165">
        <v>8180</v>
      </c>
      <c r="E85" s="166">
        <v>46125.7893287037</v>
      </c>
      <c r="F85" s="165">
        <v>4030</v>
      </c>
      <c r="G85" s="166">
        <v>46125.804780092592</v>
      </c>
      <c r="H85" s="165">
        <v>4150</v>
      </c>
      <c r="I85" s="165" t="s">
        <v>199</v>
      </c>
      <c r="J85" s="165" t="s">
        <v>217</v>
      </c>
      <c r="K85" s="165"/>
      <c r="L85" s="165"/>
      <c r="M85" s="165"/>
    </row>
    <row r="86" spans="1:13" ht="35" x14ac:dyDescent="0.3">
      <c r="A86" s="165">
        <v>1</v>
      </c>
      <c r="B86" s="165">
        <v>1405</v>
      </c>
      <c r="C86" s="165" t="s">
        <v>212</v>
      </c>
      <c r="D86" s="165">
        <v>14330</v>
      </c>
      <c r="E86" s="166">
        <v>46126.452314814815</v>
      </c>
      <c r="F86" s="165">
        <v>4965</v>
      </c>
      <c r="G86" s="166">
        <v>46126.512928240743</v>
      </c>
      <c r="H86" s="165">
        <v>9365</v>
      </c>
      <c r="I86" s="165" t="s">
        <v>199</v>
      </c>
      <c r="J86" s="165" t="s">
        <v>217</v>
      </c>
      <c r="K86" s="165" t="s">
        <v>90</v>
      </c>
      <c r="L86" s="165" t="s">
        <v>115</v>
      </c>
      <c r="M86" s="165" t="s">
        <v>117</v>
      </c>
    </row>
    <row r="87" spans="1:13" ht="17.5" x14ac:dyDescent="0.3">
      <c r="A87" s="165">
        <v>2</v>
      </c>
      <c r="B87" s="165">
        <v>1406</v>
      </c>
      <c r="C87" s="165" t="s">
        <v>178</v>
      </c>
      <c r="D87" s="165">
        <v>17200</v>
      </c>
      <c r="E87" s="166">
        <v>46126.460439814815</v>
      </c>
      <c r="F87" s="165">
        <v>10380</v>
      </c>
      <c r="G87" s="166">
        <v>46126.498796296299</v>
      </c>
      <c r="H87" s="165">
        <v>6820</v>
      </c>
      <c r="I87" s="165" t="s">
        <v>215</v>
      </c>
      <c r="J87" s="165" t="s">
        <v>179</v>
      </c>
      <c r="K87" s="165" t="s">
        <v>90</v>
      </c>
      <c r="L87" s="165" t="s">
        <v>115</v>
      </c>
      <c r="M87" s="165" t="s">
        <v>117</v>
      </c>
    </row>
    <row r="88" spans="1:13" ht="17.5" x14ac:dyDescent="0.3">
      <c r="A88" s="165">
        <v>3</v>
      </c>
      <c r="B88" s="165">
        <v>1407</v>
      </c>
      <c r="C88" s="165" t="s">
        <v>178</v>
      </c>
      <c r="D88" s="165">
        <v>10380</v>
      </c>
      <c r="E88" s="166">
        <v>46126.49927083333</v>
      </c>
      <c r="F88" s="165">
        <v>4670</v>
      </c>
      <c r="G88" s="166">
        <v>46126.532523148147</v>
      </c>
      <c r="H88" s="165">
        <v>5710</v>
      </c>
      <c r="I88" s="165" t="s">
        <v>219</v>
      </c>
      <c r="J88" s="165" t="s">
        <v>179</v>
      </c>
      <c r="K88" s="165" t="s">
        <v>90</v>
      </c>
      <c r="L88" s="165" t="s">
        <v>115</v>
      </c>
      <c r="M88" s="165" t="s">
        <v>117</v>
      </c>
    </row>
    <row r="89" spans="1:13" ht="17.5" x14ac:dyDescent="0.3">
      <c r="A89" s="165">
        <v>4</v>
      </c>
      <c r="B89" s="165">
        <v>1408</v>
      </c>
      <c r="C89" s="165" t="s">
        <v>181</v>
      </c>
      <c r="D89" s="165">
        <v>16580</v>
      </c>
      <c r="E89" s="166">
        <v>46126.543796296297</v>
      </c>
      <c r="F89" s="165">
        <v>4380</v>
      </c>
      <c r="G89" s="166">
        <v>46126.60423611111</v>
      </c>
      <c r="H89" s="165">
        <v>12200</v>
      </c>
      <c r="I89" s="165" t="s">
        <v>219</v>
      </c>
      <c r="J89" s="165" t="s">
        <v>179</v>
      </c>
      <c r="K89" s="165" t="s">
        <v>90</v>
      </c>
      <c r="L89" s="165" t="s">
        <v>115</v>
      </c>
      <c r="M89" s="165" t="s">
        <v>116</v>
      </c>
    </row>
    <row r="90" spans="1:13" ht="35" x14ac:dyDescent="0.3">
      <c r="A90" s="165">
        <v>5</v>
      </c>
      <c r="B90" s="165">
        <v>1410</v>
      </c>
      <c r="C90" s="165" t="s">
        <v>220</v>
      </c>
      <c r="D90" s="165">
        <v>8215</v>
      </c>
      <c r="E90" s="166">
        <v>46126.636608796296</v>
      </c>
      <c r="F90" s="165">
        <v>3765</v>
      </c>
      <c r="G90" s="166">
        <v>46126.726261574076</v>
      </c>
      <c r="H90" s="165">
        <v>4450</v>
      </c>
      <c r="I90" s="165" t="s">
        <v>199</v>
      </c>
      <c r="J90" s="165" t="s">
        <v>221</v>
      </c>
      <c r="K90" s="165" t="s">
        <v>90</v>
      </c>
      <c r="L90" s="165" t="s">
        <v>115</v>
      </c>
      <c r="M90" s="165" t="s">
        <v>116</v>
      </c>
    </row>
    <row r="91" spans="1:13" ht="35" x14ac:dyDescent="0.3">
      <c r="A91" s="165">
        <v>1</v>
      </c>
      <c r="B91" s="165">
        <v>1411</v>
      </c>
      <c r="C91" s="165" t="s">
        <v>222</v>
      </c>
      <c r="D91" s="165">
        <v>4535</v>
      </c>
      <c r="E91" s="166">
        <v>46126.706284722219</v>
      </c>
      <c r="F91" s="165">
        <v>9945</v>
      </c>
      <c r="G91" s="166">
        <v>46127.453865740739</v>
      </c>
      <c r="H91" s="165">
        <v>5410</v>
      </c>
      <c r="I91" s="165" t="s">
        <v>199</v>
      </c>
      <c r="J91" s="165" t="s">
        <v>221</v>
      </c>
      <c r="K91" s="165" t="s">
        <v>90</v>
      </c>
      <c r="L91" s="165" t="s">
        <v>115</v>
      </c>
      <c r="M91" s="165" t="s">
        <v>117</v>
      </c>
    </row>
    <row r="92" spans="1:13" ht="35" x14ac:dyDescent="0.3">
      <c r="A92" s="165">
        <v>2</v>
      </c>
      <c r="B92" s="165">
        <v>1412</v>
      </c>
      <c r="C92" s="165" t="s">
        <v>223</v>
      </c>
      <c r="D92" s="165">
        <v>8405</v>
      </c>
      <c r="E92" s="166">
        <v>46127.432974537034</v>
      </c>
      <c r="F92" s="165">
        <v>4160</v>
      </c>
      <c r="G92" s="166">
        <v>46127.449444444443</v>
      </c>
      <c r="H92" s="165">
        <v>4245</v>
      </c>
      <c r="I92" s="165" t="s">
        <v>199</v>
      </c>
      <c r="J92" s="165" t="s">
        <v>221</v>
      </c>
      <c r="K92" s="165" t="s">
        <v>90</v>
      </c>
      <c r="L92" s="165" t="s">
        <v>115</v>
      </c>
      <c r="M92" s="165" t="s">
        <v>117</v>
      </c>
    </row>
    <row r="93" spans="1:13" ht="35" x14ac:dyDescent="0.3">
      <c r="A93" s="165">
        <v>3</v>
      </c>
      <c r="B93" s="165">
        <v>1413</v>
      </c>
      <c r="C93" s="165" t="s">
        <v>224</v>
      </c>
      <c r="D93" s="165">
        <v>9945</v>
      </c>
      <c r="E93" s="166">
        <v>46127.45449074074</v>
      </c>
      <c r="F93" s="165">
        <v>4535</v>
      </c>
      <c r="G93" s="166">
        <v>46127.475497685184</v>
      </c>
      <c r="H93" s="165">
        <v>5410</v>
      </c>
      <c r="I93" s="165" t="s">
        <v>199</v>
      </c>
      <c r="J93" s="165" t="s">
        <v>221</v>
      </c>
      <c r="K93" s="165" t="s">
        <v>90</v>
      </c>
      <c r="L93" s="165" t="s">
        <v>115</v>
      </c>
      <c r="M93" s="165" t="s">
        <v>117</v>
      </c>
    </row>
    <row r="94" spans="1:13" ht="35" x14ac:dyDescent="0.3">
      <c r="A94" s="165">
        <v>4</v>
      </c>
      <c r="B94" s="165">
        <v>1414</v>
      </c>
      <c r="C94" s="165" t="s">
        <v>225</v>
      </c>
      <c r="D94" s="165">
        <v>9125</v>
      </c>
      <c r="E94" s="166">
        <v>46127.469606481478</v>
      </c>
      <c r="F94" s="165">
        <v>4110</v>
      </c>
      <c r="G94" s="166">
        <v>46127.488217592596</v>
      </c>
      <c r="H94" s="165">
        <v>5015</v>
      </c>
      <c r="I94" s="165" t="s">
        <v>199</v>
      </c>
      <c r="J94" s="165" t="s">
        <v>221</v>
      </c>
      <c r="K94" s="165" t="s">
        <v>90</v>
      </c>
      <c r="L94" s="165" t="s">
        <v>115</v>
      </c>
      <c r="M94" s="165" t="s">
        <v>117</v>
      </c>
    </row>
    <row r="95" spans="1:13" ht="35" x14ac:dyDescent="0.3">
      <c r="A95" s="165">
        <v>5</v>
      </c>
      <c r="B95" s="165">
        <v>1415</v>
      </c>
      <c r="C95" s="165" t="s">
        <v>226</v>
      </c>
      <c r="D95" s="165">
        <v>8920</v>
      </c>
      <c r="E95" s="166">
        <v>46127.490289351852</v>
      </c>
      <c r="F95" s="165">
        <v>4040</v>
      </c>
      <c r="G95" s="166">
        <v>46127.553287037037</v>
      </c>
      <c r="H95" s="165">
        <v>4880</v>
      </c>
      <c r="I95" s="165" t="s">
        <v>199</v>
      </c>
      <c r="J95" s="165" t="s">
        <v>221</v>
      </c>
      <c r="K95" s="165" t="s">
        <v>90</v>
      </c>
      <c r="L95" s="165" t="s">
        <v>115</v>
      </c>
      <c r="M95" s="165" t="s">
        <v>117</v>
      </c>
    </row>
    <row r="96" spans="1:13" ht="35" x14ac:dyDescent="0.3">
      <c r="A96" s="165">
        <v>6</v>
      </c>
      <c r="B96" s="165">
        <v>1416</v>
      </c>
      <c r="C96" s="165" t="s">
        <v>223</v>
      </c>
      <c r="D96" s="165">
        <v>8360</v>
      </c>
      <c r="E96" s="166">
        <v>46127.551874999997</v>
      </c>
      <c r="F96" s="165">
        <v>4155</v>
      </c>
      <c r="G96" s="166">
        <v>46127.571620370371</v>
      </c>
      <c r="H96" s="165">
        <v>4205</v>
      </c>
      <c r="I96" s="165" t="s">
        <v>199</v>
      </c>
      <c r="J96" s="165" t="s">
        <v>221</v>
      </c>
      <c r="K96" s="165" t="s">
        <v>90</v>
      </c>
      <c r="L96" s="165" t="s">
        <v>115</v>
      </c>
      <c r="M96" s="165" t="s">
        <v>117</v>
      </c>
    </row>
    <row r="97" spans="1:13" ht="35" x14ac:dyDescent="0.3">
      <c r="A97" s="165">
        <v>7</v>
      </c>
      <c r="B97" s="165">
        <v>1417</v>
      </c>
      <c r="C97" s="165" t="s">
        <v>227</v>
      </c>
      <c r="D97" s="165">
        <v>5350</v>
      </c>
      <c r="E97" s="166">
        <v>46127.570740740739</v>
      </c>
      <c r="F97" s="165">
        <v>3420</v>
      </c>
      <c r="G97" s="166">
        <v>46127.663310185184</v>
      </c>
      <c r="H97" s="165">
        <v>1930</v>
      </c>
      <c r="I97" s="165" t="s">
        <v>199</v>
      </c>
      <c r="J97" s="165" t="s">
        <v>221</v>
      </c>
      <c r="K97" s="165" t="s">
        <v>90</v>
      </c>
      <c r="L97" s="165" t="s">
        <v>115</v>
      </c>
      <c r="M97" s="165" t="s">
        <v>116</v>
      </c>
    </row>
    <row r="98" spans="1:13" ht="35" x14ac:dyDescent="0.3">
      <c r="A98" s="165">
        <v>8</v>
      </c>
      <c r="B98" s="165">
        <v>1418</v>
      </c>
      <c r="C98" s="165" t="s">
        <v>223</v>
      </c>
      <c r="D98" s="165">
        <v>8365</v>
      </c>
      <c r="E98" s="166">
        <v>46127.592303240737</v>
      </c>
      <c r="F98" s="165">
        <v>4055</v>
      </c>
      <c r="G98" s="166">
        <v>46127.70107638889</v>
      </c>
      <c r="H98" s="165">
        <v>4310</v>
      </c>
      <c r="I98" s="165" t="s">
        <v>199</v>
      </c>
      <c r="J98" s="165" t="s">
        <v>221</v>
      </c>
      <c r="K98" s="165" t="s">
        <v>90</v>
      </c>
      <c r="L98" s="165" t="s">
        <v>115</v>
      </c>
      <c r="M98" s="165" t="s">
        <v>116</v>
      </c>
    </row>
    <row r="99" spans="1:13" ht="52.5" x14ac:dyDescent="0.3">
      <c r="A99" s="165">
        <v>9</v>
      </c>
      <c r="B99" s="165">
        <v>1419</v>
      </c>
      <c r="C99" s="165" t="s">
        <v>228</v>
      </c>
      <c r="D99" s="165">
        <v>9470</v>
      </c>
      <c r="E99" s="166">
        <v>46127.645648148151</v>
      </c>
      <c r="F99" s="165">
        <v>4245</v>
      </c>
      <c r="G99" s="166">
        <v>46127.691111111111</v>
      </c>
      <c r="H99" s="165">
        <v>5225</v>
      </c>
      <c r="I99" s="165" t="s">
        <v>199</v>
      </c>
      <c r="J99" s="165" t="s">
        <v>229</v>
      </c>
      <c r="K99" s="165" t="s">
        <v>90</v>
      </c>
      <c r="L99" s="165" t="s">
        <v>115</v>
      </c>
      <c r="M99" s="165" t="s">
        <v>116</v>
      </c>
    </row>
    <row r="100" spans="1:13" ht="35" x14ac:dyDescent="0.3">
      <c r="A100" s="165">
        <v>10</v>
      </c>
      <c r="B100" s="165">
        <v>1420</v>
      </c>
      <c r="C100" s="165" t="s">
        <v>230</v>
      </c>
      <c r="D100" s="165">
        <v>9175</v>
      </c>
      <c r="E100" s="166">
        <v>46127.67355324074</v>
      </c>
      <c r="F100" s="165">
        <v>4110</v>
      </c>
      <c r="G100" s="166">
        <v>46127.723287037035</v>
      </c>
      <c r="H100" s="165">
        <v>5065</v>
      </c>
      <c r="I100" s="165" t="s">
        <v>199</v>
      </c>
      <c r="J100" s="165" t="s">
        <v>221</v>
      </c>
      <c r="K100" s="165" t="s">
        <v>90</v>
      </c>
      <c r="L100" s="165" t="s">
        <v>115</v>
      </c>
      <c r="M100" s="165" t="s">
        <v>116</v>
      </c>
    </row>
    <row r="101" spans="1:13" ht="17.5" x14ac:dyDescent="0.3">
      <c r="A101" s="165">
        <v>11</v>
      </c>
      <c r="B101" s="165">
        <v>1421</v>
      </c>
      <c r="C101" s="165" t="s">
        <v>181</v>
      </c>
      <c r="D101" s="165">
        <v>16770</v>
      </c>
      <c r="E101" s="166">
        <v>46127.681122685186</v>
      </c>
      <c r="F101" s="165">
        <v>4385</v>
      </c>
      <c r="G101" s="166">
        <v>46127.770057870373</v>
      </c>
      <c r="H101" s="165">
        <v>12385</v>
      </c>
      <c r="I101" s="165" t="s">
        <v>219</v>
      </c>
      <c r="J101" s="165" t="s">
        <v>179</v>
      </c>
      <c r="K101" s="165" t="s">
        <v>90</v>
      </c>
      <c r="L101" s="165" t="s">
        <v>115</v>
      </c>
      <c r="M101" s="165" t="s">
        <v>116</v>
      </c>
    </row>
    <row r="102" spans="1:13" ht="35" x14ac:dyDescent="0.3">
      <c r="A102" s="165">
        <v>12</v>
      </c>
      <c r="B102" s="165">
        <v>1422</v>
      </c>
      <c r="C102" s="165" t="s">
        <v>223</v>
      </c>
      <c r="D102" s="165">
        <v>9135</v>
      </c>
      <c r="E102" s="166">
        <v>46127.719594907408</v>
      </c>
      <c r="F102" s="165">
        <v>4230</v>
      </c>
      <c r="G102" s="166">
        <v>46127.798437500001</v>
      </c>
      <c r="H102" s="165">
        <v>4905</v>
      </c>
      <c r="I102" s="165" t="s">
        <v>199</v>
      </c>
      <c r="J102" s="165" t="s">
        <v>221</v>
      </c>
      <c r="K102" s="165" t="s">
        <v>90</v>
      </c>
      <c r="L102" s="165" t="s">
        <v>115</v>
      </c>
      <c r="M102" s="165" t="s">
        <v>116</v>
      </c>
    </row>
    <row r="103" spans="1:13" ht="17.5" x14ac:dyDescent="0.3">
      <c r="A103" s="165">
        <v>13</v>
      </c>
      <c r="B103" s="165">
        <v>1423</v>
      </c>
      <c r="C103" s="165" t="s">
        <v>178</v>
      </c>
      <c r="D103" s="165">
        <v>17880</v>
      </c>
      <c r="E103" s="166">
        <v>46127.756701388891</v>
      </c>
      <c r="F103" s="165">
        <v>7090</v>
      </c>
      <c r="G103" s="166">
        <v>46127.796134259261</v>
      </c>
      <c r="H103" s="165">
        <v>10790</v>
      </c>
      <c r="I103" s="165" t="s">
        <v>231</v>
      </c>
      <c r="J103" s="165" t="s">
        <v>179</v>
      </c>
      <c r="K103" s="165" t="s">
        <v>90</v>
      </c>
      <c r="L103" s="165" t="s">
        <v>115</v>
      </c>
      <c r="M103" s="165" t="s">
        <v>116</v>
      </c>
    </row>
    <row r="104" spans="1:13" ht="17.5" x14ac:dyDescent="0.3">
      <c r="A104" s="165">
        <v>14</v>
      </c>
      <c r="B104" s="165">
        <v>1424</v>
      </c>
      <c r="C104" s="165" t="s">
        <v>178</v>
      </c>
      <c r="D104" s="165">
        <v>7090</v>
      </c>
      <c r="E104" s="166">
        <v>46127.796550925923</v>
      </c>
      <c r="F104" s="165">
        <v>4690</v>
      </c>
      <c r="G104" s="166">
        <v>46127.809791666667</v>
      </c>
      <c r="H104" s="165">
        <v>2400</v>
      </c>
      <c r="I104" s="165" t="s">
        <v>219</v>
      </c>
      <c r="J104" s="165" t="s">
        <v>179</v>
      </c>
      <c r="K104" s="165" t="s">
        <v>90</v>
      </c>
      <c r="L104" s="165" t="s">
        <v>115</v>
      </c>
      <c r="M104" s="165" t="s">
        <v>116</v>
      </c>
    </row>
    <row r="105" spans="1:13" ht="35" x14ac:dyDescent="0.3">
      <c r="A105" s="165">
        <v>15</v>
      </c>
      <c r="B105" s="165">
        <v>1425</v>
      </c>
      <c r="C105" s="165" t="s">
        <v>223</v>
      </c>
      <c r="D105" s="165">
        <v>8380</v>
      </c>
      <c r="E105" s="166">
        <v>46127.803229166668</v>
      </c>
      <c r="F105" s="165">
        <v>4155</v>
      </c>
      <c r="G105" s="166">
        <v>46127.818171296298</v>
      </c>
      <c r="H105" s="165">
        <v>4225</v>
      </c>
      <c r="I105" s="165" t="s">
        <v>199</v>
      </c>
      <c r="J105" s="165" t="s">
        <v>221</v>
      </c>
      <c r="K105" s="165" t="s">
        <v>90</v>
      </c>
      <c r="L105" s="165" t="s">
        <v>115</v>
      </c>
      <c r="M105" s="165" t="s">
        <v>116</v>
      </c>
    </row>
    <row r="106" spans="1:13" ht="35" x14ac:dyDescent="0.3">
      <c r="A106" s="165">
        <v>16</v>
      </c>
      <c r="B106" s="165">
        <v>1426</v>
      </c>
      <c r="C106" s="165" t="s">
        <v>230</v>
      </c>
      <c r="D106" s="165">
        <v>6140</v>
      </c>
      <c r="E106" s="166">
        <v>46127.811666666668</v>
      </c>
      <c r="F106" s="165">
        <v>4095</v>
      </c>
      <c r="G106" s="166">
        <v>46127.832546296297</v>
      </c>
      <c r="H106" s="165">
        <v>2045</v>
      </c>
      <c r="I106" s="165" t="s">
        <v>199</v>
      </c>
      <c r="J106" s="165" t="s">
        <v>221</v>
      </c>
      <c r="K106" s="165" t="s">
        <v>90</v>
      </c>
      <c r="L106" s="165" t="s">
        <v>115</v>
      </c>
      <c r="M106" s="165" t="s">
        <v>116</v>
      </c>
    </row>
    <row r="107" spans="1:13" ht="35" x14ac:dyDescent="0.3">
      <c r="A107" s="165">
        <v>1</v>
      </c>
      <c r="B107" s="165">
        <v>1427</v>
      </c>
      <c r="C107" s="165" t="s">
        <v>232</v>
      </c>
      <c r="D107" s="165">
        <v>8600</v>
      </c>
      <c r="E107" s="166">
        <v>46128.505381944444</v>
      </c>
      <c r="F107" s="165">
        <v>4225</v>
      </c>
      <c r="G107" s="166">
        <v>46128.567453703705</v>
      </c>
      <c r="H107" s="165">
        <v>4375</v>
      </c>
      <c r="I107" s="165" t="s">
        <v>199</v>
      </c>
      <c r="J107" s="165" t="s">
        <v>191</v>
      </c>
      <c r="K107" s="165" t="s">
        <v>90</v>
      </c>
      <c r="L107" s="165" t="s">
        <v>115</v>
      </c>
      <c r="M107" s="165" t="s">
        <v>117</v>
      </c>
    </row>
    <row r="108" spans="1:13" ht="35" x14ac:dyDescent="0.3">
      <c r="A108" s="165">
        <v>2</v>
      </c>
      <c r="B108" s="165">
        <v>1428</v>
      </c>
      <c r="C108" s="165" t="s">
        <v>233</v>
      </c>
      <c r="D108" s="165">
        <v>7490</v>
      </c>
      <c r="E108" s="166">
        <v>46128.507060185184</v>
      </c>
      <c r="F108" s="165">
        <v>3830</v>
      </c>
      <c r="G108" s="166">
        <v>46128.55537037037</v>
      </c>
      <c r="H108" s="165">
        <v>3660</v>
      </c>
      <c r="I108" s="165" t="s">
        <v>199</v>
      </c>
      <c r="J108" s="165" t="s">
        <v>191</v>
      </c>
      <c r="K108" s="165" t="s">
        <v>90</v>
      </c>
      <c r="L108" s="165" t="s">
        <v>115</v>
      </c>
      <c r="M108" s="165" t="s">
        <v>117</v>
      </c>
    </row>
    <row r="109" spans="1:13" ht="35" x14ac:dyDescent="0.3">
      <c r="A109" s="165">
        <v>3</v>
      </c>
      <c r="B109" s="165">
        <v>1429</v>
      </c>
      <c r="C109" s="165" t="s">
        <v>234</v>
      </c>
      <c r="D109" s="165">
        <v>16945</v>
      </c>
      <c r="E109" s="166">
        <v>46128.568842592591</v>
      </c>
      <c r="F109" s="165">
        <v>5040</v>
      </c>
      <c r="G109" s="166">
        <v>46128.647048611114</v>
      </c>
      <c r="H109" s="165">
        <v>11905</v>
      </c>
      <c r="I109" s="165" t="s">
        <v>199</v>
      </c>
      <c r="J109" s="165" t="s">
        <v>191</v>
      </c>
      <c r="K109" s="165" t="s">
        <v>90</v>
      </c>
      <c r="L109" s="165" t="s">
        <v>115</v>
      </c>
      <c r="M109" s="165" t="s">
        <v>116</v>
      </c>
    </row>
    <row r="110" spans="1:13" ht="35" x14ac:dyDescent="0.3">
      <c r="A110" s="165">
        <v>4</v>
      </c>
      <c r="B110" s="165">
        <v>1430</v>
      </c>
      <c r="C110" s="165" t="s">
        <v>189</v>
      </c>
      <c r="D110" s="165">
        <v>16625</v>
      </c>
      <c r="E110" s="166">
        <v>46128.648217592592</v>
      </c>
      <c r="F110" s="165">
        <v>4335</v>
      </c>
      <c r="G110" s="166">
        <v>46128.735543981478</v>
      </c>
      <c r="H110" s="165">
        <v>12290</v>
      </c>
      <c r="I110" s="165" t="s">
        <v>199</v>
      </c>
      <c r="J110" s="165" t="s">
        <v>191</v>
      </c>
      <c r="K110" s="165" t="s">
        <v>90</v>
      </c>
      <c r="L110" s="165" t="s">
        <v>115</v>
      </c>
      <c r="M110" s="165" t="s">
        <v>116</v>
      </c>
    </row>
    <row r="111" spans="1:13" ht="35" x14ac:dyDescent="0.3">
      <c r="A111" s="165">
        <v>5</v>
      </c>
      <c r="B111" s="165">
        <v>1431</v>
      </c>
      <c r="C111" s="165" t="s">
        <v>235</v>
      </c>
      <c r="D111" s="165">
        <v>10520</v>
      </c>
      <c r="E111" s="166">
        <v>46128.701550925929</v>
      </c>
      <c r="F111" s="165">
        <v>4540</v>
      </c>
      <c r="G111" s="166">
        <v>46128.767939814818</v>
      </c>
      <c r="H111" s="165">
        <v>5980</v>
      </c>
      <c r="I111" s="165" t="s">
        <v>199</v>
      </c>
      <c r="J111" s="165" t="s">
        <v>191</v>
      </c>
      <c r="K111" s="165" t="s">
        <v>90</v>
      </c>
      <c r="L111" s="165" t="s">
        <v>115</v>
      </c>
      <c r="M111" s="165" t="s">
        <v>116</v>
      </c>
    </row>
    <row r="112" spans="1:13" ht="17.5" x14ac:dyDescent="0.3">
      <c r="A112" s="165">
        <v>6</v>
      </c>
      <c r="B112" s="165">
        <v>1432</v>
      </c>
      <c r="C112" s="165" t="s">
        <v>181</v>
      </c>
      <c r="D112" s="165">
        <v>17170</v>
      </c>
      <c r="E112" s="166">
        <v>46128.72865740741</v>
      </c>
      <c r="F112" s="165">
        <v>4390</v>
      </c>
      <c r="G112" s="166">
        <v>46128.809756944444</v>
      </c>
      <c r="H112" s="165">
        <v>12780</v>
      </c>
      <c r="I112" s="165" t="s">
        <v>231</v>
      </c>
      <c r="J112" s="165" t="s">
        <v>179</v>
      </c>
      <c r="K112" s="165" t="s">
        <v>90</v>
      </c>
      <c r="L112" s="165" t="s">
        <v>115</v>
      </c>
      <c r="M112" s="165" t="s">
        <v>116</v>
      </c>
    </row>
    <row r="113" spans="1:13" ht="17.5" x14ac:dyDescent="0.3">
      <c r="A113" s="165">
        <v>7</v>
      </c>
      <c r="B113" s="165">
        <v>1433</v>
      </c>
      <c r="C113" s="165" t="s">
        <v>178</v>
      </c>
      <c r="D113" s="165">
        <v>18020</v>
      </c>
      <c r="E113" s="166">
        <v>46128.816250000003</v>
      </c>
      <c r="F113" s="165">
        <v>4880</v>
      </c>
      <c r="G113" s="166">
        <v>46128.854803240742</v>
      </c>
      <c r="H113" s="165">
        <v>13140</v>
      </c>
      <c r="I113" s="165" t="s">
        <v>231</v>
      </c>
      <c r="J113" s="165" t="s">
        <v>179</v>
      </c>
      <c r="K113" s="165" t="s">
        <v>90</v>
      </c>
      <c r="L113" s="165" t="s">
        <v>115</v>
      </c>
      <c r="M113" s="165" t="s">
        <v>116</v>
      </c>
    </row>
    <row r="114" spans="1:13" ht="35" x14ac:dyDescent="0.3">
      <c r="A114" s="165">
        <v>2</v>
      </c>
      <c r="B114" s="165">
        <v>1435</v>
      </c>
      <c r="C114" s="165" t="s">
        <v>234</v>
      </c>
      <c r="D114" s="165">
        <v>16615</v>
      </c>
      <c r="E114" s="166">
        <v>46129.50199074074</v>
      </c>
      <c r="F114" s="165">
        <v>5035</v>
      </c>
      <c r="G114" s="166">
        <v>46129.611226851855</v>
      </c>
      <c r="H114" s="165">
        <v>11580</v>
      </c>
      <c r="I114" s="165" t="s">
        <v>199</v>
      </c>
      <c r="J114" s="165" t="s">
        <v>191</v>
      </c>
      <c r="K114" s="165" t="s">
        <v>90</v>
      </c>
      <c r="L114" s="165" t="s">
        <v>115</v>
      </c>
      <c r="M114" s="165" t="s">
        <v>116</v>
      </c>
    </row>
    <row r="115" spans="1:13" ht="35" x14ac:dyDescent="0.3">
      <c r="A115" s="165">
        <v>3</v>
      </c>
      <c r="B115" s="165">
        <v>1436</v>
      </c>
      <c r="C115" s="165" t="s">
        <v>236</v>
      </c>
      <c r="D115" s="165">
        <v>7965</v>
      </c>
      <c r="E115" s="166">
        <v>46129.585046296299</v>
      </c>
      <c r="F115" s="165">
        <v>3835</v>
      </c>
      <c r="G115" s="166">
        <v>46129.632581018515</v>
      </c>
      <c r="H115" s="165">
        <v>4130</v>
      </c>
      <c r="I115" s="165" t="s">
        <v>199</v>
      </c>
      <c r="J115" s="165" t="s">
        <v>191</v>
      </c>
      <c r="K115" s="165" t="s">
        <v>90</v>
      </c>
      <c r="L115" s="165" t="s">
        <v>115</v>
      </c>
      <c r="M115" s="165" t="s">
        <v>116</v>
      </c>
    </row>
    <row r="116" spans="1:13" ht="35" x14ac:dyDescent="0.3">
      <c r="A116" s="165">
        <v>4</v>
      </c>
      <c r="B116" s="165">
        <v>1437</v>
      </c>
      <c r="C116" s="165" t="s">
        <v>181</v>
      </c>
      <c r="D116" s="165">
        <v>15930</v>
      </c>
      <c r="E116" s="166">
        <v>46129.598692129628</v>
      </c>
      <c r="F116" s="165">
        <v>4390</v>
      </c>
      <c r="G116" s="166">
        <v>46129.742106481484</v>
      </c>
      <c r="H116" s="165">
        <v>11540</v>
      </c>
      <c r="I116" s="165" t="s">
        <v>199</v>
      </c>
      <c r="J116" s="165" t="s">
        <v>237</v>
      </c>
      <c r="K116" s="165" t="s">
        <v>90</v>
      </c>
      <c r="L116" s="165" t="s">
        <v>115</v>
      </c>
      <c r="M116" s="165" t="s">
        <v>116</v>
      </c>
    </row>
    <row r="117" spans="1:13" ht="35" x14ac:dyDescent="0.3">
      <c r="A117" s="165">
        <v>5</v>
      </c>
      <c r="B117" s="165">
        <v>1438</v>
      </c>
      <c r="C117" s="165" t="s">
        <v>178</v>
      </c>
      <c r="D117" s="165">
        <v>16675</v>
      </c>
      <c r="E117" s="166">
        <v>46129.599722222221</v>
      </c>
      <c r="F117" s="165">
        <v>4660</v>
      </c>
      <c r="G117" s="166">
        <v>46129.776678240742</v>
      </c>
      <c r="H117" s="165">
        <v>12015</v>
      </c>
      <c r="I117" s="165" t="s">
        <v>199</v>
      </c>
      <c r="J117" s="165" t="s">
        <v>237</v>
      </c>
      <c r="K117" s="165" t="s">
        <v>90</v>
      </c>
      <c r="L117" s="165" t="s">
        <v>115</v>
      </c>
      <c r="M117" s="165" t="s">
        <v>116</v>
      </c>
    </row>
    <row r="118" spans="1:13" ht="35" x14ac:dyDescent="0.3">
      <c r="A118" s="165">
        <v>6</v>
      </c>
      <c r="B118" s="165">
        <v>1439</v>
      </c>
      <c r="C118" s="165" t="s">
        <v>232</v>
      </c>
      <c r="D118" s="165">
        <v>8380</v>
      </c>
      <c r="E118" s="166">
        <v>46129.633981481478</v>
      </c>
      <c r="F118" s="165">
        <v>4230</v>
      </c>
      <c r="G118" s="166">
        <v>46129.652569444443</v>
      </c>
      <c r="H118" s="165">
        <v>4150</v>
      </c>
      <c r="I118" s="165" t="s">
        <v>199</v>
      </c>
      <c r="J118" s="165" t="s">
        <v>191</v>
      </c>
      <c r="K118" s="165" t="s">
        <v>90</v>
      </c>
      <c r="L118" s="165" t="s">
        <v>115</v>
      </c>
      <c r="M118" s="165" t="s">
        <v>116</v>
      </c>
    </row>
    <row r="119" spans="1:13" ht="35" x14ac:dyDescent="0.3">
      <c r="A119" s="165">
        <v>3</v>
      </c>
      <c r="B119" s="165">
        <v>1442</v>
      </c>
      <c r="C119" s="165" t="s">
        <v>178</v>
      </c>
      <c r="D119" s="165">
        <v>15290</v>
      </c>
      <c r="E119" s="166">
        <v>46130.486145833333</v>
      </c>
      <c r="F119" s="165">
        <v>4645</v>
      </c>
      <c r="G119" s="166">
        <v>46130.527465277781</v>
      </c>
      <c r="H119" s="165">
        <v>10645</v>
      </c>
      <c r="I119" s="165" t="s">
        <v>199</v>
      </c>
      <c r="J119" s="165" t="s">
        <v>237</v>
      </c>
      <c r="K119" s="165" t="s">
        <v>90</v>
      </c>
      <c r="L119" s="165" t="s">
        <v>115</v>
      </c>
      <c r="M119" s="165" t="s">
        <v>117</v>
      </c>
    </row>
    <row r="120" spans="1:13" ht="35" x14ac:dyDescent="0.3">
      <c r="A120" s="165">
        <v>4</v>
      </c>
      <c r="B120" s="165">
        <v>1443</v>
      </c>
      <c r="C120" s="165" t="s">
        <v>178</v>
      </c>
      <c r="D120" s="165">
        <v>17925</v>
      </c>
      <c r="E120" s="166">
        <v>46130.731805555559</v>
      </c>
      <c r="F120" s="165">
        <v>4695</v>
      </c>
      <c r="G120" s="166">
        <v>46130.77853009259</v>
      </c>
      <c r="H120" s="165">
        <v>13230</v>
      </c>
      <c r="I120" s="165" t="s">
        <v>239</v>
      </c>
      <c r="J120" s="165" t="s">
        <v>183</v>
      </c>
      <c r="K120" s="165" t="s">
        <v>90</v>
      </c>
      <c r="L120" s="165" t="s">
        <v>115</v>
      </c>
      <c r="M120" s="165" t="s">
        <v>116</v>
      </c>
    </row>
    <row r="121" spans="1:13" ht="35" x14ac:dyDescent="0.3">
      <c r="A121" s="165">
        <v>1</v>
      </c>
      <c r="B121" s="165">
        <v>1444</v>
      </c>
      <c r="C121" s="165" t="s">
        <v>240</v>
      </c>
      <c r="D121" s="165">
        <v>19525</v>
      </c>
      <c r="E121" s="166">
        <v>46131.462245370371</v>
      </c>
      <c r="F121" s="165">
        <v>4660</v>
      </c>
      <c r="G121" s="166">
        <v>46131.526574074072</v>
      </c>
      <c r="H121" s="165">
        <v>14865</v>
      </c>
      <c r="I121" s="165" t="s">
        <v>199</v>
      </c>
      <c r="J121" s="165" t="s">
        <v>241</v>
      </c>
      <c r="K121" s="165" t="s">
        <v>90</v>
      </c>
      <c r="L121" s="165" t="s">
        <v>115</v>
      </c>
      <c r="M121" s="165" t="s">
        <v>117</v>
      </c>
    </row>
    <row r="122" spans="1:13" ht="35" x14ac:dyDescent="0.3">
      <c r="A122" s="165">
        <v>2</v>
      </c>
      <c r="B122" s="165">
        <v>1445</v>
      </c>
      <c r="C122" s="165" t="s">
        <v>242</v>
      </c>
      <c r="D122" s="165">
        <v>26915</v>
      </c>
      <c r="E122" s="166">
        <v>46131.574363425927</v>
      </c>
      <c r="F122" s="165">
        <v>5725</v>
      </c>
      <c r="G122" s="166">
        <v>46131.700069444443</v>
      </c>
      <c r="H122" s="165">
        <v>21190</v>
      </c>
      <c r="I122" s="165" t="s">
        <v>199</v>
      </c>
      <c r="J122" s="165" t="s">
        <v>241</v>
      </c>
      <c r="K122" s="165" t="s">
        <v>90</v>
      </c>
      <c r="L122" s="165" t="s">
        <v>115</v>
      </c>
      <c r="M122" s="165" t="s">
        <v>116</v>
      </c>
    </row>
    <row r="123" spans="1:13" ht="35" x14ac:dyDescent="0.3">
      <c r="A123" s="165">
        <v>1</v>
      </c>
      <c r="B123" s="165">
        <v>1446</v>
      </c>
      <c r="C123" s="165" t="s">
        <v>240</v>
      </c>
      <c r="D123" s="165">
        <v>20155</v>
      </c>
      <c r="E123" s="166">
        <v>46132.445277777777</v>
      </c>
      <c r="F123" s="165">
        <v>4655</v>
      </c>
      <c r="G123" s="166">
        <v>46132.610983796294</v>
      </c>
      <c r="H123" s="165">
        <v>15500</v>
      </c>
      <c r="I123" s="165" t="s">
        <v>199</v>
      </c>
      <c r="J123" s="165" t="s">
        <v>241</v>
      </c>
      <c r="K123" s="165" t="s">
        <v>90</v>
      </c>
      <c r="L123" s="165" t="s">
        <v>115</v>
      </c>
      <c r="M123" s="165" t="s">
        <v>116</v>
      </c>
    </row>
    <row r="124" spans="1:13" ht="35" x14ac:dyDescent="0.3">
      <c r="A124" s="165">
        <v>2</v>
      </c>
      <c r="B124" s="165">
        <v>1447</v>
      </c>
      <c r="C124" s="165" t="s">
        <v>242</v>
      </c>
      <c r="D124" s="165">
        <v>17210</v>
      </c>
      <c r="E124" s="166">
        <v>46132.612673611111</v>
      </c>
      <c r="F124" s="165">
        <v>5685</v>
      </c>
      <c r="G124" s="166">
        <v>46132.681932870371</v>
      </c>
      <c r="H124" s="165">
        <v>11525</v>
      </c>
      <c r="I124" s="165" t="s">
        <v>199</v>
      </c>
      <c r="J124" s="165" t="s">
        <v>241</v>
      </c>
      <c r="K124" s="165" t="s">
        <v>90</v>
      </c>
      <c r="L124" s="165" t="s">
        <v>115</v>
      </c>
      <c r="M124" s="165" t="s">
        <v>116</v>
      </c>
    </row>
    <row r="125" spans="1:13" ht="35" x14ac:dyDescent="0.3">
      <c r="A125" s="165">
        <v>3</v>
      </c>
      <c r="B125" s="165">
        <v>1448</v>
      </c>
      <c r="C125" s="165" t="s">
        <v>243</v>
      </c>
      <c r="D125" s="165">
        <v>9195</v>
      </c>
      <c r="E125" s="166">
        <v>46132.744618055556</v>
      </c>
      <c r="F125" s="165">
        <v>4085</v>
      </c>
      <c r="G125" s="166">
        <v>46132.788124999999</v>
      </c>
      <c r="H125" s="165">
        <v>5110</v>
      </c>
      <c r="I125" s="165" t="s">
        <v>199</v>
      </c>
      <c r="J125" s="165" t="s">
        <v>244</v>
      </c>
      <c r="K125" s="165" t="s">
        <v>90</v>
      </c>
      <c r="L125" s="165" t="s">
        <v>115</v>
      </c>
      <c r="M125" s="165" t="s">
        <v>116</v>
      </c>
    </row>
    <row r="126" spans="1:13" ht="35" x14ac:dyDescent="0.3">
      <c r="A126" s="165">
        <v>4</v>
      </c>
      <c r="B126" s="165">
        <v>1449</v>
      </c>
      <c r="C126" s="165" t="s">
        <v>245</v>
      </c>
      <c r="D126" s="165">
        <v>9145</v>
      </c>
      <c r="E126" s="166">
        <v>46132.769814814812</v>
      </c>
      <c r="F126" s="165">
        <v>3990</v>
      </c>
      <c r="G126" s="166">
        <v>46132.80296296296</v>
      </c>
      <c r="H126" s="165">
        <v>5155</v>
      </c>
      <c r="I126" s="165" t="s">
        <v>199</v>
      </c>
      <c r="J126" s="165" t="s">
        <v>244</v>
      </c>
      <c r="K126" s="165" t="s">
        <v>90</v>
      </c>
      <c r="L126" s="165" t="s">
        <v>115</v>
      </c>
      <c r="M126" s="165" t="s">
        <v>116</v>
      </c>
    </row>
    <row r="386" spans="14:14" x14ac:dyDescent="0.3">
      <c r="N386" s="114"/>
    </row>
    <row r="422" spans="14:14" x14ac:dyDescent="0.3">
      <c r="N422" s="118"/>
    </row>
    <row r="485" spans="15:15" x14ac:dyDescent="0.3">
      <c r="O485">
        <f>105.85</f>
        <v>105.85</v>
      </c>
    </row>
    <row r="486" spans="15:15" x14ac:dyDescent="0.3">
      <c r="O486">
        <f>O485*13</f>
        <v>1376.05</v>
      </c>
    </row>
  </sheetData>
  <autoFilter ref="A3:O115" xr:uid="{00000000-0009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F600"/>
  <sheetViews>
    <sheetView showGridLines="0" topLeftCell="F68" zoomScale="91" zoomScaleNormal="95" workbookViewId="0">
      <selection activeCell="H66" sqref="H66:H69"/>
    </sheetView>
  </sheetViews>
  <sheetFormatPr defaultColWidth="12.58203125" defaultRowHeight="15" customHeight="1" x14ac:dyDescent="0.3"/>
  <cols>
    <col min="1" max="1" width="4.25" customWidth="1"/>
    <col min="2" max="2" width="8.5" customWidth="1"/>
    <col min="3" max="3" width="2.25" customWidth="1"/>
    <col min="4" max="4" width="3.58203125" customWidth="1"/>
    <col min="5" max="5" width="17.33203125" style="91" bestFit="1" customWidth="1"/>
    <col min="6" max="6" width="2.33203125" customWidth="1"/>
    <col min="7" max="7" width="2.75" customWidth="1"/>
    <col min="8" max="9" width="15.08203125" customWidth="1"/>
    <col min="10" max="10" width="37.83203125" bestFit="1" customWidth="1"/>
    <col min="11" max="11" width="6.75" customWidth="1"/>
    <col min="12" max="12" width="6" customWidth="1"/>
    <col min="13" max="13" width="8.33203125" customWidth="1"/>
    <col min="14" max="14" width="8.5" customWidth="1"/>
    <col min="15" max="15" width="7.08203125" customWidth="1"/>
    <col min="16" max="16" width="10" customWidth="1"/>
    <col min="17" max="17" width="10.75" hidden="1" customWidth="1"/>
    <col min="18" max="18" width="13.83203125" hidden="1" customWidth="1"/>
    <col min="19" max="19" width="11.5" hidden="1" customWidth="1"/>
    <col min="20" max="20" width="6.5" customWidth="1"/>
    <col min="21" max="22" width="13.75" customWidth="1"/>
    <col min="23" max="23" width="8.25" customWidth="1"/>
    <col min="24" max="24" width="11.5" style="91" customWidth="1"/>
    <col min="25" max="25" width="16.75" customWidth="1"/>
    <col min="26" max="26" width="34.25" customWidth="1"/>
    <col min="27" max="27" width="10.83203125" customWidth="1"/>
    <col min="28" max="28" width="14.08203125" customWidth="1"/>
    <col min="29" max="29" width="13.83203125" customWidth="1"/>
    <col min="30" max="30" width="16.33203125" customWidth="1"/>
    <col min="31" max="31" width="17.33203125" customWidth="1"/>
    <col min="32" max="32" width="14.5" customWidth="1"/>
    <col min="33" max="33" width="11.83203125" customWidth="1"/>
    <col min="34" max="34" width="9.58203125" customWidth="1"/>
    <col min="35" max="35" width="13.75" customWidth="1"/>
    <col min="36" max="36" width="15.58203125" customWidth="1"/>
    <col min="37" max="37" width="13.25" customWidth="1"/>
    <col min="38" max="38" width="12.83203125" customWidth="1"/>
    <col min="39" max="39" width="9.33203125" customWidth="1"/>
    <col min="40" max="40" width="16.33203125" customWidth="1"/>
    <col min="41" max="41" width="10.58203125" customWidth="1"/>
    <col min="42" max="42" width="15.25" customWidth="1"/>
    <col min="43" max="43" width="17.75" customWidth="1"/>
    <col min="44" max="44" width="14.5" customWidth="1"/>
    <col min="45" max="45" width="16.75" customWidth="1"/>
    <col min="46" max="46" width="15.58203125" customWidth="1"/>
    <col min="47" max="47" width="14.83203125" customWidth="1"/>
    <col min="48" max="48" width="11.33203125" customWidth="1"/>
    <col min="49" max="49" width="14.58203125" customWidth="1"/>
    <col min="50" max="50" width="13.08203125" customWidth="1"/>
    <col min="51" max="51" width="11.58203125" customWidth="1"/>
    <col min="52" max="52" width="14.75" customWidth="1"/>
  </cols>
  <sheetData>
    <row r="1" spans="1:58" ht="14.5" hidden="1" x14ac:dyDescent="0.3">
      <c r="A1" s="1"/>
      <c r="B1" s="1"/>
      <c r="C1" s="2"/>
      <c r="D1" s="2"/>
      <c r="E1" s="1"/>
      <c r="F1" s="2"/>
      <c r="G1" s="3"/>
      <c r="H1" s="3"/>
      <c r="I1" s="4"/>
      <c r="J1" s="4"/>
      <c r="K1" s="83">
        <f>SUM(K4:K590)</f>
        <v>5356</v>
      </c>
      <c r="L1" s="4"/>
      <c r="M1" s="83">
        <f>SUM(M4:M590)</f>
        <v>3079</v>
      </c>
      <c r="N1" s="83">
        <f>SUM(N4:N590)</f>
        <v>9348.409999999998</v>
      </c>
      <c r="O1" s="5"/>
      <c r="P1" s="83">
        <f>SUM(P4:P590)</f>
        <v>9316.5000000000018</v>
      </c>
      <c r="Q1" s="5"/>
      <c r="R1" s="5"/>
      <c r="S1" s="5"/>
      <c r="T1" s="6"/>
      <c r="U1" s="6"/>
      <c r="V1" s="5"/>
      <c r="W1" s="5"/>
      <c r="X1" s="5"/>
      <c r="Y1" s="7"/>
      <c r="Z1" s="1"/>
      <c r="AA1" s="1"/>
      <c r="AB1" s="1"/>
      <c r="AC1" s="8"/>
      <c r="AD1" s="8"/>
      <c r="AE1" s="8"/>
      <c r="AF1" s="8"/>
      <c r="AG1" s="8"/>
      <c r="AH1" s="8"/>
      <c r="AI1" s="8"/>
      <c r="AJ1" s="8"/>
      <c r="AK1" s="8"/>
      <c r="AL1" s="9"/>
      <c r="AM1" s="8"/>
      <c r="AN1" s="9"/>
      <c r="AO1" s="10"/>
    </row>
    <row r="2" spans="1:58" ht="14.5" x14ac:dyDescent="0.3">
      <c r="A2" s="1"/>
      <c r="B2" s="1"/>
      <c r="C2" s="2"/>
      <c r="D2" s="4"/>
      <c r="E2" s="1"/>
      <c r="F2" s="4"/>
      <c r="G2" s="4"/>
      <c r="H2" s="4">
        <f>SUBTOTAL(9,H4:H10104)/100</f>
        <v>466.25</v>
      </c>
      <c r="I2" s="4"/>
      <c r="J2" s="4"/>
      <c r="K2" s="3">
        <f>SUBTOTAL(9,K4:K10104)</f>
        <v>0</v>
      </c>
      <c r="L2" s="4"/>
      <c r="M2" s="4">
        <f>SUBTOTAL(9,M4:M10104)/100</f>
        <v>0</v>
      </c>
      <c r="N2" s="4">
        <f>SUBTOTAL(9,N4:N10104)</f>
        <v>466.25</v>
      </c>
      <c r="O2" s="4">
        <f>SUBTOTAL(9,O4:O10104)</f>
        <v>1.58</v>
      </c>
      <c r="P2" s="4">
        <f>SUBTOTAL(9,P4:P10104)</f>
        <v>464.67</v>
      </c>
      <c r="Q2" s="4"/>
      <c r="R2" s="4"/>
      <c r="S2" s="5"/>
      <c r="T2" s="6"/>
      <c r="U2" s="167">
        <f>SUBTOTAL(9,U4:U10104)</f>
        <v>0</v>
      </c>
      <c r="V2" s="167">
        <f>SUBTOTAL(9,V4:V10104)</f>
        <v>0</v>
      </c>
      <c r="W2" s="5"/>
      <c r="X2" s="5"/>
      <c r="Y2" s="7"/>
      <c r="Z2" s="1"/>
      <c r="AA2" s="1"/>
      <c r="AB2" s="8">
        <f>SUBTOTAL(9,AB4:AB1089)</f>
        <v>466.25</v>
      </c>
      <c r="AC2" s="8">
        <f>SUBTOTAL(9,AC4:AC1089)</f>
        <v>774</v>
      </c>
      <c r="AD2" s="8"/>
      <c r="AE2" s="8">
        <f>SUBTOTAL(9,AE4:AE11089)</f>
        <v>425.7</v>
      </c>
      <c r="AF2" s="8">
        <f>SUBTOTAL(9,AF4:AF1089)</f>
        <v>0</v>
      </c>
      <c r="AG2" s="8">
        <f>SUBTOTAL(9,AG4:AG1089)</f>
        <v>425.7</v>
      </c>
      <c r="AH2" s="8">
        <f>SUBTOTAL(9,AH4:AH1089)</f>
        <v>39.67</v>
      </c>
      <c r="AI2" s="8">
        <f>SUBTOTAL(9,AI4:AI1089)</f>
        <v>11</v>
      </c>
      <c r="AJ2" s="116">
        <f>AVERAGE(AJ4:AJ591)</f>
        <v>10.140284037601461</v>
      </c>
      <c r="AK2" s="8">
        <f>SUBTOTAL(9,AK4:AK1089)</f>
        <v>465.37</v>
      </c>
      <c r="AL2" s="9"/>
      <c r="AM2" s="8">
        <f>SUBTOTAL(9,AM4:AM1089)</f>
        <v>-0.87999999999999545</v>
      </c>
      <c r="AN2" s="9"/>
      <c r="AO2" s="10"/>
      <c r="AP2" s="8">
        <f>SUBTOTAL(9,AP4:AP1089)</f>
        <v>0</v>
      </c>
      <c r="AS2" s="3">
        <f>SUBTOTAL(9,AS4:AS10104)</f>
        <v>0</v>
      </c>
      <c r="AU2" s="3">
        <f>SUBTOTAL(9,AU4:AU10104)</f>
        <v>0</v>
      </c>
      <c r="AV2" s="3">
        <f>SUBTOTAL(9,AV4:AV10104)</f>
        <v>0</v>
      </c>
      <c r="AW2" s="3">
        <f>SUBTOTAL(9,AW4:AW10104)</f>
        <v>0</v>
      </c>
      <c r="AX2" s="3">
        <f>SUBTOTAL(9,AX4:AX10104)</f>
        <v>0</v>
      </c>
      <c r="AY2" s="3"/>
      <c r="BD2" s="3">
        <f>SUBTOTAL(9,BD4:BD10104)</f>
        <v>0.88439999999999941</v>
      </c>
      <c r="BE2" s="3">
        <f>SUBTOTAL(9,BE4:BE10104)</f>
        <v>425.7</v>
      </c>
      <c r="BF2" s="3">
        <f>SUBTOTAL(9,BF4:BF10104)</f>
        <v>774</v>
      </c>
    </row>
    <row r="3" spans="1:58" ht="37.5" customHeight="1" x14ac:dyDescent="0.3">
      <c r="A3" s="11" t="s">
        <v>0</v>
      </c>
      <c r="B3" s="12" t="s">
        <v>1</v>
      </c>
      <c r="C3" s="13" t="s">
        <v>2</v>
      </c>
      <c r="D3" s="13" t="s">
        <v>3</v>
      </c>
      <c r="E3" s="12" t="s">
        <v>4</v>
      </c>
      <c r="F3" s="13" t="s">
        <v>5</v>
      </c>
      <c r="G3" s="12" t="s">
        <v>6</v>
      </c>
      <c r="H3" s="12" t="s">
        <v>7</v>
      </c>
      <c r="I3" s="12" t="s">
        <v>8</v>
      </c>
      <c r="J3" s="12" t="s">
        <v>9</v>
      </c>
      <c r="K3" s="12" t="s">
        <v>10</v>
      </c>
      <c r="L3" s="12" t="s">
        <v>11</v>
      </c>
      <c r="M3" s="14" t="s">
        <v>12</v>
      </c>
      <c r="N3" s="14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6" t="s">
        <v>19</v>
      </c>
      <c r="U3" s="17" t="s">
        <v>20</v>
      </c>
      <c r="V3" s="18" t="s">
        <v>21</v>
      </c>
      <c r="W3" s="18" t="s">
        <v>22</v>
      </c>
      <c r="X3" s="18" t="s">
        <v>23</v>
      </c>
      <c r="Y3" s="19" t="s">
        <v>24</v>
      </c>
      <c r="Z3" s="88" t="s">
        <v>25</v>
      </c>
      <c r="AA3" s="94" t="s">
        <v>26</v>
      </c>
      <c r="AB3" s="94" t="s">
        <v>27</v>
      </c>
      <c r="AC3" s="94" t="s">
        <v>28</v>
      </c>
      <c r="AD3" s="88" t="s">
        <v>29</v>
      </c>
      <c r="AE3" s="88" t="s">
        <v>30</v>
      </c>
      <c r="AF3" s="88" t="s">
        <v>31</v>
      </c>
      <c r="AG3" s="88" t="s">
        <v>81</v>
      </c>
      <c r="AH3" s="95" t="s">
        <v>32</v>
      </c>
      <c r="AI3" s="95" t="s">
        <v>33</v>
      </c>
      <c r="AJ3" s="95" t="s">
        <v>34</v>
      </c>
      <c r="AK3" s="95" t="s">
        <v>82</v>
      </c>
      <c r="AL3" s="95" t="s">
        <v>35</v>
      </c>
      <c r="AM3" s="95" t="s">
        <v>36</v>
      </c>
      <c r="AN3" s="20" t="s">
        <v>37</v>
      </c>
      <c r="AO3" s="96" t="s">
        <v>38</v>
      </c>
      <c r="AP3" s="21" t="s">
        <v>39</v>
      </c>
      <c r="AQ3" s="21" t="s">
        <v>40</v>
      </c>
      <c r="AR3" s="21" t="s">
        <v>41</v>
      </c>
      <c r="AS3" s="21" t="s">
        <v>42</v>
      </c>
      <c r="AT3" s="21" t="s">
        <v>43</v>
      </c>
      <c r="AU3" s="21" t="s">
        <v>44</v>
      </c>
      <c r="AV3" s="21" t="s">
        <v>45</v>
      </c>
      <c r="AW3" s="21" t="s">
        <v>46</v>
      </c>
      <c r="AX3" s="21" t="s">
        <v>47</v>
      </c>
      <c r="AY3" s="21" t="s">
        <v>48</v>
      </c>
      <c r="AZ3" s="21" t="s">
        <v>49</v>
      </c>
      <c r="BA3" s="21" t="s">
        <v>50</v>
      </c>
      <c r="BB3" s="21" t="s">
        <v>78</v>
      </c>
      <c r="BC3" s="21" t="s">
        <v>79</v>
      </c>
      <c r="BD3" s="21" t="s">
        <v>61</v>
      </c>
      <c r="BE3" s="21" t="s">
        <v>86</v>
      </c>
      <c r="BF3" s="110" t="s">
        <v>89</v>
      </c>
    </row>
    <row r="4" spans="1:58" ht="14.25" hidden="1" customHeight="1" x14ac:dyDescent="0.35">
      <c r="A4" s="22">
        <v>1</v>
      </c>
      <c r="B4" s="22">
        <v>1317</v>
      </c>
      <c r="C4" s="23" t="s">
        <v>124</v>
      </c>
      <c r="D4" s="23">
        <v>10135</v>
      </c>
      <c r="E4" s="24">
        <v>46106.480520833335</v>
      </c>
      <c r="F4" s="23">
        <v>4640</v>
      </c>
      <c r="G4" s="100">
        <v>46106.661493055559</v>
      </c>
      <c r="H4" s="101">
        <v>5495</v>
      </c>
      <c r="I4" s="102" t="s">
        <v>125</v>
      </c>
      <c r="J4" s="102" t="s">
        <v>126</v>
      </c>
      <c r="K4" s="102">
        <v>0</v>
      </c>
      <c r="L4" s="22">
        <v>0</v>
      </c>
      <c r="M4" s="25">
        <f t="shared" ref="M4:M9" si="0">ROUNDUP((K4*L4),0)</f>
        <v>0</v>
      </c>
      <c r="N4" s="25">
        <f t="shared" ref="N4:N67" si="1">(H4-M4)/100</f>
        <v>54.95</v>
      </c>
      <c r="O4" s="25">
        <f t="shared" ref="O4:O67" si="2">ROUNDUP((H4/90)*0.003,2)</f>
        <v>0.19</v>
      </c>
      <c r="P4" s="25">
        <f t="shared" ref="P4:P67" si="3">(N4)-O4</f>
        <v>54.760000000000005</v>
      </c>
      <c r="Q4" s="22"/>
      <c r="R4" s="22"/>
      <c r="S4" s="22"/>
      <c r="T4" s="168"/>
      <c r="U4" s="171">
        <f t="shared" ref="U4:U67" si="4">T4*P4</f>
        <v>0</v>
      </c>
      <c r="V4" s="169"/>
      <c r="W4" s="28"/>
      <c r="X4" s="25" t="str">
        <f>+IF(AND('GRADING PACKING'!L$5=INWARDDATA!J4,'GRADING PACKING'!L$6=INWARDDATA!I4,AB4=0),"TRUE","FALSE")</f>
        <v>FALSE</v>
      </c>
      <c r="Y4" s="29">
        <v>46108</v>
      </c>
      <c r="Z4" s="102" t="s">
        <v>126</v>
      </c>
      <c r="AA4" s="102" t="s">
        <v>125</v>
      </c>
      <c r="AB4" s="30">
        <v>468.8</v>
      </c>
      <c r="AC4" s="102">
        <v>743</v>
      </c>
      <c r="AD4" s="30">
        <v>55</v>
      </c>
      <c r="AE4" s="30">
        <v>408.65</v>
      </c>
      <c r="AF4" s="30">
        <v>0</v>
      </c>
      <c r="AG4" s="31">
        <v>408.65</v>
      </c>
      <c r="AH4" s="30">
        <v>57.21</v>
      </c>
      <c r="AI4" s="30">
        <v>103</v>
      </c>
      <c r="AJ4" s="31">
        <v>12.203498293515358</v>
      </c>
      <c r="AK4" s="30">
        <v>465.85999999999996</v>
      </c>
      <c r="AL4" s="22" t="s">
        <v>170</v>
      </c>
      <c r="AM4" s="31">
        <v>-2.9400000000000546</v>
      </c>
      <c r="AN4" s="32" t="str">
        <f>+IF(AND('GRADING PACKING'!L$5=INWARDDATA!J4,'GRADING PACKING'!L$6=INWARDDATA!I4,AR4=0),"good","bad")</f>
        <v>bad</v>
      </c>
      <c r="AO4" s="33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86"/>
      <c r="BC4" s="86"/>
      <c r="BD4" s="97">
        <f>Table_15[[#This Row],[Wgt-Bag]]-Table_15[[#This Row],[Total Graded]]-Table_15[[#This Row],[UNDERSIZE]]+0.0011</f>
        <v>-410.90889999999996</v>
      </c>
      <c r="BE4" s="86">
        <f>Table_15[[#This Row],[Total Graded]]-Table_15[[#This Row],[Packing Quantity]]+Table_15[[#This Row],[PACKING LOOSE]]</f>
        <v>408.65</v>
      </c>
      <c r="BF4" s="111">
        <f>IF(Table_15[[#This Row],[GRADED BAGS]]&gt;0,Table_15[[#This Row],[GRADED BAGS]],Table_15[[#This Row],[Bags]])</f>
        <v>743</v>
      </c>
    </row>
    <row r="5" spans="1:58" ht="14.25" hidden="1" customHeight="1" x14ac:dyDescent="0.35">
      <c r="A5" s="22">
        <v>2</v>
      </c>
      <c r="B5" s="22">
        <v>1318</v>
      </c>
      <c r="C5" s="23" t="s">
        <v>127</v>
      </c>
      <c r="D5" s="23">
        <v>10775</v>
      </c>
      <c r="E5" s="24">
        <v>46106.48164351852</v>
      </c>
      <c r="F5" s="23">
        <v>5000</v>
      </c>
      <c r="G5" s="100">
        <v>46106.505381944444</v>
      </c>
      <c r="H5" s="101">
        <v>5775</v>
      </c>
      <c r="I5" s="102" t="s">
        <v>125</v>
      </c>
      <c r="J5" s="102" t="s">
        <v>126</v>
      </c>
      <c r="K5" s="102">
        <v>0</v>
      </c>
      <c r="L5" s="22">
        <v>0</v>
      </c>
      <c r="M5" s="25">
        <f t="shared" si="0"/>
        <v>0</v>
      </c>
      <c r="N5" s="25">
        <f t="shared" si="1"/>
        <v>57.75</v>
      </c>
      <c r="O5" s="25">
        <f t="shared" si="2"/>
        <v>0.2</v>
      </c>
      <c r="P5" s="25">
        <f t="shared" si="3"/>
        <v>57.55</v>
      </c>
      <c r="Q5" s="22"/>
      <c r="R5" s="22"/>
      <c r="S5" s="22"/>
      <c r="T5" s="168"/>
      <c r="U5" s="171">
        <f t="shared" si="4"/>
        <v>0</v>
      </c>
      <c r="V5" s="169"/>
      <c r="W5" s="28"/>
      <c r="X5" s="25" t="str">
        <f>+IF(AND('GRADING PACKING'!L$5=INWARDDATA!J5,'GRADING PACKING'!L$6=INWARDDATA!I5,AB5=0),"TRUE","FALSE")</f>
        <v>FALSE</v>
      </c>
      <c r="Y5" s="29"/>
      <c r="Z5" s="102"/>
      <c r="AA5" s="102"/>
      <c r="AB5" s="30"/>
      <c r="AC5" s="102"/>
      <c r="AD5" s="30"/>
      <c r="AE5" s="30"/>
      <c r="AF5" s="30"/>
      <c r="AG5" s="31"/>
      <c r="AH5" s="30"/>
      <c r="AI5" s="30"/>
      <c r="AJ5" s="31"/>
      <c r="AK5" s="30"/>
      <c r="AL5" s="22"/>
      <c r="AM5" s="31"/>
      <c r="AN5" s="32" t="str">
        <f>+IF(AND('GRADING PACKING'!L$5=INWARDDATA!J5,'GRADING PACKING'!L$6=INWARDDATA!I5,AR5=0),"good","bad")</f>
        <v>bad</v>
      </c>
      <c r="AO5" s="33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86"/>
      <c r="BC5" s="86"/>
      <c r="BD5" s="97">
        <f>Table_15[[#This Row],[Wgt-Bag]]-Table_15[[#This Row],[Total Graded]]-Table_15[[#This Row],[UNDERSIZE]]+0.0011</f>
        <v>57.751100000000001</v>
      </c>
      <c r="BE5" s="86">
        <f>Table_15[[#This Row],[Total Graded]]-Table_15[[#This Row],[Packing Quantity]]+Table_15[[#This Row],[PACKING LOOSE]]</f>
        <v>0</v>
      </c>
      <c r="BF5" s="34">
        <f>IF(Table_15[[#This Row],[GRADED BAGS]]&gt;0,Table_15[[#This Row],[GRADED BAGS]],Table_15[[#This Row],[Bags]])</f>
        <v>0</v>
      </c>
    </row>
    <row r="6" spans="1:58" ht="14.25" hidden="1" customHeight="1" x14ac:dyDescent="0.35">
      <c r="A6" s="22">
        <v>3</v>
      </c>
      <c r="B6" s="22">
        <v>1319</v>
      </c>
      <c r="C6" s="23" t="s">
        <v>128</v>
      </c>
      <c r="D6" s="23">
        <v>10170</v>
      </c>
      <c r="E6" s="24">
        <v>46106.482476851852</v>
      </c>
      <c r="F6" s="23">
        <v>4415</v>
      </c>
      <c r="G6" s="100">
        <v>46106.625694444447</v>
      </c>
      <c r="H6" s="101">
        <v>5755</v>
      </c>
      <c r="I6" s="102" t="s">
        <v>125</v>
      </c>
      <c r="J6" s="102" t="s">
        <v>126</v>
      </c>
      <c r="K6" s="102">
        <v>0</v>
      </c>
      <c r="L6" s="22">
        <v>0</v>
      </c>
      <c r="M6" s="25">
        <f t="shared" si="0"/>
        <v>0</v>
      </c>
      <c r="N6" s="25">
        <f t="shared" si="1"/>
        <v>57.55</v>
      </c>
      <c r="O6" s="25">
        <f t="shared" si="2"/>
        <v>0.2</v>
      </c>
      <c r="P6" s="25">
        <f t="shared" si="3"/>
        <v>57.349999999999994</v>
      </c>
      <c r="Q6" s="22"/>
      <c r="R6" s="22"/>
      <c r="S6" s="22"/>
      <c r="T6" s="168"/>
      <c r="U6" s="171">
        <f t="shared" si="4"/>
        <v>0</v>
      </c>
      <c r="V6" s="169"/>
      <c r="W6" s="28"/>
      <c r="X6" s="25" t="str">
        <f>+IF(AND('GRADING PACKING'!L$5=INWARDDATA!J6,'GRADING PACKING'!L$6=INWARDDATA!I6,AB6=0),"TRUE","FALSE")</f>
        <v>FALSE</v>
      </c>
      <c r="Y6" s="29"/>
      <c r="Z6" s="22"/>
      <c r="AA6" s="102"/>
      <c r="AB6" s="30"/>
      <c r="AC6" s="102"/>
      <c r="AD6" s="30"/>
      <c r="AE6" s="30"/>
      <c r="AF6" s="30"/>
      <c r="AG6" s="31"/>
      <c r="AH6" s="30"/>
      <c r="AI6" s="30"/>
      <c r="AJ6" s="31"/>
      <c r="AK6" s="30"/>
      <c r="AL6" s="22"/>
      <c r="AM6" s="31"/>
      <c r="AN6" s="32" t="str">
        <f>+IF(AND('GRADING PACKING'!L$5=INWARDDATA!J6,'GRADING PACKING'!L$6=INWARDDATA!I6,AR6=0),"good","bad")</f>
        <v>bad</v>
      </c>
      <c r="AO6" s="33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86"/>
      <c r="BC6" s="86"/>
      <c r="BD6" s="97">
        <f>Table_15[[#This Row],[Wgt-Bag]]-Table_15[[#This Row],[Total Graded]]-Table_15[[#This Row],[UNDERSIZE]]+0.0011</f>
        <v>57.551099999999998</v>
      </c>
      <c r="BE6" s="86">
        <f>Table_15[[#This Row],[Total Graded]]-Table_15[[#This Row],[Packing Quantity]]+Table_15[[#This Row],[PACKING LOOSE]]</f>
        <v>0</v>
      </c>
      <c r="BF6" s="34">
        <f>IF(Table_15[[#This Row],[GRADED BAGS]]&gt;0,Table_15[[#This Row],[GRADED BAGS]],Table_15[[#This Row],[Bags]])</f>
        <v>0</v>
      </c>
    </row>
    <row r="7" spans="1:58" ht="14.25" hidden="1" customHeight="1" x14ac:dyDescent="0.35">
      <c r="A7" s="22">
        <v>4</v>
      </c>
      <c r="B7" s="22">
        <v>1320</v>
      </c>
      <c r="C7" s="23" t="s">
        <v>129</v>
      </c>
      <c r="D7" s="23">
        <v>9935</v>
      </c>
      <c r="E7" s="24">
        <v>46106.483738425923</v>
      </c>
      <c r="F7" s="23">
        <v>4175</v>
      </c>
      <c r="G7" s="100">
        <v>46106.553842592592</v>
      </c>
      <c r="H7" s="101">
        <v>5760</v>
      </c>
      <c r="I7" s="102" t="s">
        <v>125</v>
      </c>
      <c r="J7" s="102" t="s">
        <v>126</v>
      </c>
      <c r="K7" s="102">
        <v>0</v>
      </c>
      <c r="L7" s="22">
        <v>0</v>
      </c>
      <c r="M7" s="25">
        <f t="shared" si="0"/>
        <v>0</v>
      </c>
      <c r="N7" s="25">
        <f t="shared" si="1"/>
        <v>57.6</v>
      </c>
      <c r="O7" s="25">
        <f t="shared" si="2"/>
        <v>0.2</v>
      </c>
      <c r="P7" s="25">
        <f t="shared" si="3"/>
        <v>57.4</v>
      </c>
      <c r="Q7" s="22"/>
      <c r="R7" s="22"/>
      <c r="S7" s="22"/>
      <c r="T7" s="168"/>
      <c r="U7" s="171">
        <f t="shared" si="4"/>
        <v>0</v>
      </c>
      <c r="V7" s="169"/>
      <c r="W7" s="28"/>
      <c r="X7" s="25" t="str">
        <f>+IF(AND('GRADING PACKING'!L$5=INWARDDATA!J7,'GRADING PACKING'!L$6=INWARDDATA!I7,AB7=0),"TRUE","FALSE")</f>
        <v>FALSE</v>
      </c>
      <c r="Y7" s="29"/>
      <c r="Z7" s="22"/>
      <c r="AA7" s="102"/>
      <c r="AB7" s="30"/>
      <c r="AC7" s="102"/>
      <c r="AD7" s="30"/>
      <c r="AE7" s="30"/>
      <c r="AF7" s="30"/>
      <c r="AG7" s="31"/>
      <c r="AH7" s="30"/>
      <c r="AI7" s="30"/>
      <c r="AJ7" s="31"/>
      <c r="AK7" s="30"/>
      <c r="AL7" s="22"/>
      <c r="AM7" s="31"/>
      <c r="AN7" s="32" t="str">
        <f>+IF(AND('GRADING PACKING'!L$5=INWARDDATA!J7,'GRADING PACKING'!L$6=INWARDDATA!I7,AR7=0),"good","bad")</f>
        <v>bad</v>
      </c>
      <c r="AO7" s="33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86"/>
      <c r="BC7" s="86"/>
      <c r="BD7" s="97">
        <f>Table_15[[#This Row],[Wgt-Bag]]-Table_15[[#This Row],[Total Graded]]-Table_15[[#This Row],[UNDERSIZE]]+0.0011</f>
        <v>57.601100000000002</v>
      </c>
      <c r="BE7" s="86">
        <f>Table_15[[#This Row],[Total Graded]]-Table_15[[#This Row],[Packing Quantity]]+Table_15[[#This Row],[PACKING LOOSE]]</f>
        <v>0</v>
      </c>
      <c r="BF7" s="34">
        <f>IF(Table_15[[#This Row],[GRADED BAGS]]&gt;0,Table_15[[#This Row],[GRADED BAGS]],Table_15[[#This Row],[Bags]])</f>
        <v>0</v>
      </c>
    </row>
    <row r="8" spans="1:58" ht="15" hidden="1" customHeight="1" x14ac:dyDescent="0.35">
      <c r="A8" s="22">
        <v>5</v>
      </c>
      <c r="B8" s="22">
        <v>1321</v>
      </c>
      <c r="C8" s="23" t="s">
        <v>130</v>
      </c>
      <c r="D8" s="23">
        <v>9165</v>
      </c>
      <c r="E8" s="24">
        <v>46106.498553240737</v>
      </c>
      <c r="F8" s="23">
        <v>3705</v>
      </c>
      <c r="G8" s="100">
        <v>46106.524710648147</v>
      </c>
      <c r="H8" s="101">
        <v>5460</v>
      </c>
      <c r="I8" s="102" t="s">
        <v>125</v>
      </c>
      <c r="J8" s="102" t="s">
        <v>126</v>
      </c>
      <c r="K8" s="102">
        <v>0</v>
      </c>
      <c r="L8" s="22">
        <v>0</v>
      </c>
      <c r="M8" s="25">
        <f t="shared" si="0"/>
        <v>0</v>
      </c>
      <c r="N8" s="25">
        <f t="shared" si="1"/>
        <v>54.6</v>
      </c>
      <c r="O8" s="25">
        <f t="shared" si="2"/>
        <v>0.19</v>
      </c>
      <c r="P8" s="25">
        <f t="shared" si="3"/>
        <v>54.410000000000004</v>
      </c>
      <c r="Q8" s="22"/>
      <c r="R8" s="22"/>
      <c r="S8" s="22"/>
      <c r="T8" s="168"/>
      <c r="U8" s="171">
        <f t="shared" si="4"/>
        <v>0</v>
      </c>
      <c r="V8" s="169"/>
      <c r="W8" s="28"/>
      <c r="X8" s="25" t="str">
        <f>+IF(AND('GRADING PACKING'!L$5=INWARDDATA!J8,'GRADING PACKING'!L$6=INWARDDATA!I8,AB8=0),"TRUE","FALSE")</f>
        <v>FALSE</v>
      </c>
      <c r="Y8" s="29"/>
      <c r="Z8" s="22"/>
      <c r="AA8" s="102"/>
      <c r="AB8" s="30"/>
      <c r="AC8" s="102"/>
      <c r="AD8" s="30"/>
      <c r="AE8" s="30"/>
      <c r="AF8" s="30"/>
      <c r="AG8" s="31"/>
      <c r="AH8" s="30"/>
      <c r="AI8" s="30"/>
      <c r="AJ8" s="31"/>
      <c r="AK8" s="30"/>
      <c r="AL8" s="22"/>
      <c r="AM8" s="31"/>
      <c r="AN8" s="32" t="str">
        <f>+IF(AND('GRADING PACKING'!L$5=INWARDDATA!J8,'GRADING PACKING'!L$6=INWARDDATA!I8,AR8=0),"good","bad")</f>
        <v>bad</v>
      </c>
      <c r="AO8" s="33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86"/>
      <c r="BC8" s="86"/>
      <c r="BD8" s="97">
        <f>Table_15[[#This Row],[Wgt-Bag]]-Table_15[[#This Row],[Total Graded]]-Table_15[[#This Row],[UNDERSIZE]]+0.0011</f>
        <v>54.601100000000002</v>
      </c>
      <c r="BE8" s="86">
        <f>Table_15[[#This Row],[Total Graded]]-Table_15[[#This Row],[Packing Quantity]]+Table_15[[#This Row],[PACKING LOOSE]]</f>
        <v>0</v>
      </c>
      <c r="BF8" s="34">
        <f>IF(Table_15[[#This Row],[GRADED BAGS]]&gt;0,Table_15[[#This Row],[GRADED BAGS]],Table_15[[#This Row],[Bags]])</f>
        <v>0</v>
      </c>
    </row>
    <row r="9" spans="1:58" ht="14.25" hidden="1" customHeight="1" x14ac:dyDescent="0.35">
      <c r="A9" s="22">
        <v>6</v>
      </c>
      <c r="B9" s="22">
        <v>1322</v>
      </c>
      <c r="C9" s="23" t="s">
        <v>113</v>
      </c>
      <c r="D9" s="23">
        <v>9505</v>
      </c>
      <c r="E9" s="24">
        <v>46106.533379629633</v>
      </c>
      <c r="F9" s="23">
        <v>4190</v>
      </c>
      <c r="G9" s="100">
        <v>46106.690208333333</v>
      </c>
      <c r="H9" s="101">
        <v>5315</v>
      </c>
      <c r="I9" s="102" t="s">
        <v>125</v>
      </c>
      <c r="J9" s="102" t="s">
        <v>126</v>
      </c>
      <c r="K9" s="102">
        <v>0</v>
      </c>
      <c r="L9" s="22">
        <v>0</v>
      </c>
      <c r="M9" s="25">
        <f t="shared" si="0"/>
        <v>0</v>
      </c>
      <c r="N9" s="25">
        <f t="shared" si="1"/>
        <v>53.15</v>
      </c>
      <c r="O9" s="25">
        <f t="shared" si="2"/>
        <v>0.18000000000000002</v>
      </c>
      <c r="P9" s="25">
        <f t="shared" si="3"/>
        <v>52.97</v>
      </c>
      <c r="Q9" s="22"/>
      <c r="R9" s="22"/>
      <c r="S9" s="22"/>
      <c r="T9" s="168"/>
      <c r="U9" s="171">
        <f t="shared" si="4"/>
        <v>0</v>
      </c>
      <c r="V9" s="169"/>
      <c r="W9" s="28"/>
      <c r="X9" s="25" t="str">
        <f>+IF(AND('GRADING PACKING'!L$5=INWARDDATA!J9,'GRADING PACKING'!L$6=INWARDDATA!I9,AB9=0),"TRUE","FALSE")</f>
        <v>FALSE</v>
      </c>
      <c r="Y9" s="29"/>
      <c r="Z9" s="22"/>
      <c r="AA9" s="102"/>
      <c r="AB9" s="30"/>
      <c r="AC9" s="102"/>
      <c r="AD9" s="30"/>
      <c r="AE9" s="30"/>
      <c r="AF9" s="30"/>
      <c r="AG9" s="31"/>
      <c r="AH9" s="30"/>
      <c r="AI9" s="30"/>
      <c r="AJ9" s="31"/>
      <c r="AK9" s="30"/>
      <c r="AL9" s="22"/>
      <c r="AM9" s="31"/>
      <c r="AN9" s="32" t="str">
        <f>+IF(AND('GRADING PACKING'!L$5=INWARDDATA!J9,'GRADING PACKING'!L$6=INWARDDATA!I9,AR9=0),"good","bad")</f>
        <v>bad</v>
      </c>
      <c r="AO9" s="33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86"/>
      <c r="BC9" s="86"/>
      <c r="BD9" s="97">
        <f>Table_15[[#This Row],[Wgt-Bag]]-Table_15[[#This Row],[Total Graded]]-Table_15[[#This Row],[UNDERSIZE]]+0.0011</f>
        <v>53.1511</v>
      </c>
      <c r="BE9" s="86">
        <f>Table_15[[#This Row],[Total Graded]]-Table_15[[#This Row],[Packing Quantity]]+Table_15[[#This Row],[PACKING LOOSE]]</f>
        <v>0</v>
      </c>
      <c r="BF9" s="34">
        <f>IF(Table_15[[#This Row],[GRADED BAGS]]&gt;0,Table_15[[#This Row],[GRADED BAGS]],Table_15[[#This Row],[Bags]])</f>
        <v>0</v>
      </c>
    </row>
    <row r="10" spans="1:58" ht="14.25" hidden="1" customHeight="1" x14ac:dyDescent="0.35">
      <c r="A10" s="22">
        <v>7</v>
      </c>
      <c r="B10" s="22">
        <v>1323</v>
      </c>
      <c r="C10" s="23" t="s">
        <v>135</v>
      </c>
      <c r="D10" s="23">
        <v>8100</v>
      </c>
      <c r="E10" s="24">
        <v>46107.423090277778</v>
      </c>
      <c r="F10" s="23">
        <v>3770</v>
      </c>
      <c r="G10" s="100">
        <v>46107.468912037039</v>
      </c>
      <c r="H10" s="101">
        <v>4330</v>
      </c>
      <c r="I10" s="102" t="s">
        <v>125</v>
      </c>
      <c r="J10" s="102" t="s">
        <v>126</v>
      </c>
      <c r="K10" s="102">
        <v>0</v>
      </c>
      <c r="L10" s="22">
        <v>0</v>
      </c>
      <c r="M10" s="25">
        <f t="shared" ref="M10:M67" si="5">ROUNDUP((K10*L10),0)</f>
        <v>0</v>
      </c>
      <c r="N10" s="25">
        <f t="shared" si="1"/>
        <v>43.3</v>
      </c>
      <c r="O10" s="25">
        <f t="shared" si="2"/>
        <v>0.15000000000000002</v>
      </c>
      <c r="P10" s="25">
        <f t="shared" si="3"/>
        <v>43.15</v>
      </c>
      <c r="Q10" s="22"/>
      <c r="R10" s="22"/>
      <c r="S10" s="22"/>
      <c r="T10" s="168"/>
      <c r="U10" s="171">
        <f t="shared" si="4"/>
        <v>0</v>
      </c>
      <c r="V10" s="169"/>
      <c r="W10" s="28"/>
      <c r="X10" s="25" t="str">
        <f>+IF(AND('GRADING PACKING'!L$5=INWARDDATA!J10,'GRADING PACKING'!L$6=INWARDDATA!I10,AB10=0),"TRUE","FALSE")</f>
        <v>FALSE</v>
      </c>
      <c r="Y10" s="29"/>
      <c r="Z10" s="22"/>
      <c r="AA10" s="102"/>
      <c r="AB10" s="30"/>
      <c r="AC10" s="102"/>
      <c r="AD10" s="30"/>
      <c r="AE10" s="30"/>
      <c r="AF10" s="30"/>
      <c r="AG10" s="31"/>
      <c r="AH10" s="30"/>
      <c r="AI10" s="30"/>
      <c r="AJ10" s="31"/>
      <c r="AK10" s="30"/>
      <c r="AL10" s="22"/>
      <c r="AM10" s="31"/>
      <c r="AN10" s="32" t="str">
        <f>+IF(AND('GRADING PACKING'!L$5=INWARDDATA!J10,'GRADING PACKING'!L$6=INWARDDATA!I10,AR10=0),"good","bad")</f>
        <v>bad</v>
      </c>
      <c r="AO10" s="33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86"/>
      <c r="BC10" s="86"/>
      <c r="BD10" s="97">
        <f>Table_15[[#This Row],[Wgt-Bag]]-Table_15[[#This Row],[Total Graded]]-Table_15[[#This Row],[UNDERSIZE]]+0.0011</f>
        <v>43.301099999999998</v>
      </c>
      <c r="BE10" s="86">
        <f>Table_15[[#This Row],[Total Graded]]-Table_15[[#This Row],[Packing Quantity]]+Table_15[[#This Row],[PACKING LOOSE]]</f>
        <v>0</v>
      </c>
      <c r="BF10" s="34">
        <f>IF(Table_15[[#This Row],[GRADED BAGS]]&gt;0,Table_15[[#This Row],[GRADED BAGS]],Table_15[[#This Row],[Bags]])</f>
        <v>0</v>
      </c>
    </row>
    <row r="11" spans="1:58" ht="14.25" hidden="1" customHeight="1" x14ac:dyDescent="0.35">
      <c r="A11" s="22">
        <v>8</v>
      </c>
      <c r="B11" s="22">
        <v>1324</v>
      </c>
      <c r="C11" s="23" t="s">
        <v>124</v>
      </c>
      <c r="D11" s="23">
        <v>9025</v>
      </c>
      <c r="E11" s="24">
        <v>46107.430671296293</v>
      </c>
      <c r="F11" s="23">
        <v>4590</v>
      </c>
      <c r="G11" s="100">
        <v>46107.509699074071</v>
      </c>
      <c r="H11" s="101">
        <v>4435</v>
      </c>
      <c r="I11" s="102" t="s">
        <v>125</v>
      </c>
      <c r="J11" s="102" t="s">
        <v>126</v>
      </c>
      <c r="K11" s="102">
        <v>0</v>
      </c>
      <c r="L11" s="22">
        <v>0</v>
      </c>
      <c r="M11" s="25">
        <f t="shared" si="5"/>
        <v>0</v>
      </c>
      <c r="N11" s="25">
        <f t="shared" si="1"/>
        <v>44.35</v>
      </c>
      <c r="O11" s="25">
        <f t="shared" si="2"/>
        <v>0.15000000000000002</v>
      </c>
      <c r="P11" s="25">
        <f t="shared" si="3"/>
        <v>44.2</v>
      </c>
      <c r="Q11" s="22"/>
      <c r="R11" s="22"/>
      <c r="S11" s="22"/>
      <c r="T11" s="168"/>
      <c r="U11" s="171">
        <f t="shared" si="4"/>
        <v>0</v>
      </c>
      <c r="V11" s="169"/>
      <c r="W11" s="28"/>
      <c r="X11" s="25" t="str">
        <f>+IF(AND('GRADING PACKING'!L$5=INWARDDATA!J11,'GRADING PACKING'!L$6=INWARDDATA!I11,AB11=0),"TRUE","FALSE")</f>
        <v>FALSE</v>
      </c>
      <c r="Y11" s="29"/>
      <c r="Z11" s="22"/>
      <c r="AA11" s="102"/>
      <c r="AB11" s="30"/>
      <c r="AC11" s="102"/>
      <c r="AD11" s="30"/>
      <c r="AE11" s="30"/>
      <c r="AF11" s="30"/>
      <c r="AG11" s="31"/>
      <c r="AH11" s="30"/>
      <c r="AI11" s="30"/>
      <c r="AJ11" s="31"/>
      <c r="AK11" s="30"/>
      <c r="AL11" s="22"/>
      <c r="AM11" s="31"/>
      <c r="AN11" s="32" t="str">
        <f>+IF(AND('GRADING PACKING'!L$5=INWARDDATA!J11,'GRADING PACKING'!L$6=INWARDDATA!I11,AR11=0),"good","bad")</f>
        <v>bad</v>
      </c>
      <c r="AO11" s="33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86"/>
      <c r="BC11" s="86"/>
      <c r="BD11" s="97">
        <f>Table_15[[#This Row],[Wgt-Bag]]-Table_15[[#This Row],[Total Graded]]-Table_15[[#This Row],[UNDERSIZE]]+0.0011</f>
        <v>44.351100000000002</v>
      </c>
      <c r="BE11" s="86">
        <f>Table_15[[#This Row],[Total Graded]]-Table_15[[#This Row],[Packing Quantity]]+Table_15[[#This Row],[PACKING LOOSE]]</f>
        <v>0</v>
      </c>
      <c r="BF11" s="34">
        <f>IF(Table_15[[#This Row],[GRADED BAGS]]&gt;0,Table_15[[#This Row],[GRADED BAGS]],Table_15[[#This Row],[Bags]])</f>
        <v>0</v>
      </c>
    </row>
    <row r="12" spans="1:58" ht="14.25" hidden="1" customHeight="1" x14ac:dyDescent="0.35">
      <c r="A12" s="22">
        <v>9</v>
      </c>
      <c r="B12" s="22">
        <v>1325</v>
      </c>
      <c r="C12" s="23" t="s">
        <v>136</v>
      </c>
      <c r="D12" s="23">
        <v>8730</v>
      </c>
      <c r="E12" s="24">
        <v>46107.431620370371</v>
      </c>
      <c r="F12" s="23">
        <v>4175</v>
      </c>
      <c r="G12" s="100">
        <v>46107.484305555554</v>
      </c>
      <c r="H12" s="101">
        <v>4555</v>
      </c>
      <c r="I12" s="102" t="s">
        <v>125</v>
      </c>
      <c r="J12" s="102" t="s">
        <v>126</v>
      </c>
      <c r="K12" s="102">
        <v>0</v>
      </c>
      <c r="L12" s="22">
        <v>0</v>
      </c>
      <c r="M12" s="25">
        <f t="shared" si="5"/>
        <v>0</v>
      </c>
      <c r="N12" s="25">
        <f t="shared" si="1"/>
        <v>45.55</v>
      </c>
      <c r="O12" s="25">
        <f t="shared" si="2"/>
        <v>0.16</v>
      </c>
      <c r="P12" s="25">
        <f t="shared" si="3"/>
        <v>45.39</v>
      </c>
      <c r="Q12" s="22"/>
      <c r="R12" s="22"/>
      <c r="S12" s="22"/>
      <c r="T12" s="168"/>
      <c r="U12" s="171">
        <f t="shared" si="4"/>
        <v>0</v>
      </c>
      <c r="V12" s="169"/>
      <c r="W12" s="28"/>
      <c r="X12" s="25" t="str">
        <f>+IF(AND('GRADING PACKING'!L$5=INWARDDATA!J12,'GRADING PACKING'!L$6=INWARDDATA!I12,AB12=0),"TRUE","FALSE")</f>
        <v>FALSE</v>
      </c>
      <c r="Y12" s="29"/>
      <c r="Z12" s="22"/>
      <c r="AA12" s="102"/>
      <c r="AB12" s="30"/>
      <c r="AC12" s="102"/>
      <c r="AD12" s="30"/>
      <c r="AE12" s="30"/>
      <c r="AF12" s="30"/>
      <c r="AG12" s="31"/>
      <c r="AH12" s="30"/>
      <c r="AI12" s="30"/>
      <c r="AJ12" s="31"/>
      <c r="AK12" s="30"/>
      <c r="AL12" s="22"/>
      <c r="AM12" s="31"/>
      <c r="AN12" s="32" t="str">
        <f>+IF(AND('GRADING PACKING'!L$5=INWARDDATA!J12,'GRADING PACKING'!L$6=INWARDDATA!I12,AR12=0),"good","bad")</f>
        <v>bad</v>
      </c>
      <c r="AO12" s="33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86"/>
      <c r="BC12" s="86"/>
      <c r="BD12" s="97">
        <f>Table_15[[#This Row],[Wgt-Bag]]-Table_15[[#This Row],[Total Graded]]-Table_15[[#This Row],[UNDERSIZE]]+0.0011</f>
        <v>45.551099999999998</v>
      </c>
      <c r="BE12" s="86">
        <f>Table_15[[#This Row],[Total Graded]]-Table_15[[#This Row],[Packing Quantity]]+Table_15[[#This Row],[PACKING LOOSE]]</f>
        <v>0</v>
      </c>
      <c r="BF12" s="34">
        <f>IF(Table_15[[#This Row],[GRADED BAGS]]&gt;0,Table_15[[#This Row],[GRADED BAGS]],Table_15[[#This Row],[Bags]])</f>
        <v>0</v>
      </c>
    </row>
    <row r="13" spans="1:58" ht="14.25" hidden="1" customHeight="1" x14ac:dyDescent="0.35">
      <c r="A13" s="22">
        <v>10</v>
      </c>
      <c r="B13" s="22">
        <v>1326</v>
      </c>
      <c r="C13" s="23" t="s">
        <v>137</v>
      </c>
      <c r="D13" s="23">
        <v>18900</v>
      </c>
      <c r="E13" s="24">
        <v>46107.435636574075</v>
      </c>
      <c r="F13" s="23">
        <v>5290</v>
      </c>
      <c r="G13" s="100">
        <v>46107.679340277777</v>
      </c>
      <c r="H13" s="101">
        <v>13610</v>
      </c>
      <c r="I13" s="102" t="s">
        <v>125</v>
      </c>
      <c r="J13" s="102" t="s">
        <v>138</v>
      </c>
      <c r="K13" s="102">
        <v>0</v>
      </c>
      <c r="L13" s="22">
        <v>0</v>
      </c>
      <c r="M13" s="25">
        <f t="shared" si="5"/>
        <v>0</v>
      </c>
      <c r="N13" s="25">
        <f t="shared" si="1"/>
        <v>136.1</v>
      </c>
      <c r="O13" s="25">
        <f t="shared" si="2"/>
        <v>0.46</v>
      </c>
      <c r="P13" s="25">
        <f t="shared" si="3"/>
        <v>135.63999999999999</v>
      </c>
      <c r="Q13" s="22"/>
      <c r="R13" s="22"/>
      <c r="S13" s="22"/>
      <c r="T13" s="168"/>
      <c r="U13" s="171">
        <f t="shared" si="4"/>
        <v>0</v>
      </c>
      <c r="V13" s="169"/>
      <c r="W13" s="28"/>
      <c r="X13" s="25" t="str">
        <f>+IF(AND('GRADING PACKING'!L$5=INWARDDATA!J13,'GRADING PACKING'!L$6=INWARDDATA!I13,AB13=0),"TRUE","FALSE")</f>
        <v>FALSE</v>
      </c>
      <c r="Y13" s="29"/>
      <c r="Z13" s="22"/>
      <c r="AA13" s="102"/>
      <c r="AB13" s="30"/>
      <c r="AC13" s="102"/>
      <c r="AD13" s="30"/>
      <c r="AE13" s="30"/>
      <c r="AF13" s="30"/>
      <c r="AG13" s="31"/>
      <c r="AH13" s="30"/>
      <c r="AI13" s="30"/>
      <c r="AJ13" s="31"/>
      <c r="AK13" s="30"/>
      <c r="AL13" s="22"/>
      <c r="AM13" s="31"/>
      <c r="AN13" s="32" t="str">
        <f>+IF(AND('GRADING PACKING'!L$5=INWARDDATA!J13,'GRADING PACKING'!L$6=INWARDDATA!I13,AR13=0),"good","bad")</f>
        <v>bad</v>
      </c>
      <c r="AO13" s="33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86"/>
      <c r="BC13" s="86"/>
      <c r="BD13" s="97">
        <f>Table_15[[#This Row],[Wgt-Bag]]-Table_15[[#This Row],[Total Graded]]-Table_15[[#This Row],[UNDERSIZE]]+0.0011</f>
        <v>136.1011</v>
      </c>
      <c r="BE13" s="86">
        <f>Table_15[[#This Row],[Total Graded]]-Table_15[[#This Row],[Packing Quantity]]+Table_15[[#This Row],[PACKING LOOSE]]</f>
        <v>0</v>
      </c>
      <c r="BF13" s="34">
        <f>IF(Table_15[[#This Row],[GRADED BAGS]]&gt;0,Table_15[[#This Row],[GRADED BAGS]],Table_15[[#This Row],[Bags]])</f>
        <v>0</v>
      </c>
    </row>
    <row r="14" spans="1:58" ht="15" hidden="1" customHeight="1" x14ac:dyDescent="0.35">
      <c r="A14" s="22">
        <v>11</v>
      </c>
      <c r="B14" s="22">
        <v>1327</v>
      </c>
      <c r="C14" s="23" t="s">
        <v>139</v>
      </c>
      <c r="D14" s="23">
        <v>9790</v>
      </c>
      <c r="E14" s="24">
        <v>46107.52412037037</v>
      </c>
      <c r="F14" s="23">
        <v>4420</v>
      </c>
      <c r="G14" s="100">
        <v>46107.739861111113</v>
      </c>
      <c r="H14" s="101">
        <v>5370</v>
      </c>
      <c r="I14" s="102" t="s">
        <v>125</v>
      </c>
      <c r="J14" s="102" t="s">
        <v>138</v>
      </c>
      <c r="K14" s="102">
        <v>0</v>
      </c>
      <c r="L14" s="22">
        <v>0</v>
      </c>
      <c r="M14" s="25">
        <f t="shared" si="5"/>
        <v>0</v>
      </c>
      <c r="N14" s="25">
        <f t="shared" si="1"/>
        <v>53.7</v>
      </c>
      <c r="O14" s="25">
        <f t="shared" si="2"/>
        <v>0.18000000000000002</v>
      </c>
      <c r="P14" s="25">
        <f t="shared" si="3"/>
        <v>53.52</v>
      </c>
      <c r="Q14" s="22"/>
      <c r="R14" s="22"/>
      <c r="S14" s="22"/>
      <c r="T14" s="168"/>
      <c r="U14" s="171">
        <f t="shared" si="4"/>
        <v>0</v>
      </c>
      <c r="V14" s="169"/>
      <c r="W14" s="28"/>
      <c r="X14" s="25" t="str">
        <f>+IF(AND('GRADING PACKING'!L$5=INWARDDATA!J14,'GRADING PACKING'!L$6=INWARDDATA!I14,AB14=0),"TRUE","FALSE")</f>
        <v>FALSE</v>
      </c>
      <c r="Y14" s="29">
        <v>46113</v>
      </c>
      <c r="Z14" s="22" t="s">
        <v>138</v>
      </c>
      <c r="AA14" s="22" t="s">
        <v>125</v>
      </c>
      <c r="AB14" s="30">
        <v>513.20000000000005</v>
      </c>
      <c r="AC14" s="22">
        <v>805</v>
      </c>
      <c r="AD14" s="30">
        <v>55</v>
      </c>
      <c r="AE14" s="30">
        <v>442.75</v>
      </c>
      <c r="AF14" s="30">
        <v>0</v>
      </c>
      <c r="AG14" s="31">
        <v>442.75</v>
      </c>
      <c r="AH14" s="30">
        <v>72.819999999999993</v>
      </c>
      <c r="AI14" s="30">
        <v>134</v>
      </c>
      <c r="AJ14" s="31">
        <v>14.189399844115352</v>
      </c>
      <c r="AK14" s="30">
        <v>515.56999999999994</v>
      </c>
      <c r="AL14" s="22" t="s">
        <v>170</v>
      </c>
      <c r="AM14" s="31">
        <v>2.3699999999998909</v>
      </c>
      <c r="AN14" s="32" t="str">
        <f>+IF(AND('GRADING PACKING'!L$5=INWARDDATA!J14,'GRADING PACKING'!L$6=INWARDDATA!I14,AR14=0),"good","bad")</f>
        <v>bad</v>
      </c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86"/>
      <c r="BC14" s="86"/>
      <c r="BD14" s="97">
        <f>Table_15[[#This Row],[Wgt-Bag]]-Table_15[[#This Row],[Total Graded]]-Table_15[[#This Row],[UNDERSIZE]]+0.0011</f>
        <v>-461.8689</v>
      </c>
      <c r="BE14" s="86">
        <f>Table_15[[#This Row],[Total Graded]]-Table_15[[#This Row],[Packing Quantity]]+Table_15[[#This Row],[PACKING LOOSE]]</f>
        <v>442.75</v>
      </c>
      <c r="BF14" s="34">
        <f>IF(Table_15[[#This Row],[GRADED BAGS]]&gt;0,Table_15[[#This Row],[GRADED BAGS]],Table_15[[#This Row],[Bags]])</f>
        <v>805</v>
      </c>
    </row>
    <row r="15" spans="1:58" ht="14.25" hidden="1" customHeight="1" x14ac:dyDescent="0.35">
      <c r="A15" s="22">
        <v>12</v>
      </c>
      <c r="B15" s="22">
        <v>1328</v>
      </c>
      <c r="C15" s="23" t="s">
        <v>140</v>
      </c>
      <c r="D15" s="23">
        <v>10810</v>
      </c>
      <c r="E15" s="24">
        <v>46107.72792824074</v>
      </c>
      <c r="F15" s="23">
        <v>5020</v>
      </c>
      <c r="G15" s="100">
        <v>46107.77416666667</v>
      </c>
      <c r="H15" s="101">
        <v>5790</v>
      </c>
      <c r="I15" s="102" t="s">
        <v>125</v>
      </c>
      <c r="J15" s="102" t="s">
        <v>138</v>
      </c>
      <c r="K15" s="102">
        <v>0</v>
      </c>
      <c r="L15" s="22">
        <v>0</v>
      </c>
      <c r="M15" s="25">
        <f t="shared" si="5"/>
        <v>0</v>
      </c>
      <c r="N15" s="25">
        <f t="shared" si="1"/>
        <v>57.9</v>
      </c>
      <c r="O15" s="25">
        <f t="shared" si="2"/>
        <v>0.2</v>
      </c>
      <c r="P15" s="25">
        <f t="shared" si="3"/>
        <v>57.699999999999996</v>
      </c>
      <c r="Q15" s="22"/>
      <c r="R15" s="22"/>
      <c r="S15" s="22"/>
      <c r="T15" s="168"/>
      <c r="U15" s="171">
        <f t="shared" si="4"/>
        <v>0</v>
      </c>
      <c r="V15" s="169"/>
      <c r="W15" s="28"/>
      <c r="X15" s="25" t="str">
        <f>+IF(AND('GRADING PACKING'!L$5=INWARDDATA!J15,'GRADING PACKING'!L$6=INWARDDATA!I15,AB15=0),"TRUE","FALSE")</f>
        <v>FALSE</v>
      </c>
      <c r="Y15" s="29"/>
      <c r="Z15" s="22"/>
      <c r="AA15" s="22"/>
      <c r="AB15" s="30"/>
      <c r="AC15" s="22"/>
      <c r="AD15" s="30"/>
      <c r="AE15" s="30"/>
      <c r="AF15" s="30"/>
      <c r="AG15" s="31"/>
      <c r="AH15" s="30"/>
      <c r="AI15" s="30"/>
      <c r="AJ15" s="31"/>
      <c r="AK15" s="30"/>
      <c r="AL15" s="22"/>
      <c r="AM15" s="31"/>
      <c r="AN15" s="32" t="str">
        <f>+IF(AND('GRADING PACKING'!L$5=INWARDDATA!J15,'GRADING PACKING'!L$6=INWARDDATA!I15,AR15=0),"good","bad")</f>
        <v>bad</v>
      </c>
      <c r="AO15" s="33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86"/>
      <c r="BC15" s="86"/>
      <c r="BD15" s="97">
        <f>Table_15[[#This Row],[Wgt-Bag]]-Table_15[[#This Row],[Total Graded]]-Table_15[[#This Row],[UNDERSIZE]]+0.0011</f>
        <v>57.9011</v>
      </c>
      <c r="BE15" s="86">
        <f>Table_15[[#This Row],[Total Graded]]-Table_15[[#This Row],[Packing Quantity]]+Table_15[[#This Row],[PACKING LOOSE]]</f>
        <v>0</v>
      </c>
      <c r="BF15" s="34">
        <f>IF(Table_15[[#This Row],[GRADED BAGS]]&gt;0,Table_15[[#This Row],[GRADED BAGS]],Table_15[[#This Row],[Bags]])</f>
        <v>0</v>
      </c>
    </row>
    <row r="16" spans="1:58" ht="14.25" hidden="1" customHeight="1" x14ac:dyDescent="0.35">
      <c r="A16" s="22">
        <v>13</v>
      </c>
      <c r="B16" s="22">
        <v>1329</v>
      </c>
      <c r="C16" s="23" t="s">
        <v>141</v>
      </c>
      <c r="D16" s="23">
        <v>9345</v>
      </c>
      <c r="E16" s="24">
        <v>46107.741863425923</v>
      </c>
      <c r="F16" s="23">
        <v>4215</v>
      </c>
      <c r="G16" s="100">
        <v>46107.801608796297</v>
      </c>
      <c r="H16" s="101">
        <v>5130</v>
      </c>
      <c r="I16" s="102" t="s">
        <v>125</v>
      </c>
      <c r="J16" s="102" t="s">
        <v>138</v>
      </c>
      <c r="K16" s="102">
        <v>0</v>
      </c>
      <c r="L16" s="22">
        <v>0</v>
      </c>
      <c r="M16" s="25">
        <f t="shared" si="5"/>
        <v>0</v>
      </c>
      <c r="N16" s="25">
        <f t="shared" si="1"/>
        <v>51.3</v>
      </c>
      <c r="O16" s="25">
        <f t="shared" si="2"/>
        <v>0.18000000000000002</v>
      </c>
      <c r="P16" s="25">
        <f t="shared" si="3"/>
        <v>51.12</v>
      </c>
      <c r="Q16" s="22"/>
      <c r="R16" s="22"/>
      <c r="S16" s="22"/>
      <c r="T16" s="168"/>
      <c r="U16" s="171">
        <f t="shared" si="4"/>
        <v>0</v>
      </c>
      <c r="V16" s="169"/>
      <c r="W16" s="28"/>
      <c r="X16" s="25" t="str">
        <f>+IF(AND('GRADING PACKING'!L$5=INWARDDATA!J16,'GRADING PACKING'!L$6=INWARDDATA!I16,AB16=0),"TRUE","FALSE")</f>
        <v>FALSE</v>
      </c>
      <c r="Y16" s="29"/>
      <c r="Z16" s="22"/>
      <c r="AA16" s="22"/>
      <c r="AB16" s="30"/>
      <c r="AC16" s="22"/>
      <c r="AD16" s="30"/>
      <c r="AE16" s="30"/>
      <c r="AF16" s="30"/>
      <c r="AG16" s="31"/>
      <c r="AH16" s="30"/>
      <c r="AI16" s="30"/>
      <c r="AJ16" s="31"/>
      <c r="AK16" s="30"/>
      <c r="AL16" s="22"/>
      <c r="AM16" s="31"/>
      <c r="AN16" s="32" t="str">
        <f>+IF(AND('GRADING PACKING'!L$5=INWARDDATA!J16,'GRADING PACKING'!L$6=INWARDDATA!I16,AR16=0),"good","bad")</f>
        <v>bad</v>
      </c>
      <c r="AO16" s="33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86"/>
      <c r="BC16" s="86"/>
      <c r="BD16" s="97">
        <f>Table_15[[#This Row],[Wgt-Bag]]-Table_15[[#This Row],[Total Graded]]-Table_15[[#This Row],[UNDERSIZE]]+0.0011</f>
        <v>51.301099999999998</v>
      </c>
      <c r="BE16" s="86">
        <f>Table_15[[#This Row],[Total Graded]]-Table_15[[#This Row],[Packing Quantity]]+Table_15[[#This Row],[PACKING LOOSE]]</f>
        <v>0</v>
      </c>
      <c r="BF16" s="34">
        <f>IF(Table_15[[#This Row],[GRADED BAGS]]&gt;0,Table_15[[#This Row],[GRADED BAGS]],Table_15[[#This Row],[Bags]])</f>
        <v>0</v>
      </c>
    </row>
    <row r="17" spans="1:58" ht="14.25" hidden="1" customHeight="1" x14ac:dyDescent="0.35">
      <c r="A17" s="22">
        <v>14</v>
      </c>
      <c r="B17" s="22">
        <v>1330</v>
      </c>
      <c r="C17" s="23" t="s">
        <v>142</v>
      </c>
      <c r="D17" s="23">
        <v>5330</v>
      </c>
      <c r="E17" s="24">
        <v>46108.423634259256</v>
      </c>
      <c r="F17" s="23">
        <v>2415</v>
      </c>
      <c r="G17" s="100">
        <v>46108.431516203702</v>
      </c>
      <c r="H17" s="101">
        <v>2915</v>
      </c>
      <c r="I17" s="102" t="s">
        <v>143</v>
      </c>
      <c r="J17" s="102" t="s">
        <v>144</v>
      </c>
      <c r="K17" s="102">
        <v>54</v>
      </c>
      <c r="L17" s="22">
        <v>0.6</v>
      </c>
      <c r="M17" s="25">
        <f t="shared" si="5"/>
        <v>33</v>
      </c>
      <c r="N17" s="25">
        <f t="shared" si="1"/>
        <v>28.82</v>
      </c>
      <c r="O17" s="25">
        <f t="shared" si="2"/>
        <v>9.9999999999999992E-2</v>
      </c>
      <c r="P17" s="25">
        <f t="shared" si="3"/>
        <v>28.72</v>
      </c>
      <c r="Q17" s="22"/>
      <c r="R17" s="22"/>
      <c r="S17" s="22"/>
      <c r="T17" s="168"/>
      <c r="U17" s="171">
        <f t="shared" si="4"/>
        <v>0</v>
      </c>
      <c r="V17" s="169"/>
      <c r="W17" s="28"/>
      <c r="X17" s="25" t="str">
        <f>+IF(AND('GRADING PACKING'!L$5=INWARDDATA!J17,'GRADING PACKING'!L$6=INWARDDATA!I17,AB17=0),"TRUE","FALSE")</f>
        <v>FALSE</v>
      </c>
      <c r="Y17" s="29">
        <v>46118</v>
      </c>
      <c r="Z17" s="22" t="s">
        <v>144</v>
      </c>
      <c r="AA17" s="22" t="s">
        <v>143</v>
      </c>
      <c r="AB17" s="30">
        <v>28.82</v>
      </c>
      <c r="AC17" s="22">
        <v>45</v>
      </c>
      <c r="AD17" s="30">
        <v>55</v>
      </c>
      <c r="AE17" s="30">
        <v>24.75</v>
      </c>
      <c r="AF17" s="30">
        <v>0.33</v>
      </c>
      <c r="AG17" s="31">
        <v>25.08</v>
      </c>
      <c r="AH17" s="30">
        <v>3.76</v>
      </c>
      <c r="AI17" s="30">
        <v>8</v>
      </c>
      <c r="AJ17" s="31">
        <v>13.046495489243579</v>
      </c>
      <c r="AK17" s="30">
        <v>28.839999999999996</v>
      </c>
      <c r="AL17" s="22" t="s">
        <v>187</v>
      </c>
      <c r="AM17" s="31">
        <v>1.9999999999996021E-2</v>
      </c>
      <c r="AN17" s="32" t="str">
        <f>+IF(AND('GRADING PACKING'!L$5=INWARDDATA!J17,'GRADING PACKING'!L$6=INWARDDATA!I17,AR17=0),"good","bad")</f>
        <v>bad</v>
      </c>
      <c r="AO17" s="33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86"/>
      <c r="BC17" s="86"/>
      <c r="BD17" s="97">
        <f>Table_15[[#This Row],[Wgt-Bag]]-Table_15[[#This Row],[Total Graded]]-Table_15[[#This Row],[UNDERSIZE]]+0.0011</f>
        <v>-1.8899999999997797E-2</v>
      </c>
      <c r="BE17" s="86">
        <f>Table_15[[#This Row],[Total Graded]]-Table_15[[#This Row],[Packing Quantity]]+Table_15[[#This Row],[PACKING LOOSE]]</f>
        <v>25.08</v>
      </c>
      <c r="BF17" s="34">
        <f>IF(Table_15[[#This Row],[GRADED BAGS]]&gt;0,Table_15[[#This Row],[GRADED BAGS]],Table_15[[#This Row],[Bags]])</f>
        <v>45</v>
      </c>
    </row>
    <row r="18" spans="1:58" ht="14.25" hidden="1" customHeight="1" x14ac:dyDescent="0.35">
      <c r="A18" s="22">
        <v>15</v>
      </c>
      <c r="B18" s="22">
        <v>1331</v>
      </c>
      <c r="C18" s="23" t="s">
        <v>145</v>
      </c>
      <c r="D18" s="23">
        <v>8715</v>
      </c>
      <c r="E18" s="24">
        <v>46108.424768518518</v>
      </c>
      <c r="F18" s="23">
        <v>4085</v>
      </c>
      <c r="G18" s="100">
        <v>46108.442812499998</v>
      </c>
      <c r="H18" s="101">
        <v>4630</v>
      </c>
      <c r="I18" s="102" t="s">
        <v>146</v>
      </c>
      <c r="J18" s="102" t="s">
        <v>144</v>
      </c>
      <c r="K18" s="102">
        <v>88</v>
      </c>
      <c r="L18" s="22">
        <v>0.6</v>
      </c>
      <c r="M18" s="25">
        <f t="shared" si="5"/>
        <v>53</v>
      </c>
      <c r="N18" s="25">
        <f t="shared" si="1"/>
        <v>45.77</v>
      </c>
      <c r="O18" s="25">
        <f t="shared" si="2"/>
        <v>0.16</v>
      </c>
      <c r="P18" s="25">
        <f t="shared" si="3"/>
        <v>45.610000000000007</v>
      </c>
      <c r="Q18" s="22"/>
      <c r="R18" s="22"/>
      <c r="S18" s="22"/>
      <c r="T18" s="168"/>
      <c r="U18" s="171">
        <f t="shared" si="4"/>
        <v>0</v>
      </c>
      <c r="V18" s="169"/>
      <c r="W18" s="28"/>
      <c r="X18" s="25" t="str">
        <f>+IF(AND('GRADING PACKING'!L$5=INWARDDATA!J18,'GRADING PACKING'!L$6=INWARDDATA!I18,AB18=0),"TRUE","FALSE")</f>
        <v>FALSE</v>
      </c>
      <c r="Y18" s="29"/>
      <c r="Z18" s="22"/>
      <c r="AA18" s="22"/>
      <c r="AB18" s="30"/>
      <c r="AC18" s="22"/>
      <c r="AD18" s="30"/>
      <c r="AE18" s="30"/>
      <c r="AF18" s="30"/>
      <c r="AG18" s="31"/>
      <c r="AH18" s="30"/>
      <c r="AI18" s="30"/>
      <c r="AJ18" s="31"/>
      <c r="AK18" s="30"/>
      <c r="AL18" s="22"/>
      <c r="AM18" s="31"/>
      <c r="AN18" s="32" t="str">
        <f>+IF(AND('GRADING PACKING'!L$5=INWARDDATA!J18,'GRADING PACKING'!L$6=INWARDDATA!I18,AR18=0),"good","bad")</f>
        <v>bad</v>
      </c>
      <c r="AO18" s="33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86"/>
      <c r="BC18" s="86"/>
      <c r="BD18" s="97">
        <f>Table_15[[#This Row],[Wgt-Bag]]-Table_15[[#This Row],[Total Graded]]-Table_15[[#This Row],[UNDERSIZE]]+0.0011</f>
        <v>45.771100000000004</v>
      </c>
      <c r="BE18" s="86">
        <f>Table_15[[#This Row],[Total Graded]]-Table_15[[#This Row],[Packing Quantity]]+Table_15[[#This Row],[PACKING LOOSE]]</f>
        <v>0</v>
      </c>
      <c r="BF18" s="34">
        <f>IF(Table_15[[#This Row],[GRADED BAGS]]&gt;0,Table_15[[#This Row],[GRADED BAGS]],Table_15[[#This Row],[Bags]])</f>
        <v>88</v>
      </c>
    </row>
    <row r="19" spans="1:58" ht="14.25" hidden="1" customHeight="1" x14ac:dyDescent="0.35">
      <c r="A19" s="22">
        <v>16</v>
      </c>
      <c r="B19" s="22">
        <v>1332</v>
      </c>
      <c r="C19" s="23" t="s">
        <v>147</v>
      </c>
      <c r="D19" s="23">
        <v>8285</v>
      </c>
      <c r="E19" s="24">
        <v>46108.440300925926</v>
      </c>
      <c r="F19" s="23">
        <v>4010</v>
      </c>
      <c r="G19" s="100">
        <v>46108.47556712963</v>
      </c>
      <c r="H19" s="101">
        <v>4275</v>
      </c>
      <c r="I19" s="102" t="s">
        <v>125</v>
      </c>
      <c r="J19" s="102" t="s">
        <v>148</v>
      </c>
      <c r="K19" s="102">
        <v>0</v>
      </c>
      <c r="L19" s="22">
        <v>0</v>
      </c>
      <c r="M19" s="25">
        <f t="shared" si="5"/>
        <v>0</v>
      </c>
      <c r="N19" s="25">
        <f t="shared" si="1"/>
        <v>42.75</v>
      </c>
      <c r="O19" s="25">
        <f t="shared" si="2"/>
        <v>0.15000000000000002</v>
      </c>
      <c r="P19" s="25">
        <f t="shared" si="3"/>
        <v>42.6</v>
      </c>
      <c r="Q19" s="22"/>
      <c r="R19" s="22"/>
      <c r="S19" s="22"/>
      <c r="T19" s="168"/>
      <c r="U19" s="171">
        <f t="shared" si="4"/>
        <v>0</v>
      </c>
      <c r="V19" s="169"/>
      <c r="W19" s="28"/>
      <c r="X19" s="25" t="str">
        <f>+IF(AND('GRADING PACKING'!L$5=INWARDDATA!J19,'GRADING PACKING'!L$6=INWARDDATA!I19,AB19=0),"TRUE","FALSE")</f>
        <v>FALSE</v>
      </c>
      <c r="Y19" s="29">
        <v>46109</v>
      </c>
      <c r="Z19" s="22" t="s">
        <v>148</v>
      </c>
      <c r="AA19" s="22" t="s">
        <v>125</v>
      </c>
      <c r="AB19" s="30">
        <v>127.25</v>
      </c>
      <c r="AC19" s="22">
        <v>206</v>
      </c>
      <c r="AD19" s="30">
        <v>55</v>
      </c>
      <c r="AE19" s="30">
        <v>113.3</v>
      </c>
      <c r="AF19" s="30">
        <v>0</v>
      </c>
      <c r="AG19" s="31">
        <v>113.3</v>
      </c>
      <c r="AH19" s="30">
        <v>13.77</v>
      </c>
      <c r="AI19" s="30">
        <v>26</v>
      </c>
      <c r="AJ19" s="31">
        <v>10.821218074656189</v>
      </c>
      <c r="AK19" s="30">
        <v>127.07</v>
      </c>
      <c r="AL19" s="22" t="s">
        <v>153</v>
      </c>
      <c r="AM19" s="31">
        <v>-0.18000000000000682</v>
      </c>
      <c r="AN19" s="32" t="str">
        <f>+IF(AND('GRADING PACKING'!L$5=INWARDDATA!J19,'GRADING PACKING'!L$6=INWARDDATA!I19,AR19=0),"good","bad")</f>
        <v>bad</v>
      </c>
      <c r="AO19" s="33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86"/>
      <c r="BC19" s="86"/>
      <c r="BD19" s="97">
        <f>Table_15[[#This Row],[Wgt-Bag]]-Table_15[[#This Row],[Total Graded]]-Table_15[[#This Row],[UNDERSIZE]]+0.0011</f>
        <v>-84.318899999999999</v>
      </c>
      <c r="BE19" s="86">
        <f>Table_15[[#This Row],[Total Graded]]-Table_15[[#This Row],[Packing Quantity]]+Table_15[[#This Row],[PACKING LOOSE]]</f>
        <v>113.3</v>
      </c>
      <c r="BF19" s="34">
        <f>IF(Table_15[[#This Row],[GRADED BAGS]]&gt;0,Table_15[[#This Row],[GRADED BAGS]],Table_15[[#This Row],[Bags]])</f>
        <v>206</v>
      </c>
    </row>
    <row r="20" spans="1:58" ht="14.25" hidden="1" customHeight="1" x14ac:dyDescent="0.35">
      <c r="A20" s="22">
        <v>17</v>
      </c>
      <c r="B20" s="22">
        <v>1333</v>
      </c>
      <c r="C20" s="23" t="s">
        <v>149</v>
      </c>
      <c r="D20" s="23">
        <v>8325</v>
      </c>
      <c r="E20" s="24">
        <v>46108.441412037035</v>
      </c>
      <c r="F20" s="23">
        <v>3800</v>
      </c>
      <c r="G20" s="100">
        <v>46108.500138888892</v>
      </c>
      <c r="H20" s="101">
        <v>4525</v>
      </c>
      <c r="I20" s="102" t="s">
        <v>125</v>
      </c>
      <c r="J20" s="102" t="s">
        <v>148</v>
      </c>
      <c r="K20" s="102">
        <v>0</v>
      </c>
      <c r="L20" s="22">
        <v>0</v>
      </c>
      <c r="M20" s="25">
        <f t="shared" si="5"/>
        <v>0</v>
      </c>
      <c r="N20" s="25">
        <f t="shared" si="1"/>
        <v>45.25</v>
      </c>
      <c r="O20" s="25">
        <f t="shared" si="2"/>
        <v>0.16</v>
      </c>
      <c r="P20" s="25">
        <f t="shared" si="3"/>
        <v>45.09</v>
      </c>
      <c r="Q20" s="22"/>
      <c r="R20" s="22"/>
      <c r="S20" s="22"/>
      <c r="T20" s="168"/>
      <c r="U20" s="171">
        <f t="shared" si="4"/>
        <v>0</v>
      </c>
      <c r="V20" s="169"/>
      <c r="W20" s="28"/>
      <c r="X20" s="25" t="str">
        <f>+IF(AND('GRADING PACKING'!L$5=INWARDDATA!J20,'GRADING PACKING'!L$6=INWARDDATA!I20,AB20=0),"TRUE","FALSE")</f>
        <v>FALSE</v>
      </c>
      <c r="Y20" s="29"/>
      <c r="Z20" s="22"/>
      <c r="AA20" s="22"/>
      <c r="AB20" s="30"/>
      <c r="AC20" s="22"/>
      <c r="AD20" s="30"/>
      <c r="AE20" s="30"/>
      <c r="AF20" s="30"/>
      <c r="AG20" s="31"/>
      <c r="AH20" s="30"/>
      <c r="AI20" s="30"/>
      <c r="AJ20" s="31"/>
      <c r="AK20" s="30"/>
      <c r="AL20" s="22"/>
      <c r="AM20" s="31"/>
      <c r="AN20" s="32" t="str">
        <f>+IF(AND('GRADING PACKING'!L$5=INWARDDATA!J20,'GRADING PACKING'!L$6=INWARDDATA!I20,AR20=0),"good","bad")</f>
        <v>bad</v>
      </c>
      <c r="AO20" s="33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86"/>
      <c r="BC20" s="86"/>
      <c r="BD20" s="97">
        <f>Table_15[[#This Row],[Wgt-Bag]]-Table_15[[#This Row],[Total Graded]]-Table_15[[#This Row],[UNDERSIZE]]+0.0011</f>
        <v>45.251100000000001</v>
      </c>
      <c r="BE20" s="86">
        <f>Table_15[[#This Row],[Total Graded]]-Table_15[[#This Row],[Packing Quantity]]+Table_15[[#This Row],[PACKING LOOSE]]</f>
        <v>0</v>
      </c>
      <c r="BF20" s="34">
        <f>IF(Table_15[[#This Row],[GRADED BAGS]]&gt;0,Table_15[[#This Row],[GRADED BAGS]],Table_15[[#This Row],[Bags]])</f>
        <v>0</v>
      </c>
    </row>
    <row r="21" spans="1:58" ht="14.25" hidden="1" customHeight="1" x14ac:dyDescent="0.35">
      <c r="A21" s="22">
        <v>18</v>
      </c>
      <c r="B21" s="22">
        <v>1334</v>
      </c>
      <c r="C21" s="23" t="s">
        <v>150</v>
      </c>
      <c r="D21" s="23">
        <v>8105</v>
      </c>
      <c r="E21" s="24">
        <v>46108.449247685188</v>
      </c>
      <c r="F21" s="23">
        <v>4180</v>
      </c>
      <c r="G21" s="100">
        <v>46108.533692129633</v>
      </c>
      <c r="H21" s="101">
        <v>3925</v>
      </c>
      <c r="I21" s="102" t="s">
        <v>125</v>
      </c>
      <c r="J21" s="102" t="s">
        <v>148</v>
      </c>
      <c r="K21" s="102">
        <v>0</v>
      </c>
      <c r="L21" s="22">
        <v>0</v>
      </c>
      <c r="M21" s="25">
        <f t="shared" si="5"/>
        <v>0</v>
      </c>
      <c r="N21" s="25">
        <f t="shared" si="1"/>
        <v>39.25</v>
      </c>
      <c r="O21" s="25">
        <f t="shared" si="2"/>
        <v>0.14000000000000001</v>
      </c>
      <c r="P21" s="25">
        <f t="shared" si="3"/>
        <v>39.11</v>
      </c>
      <c r="Q21" s="22"/>
      <c r="R21" s="22"/>
      <c r="S21" s="22"/>
      <c r="T21" s="168"/>
      <c r="U21" s="171">
        <f t="shared" si="4"/>
        <v>0</v>
      </c>
      <c r="V21" s="169"/>
      <c r="W21" s="28"/>
      <c r="X21" s="25" t="str">
        <f>+IF(AND('GRADING PACKING'!L$5=INWARDDATA!J21,'GRADING PACKING'!L$6=INWARDDATA!I21,AB21=0),"TRUE","FALSE")</f>
        <v>FALSE</v>
      </c>
      <c r="Y21" s="29"/>
      <c r="Z21" s="22"/>
      <c r="AA21" s="22"/>
      <c r="AB21" s="30"/>
      <c r="AC21" s="22"/>
      <c r="AD21" s="30"/>
      <c r="AE21" s="30"/>
      <c r="AF21" s="30"/>
      <c r="AG21" s="31"/>
      <c r="AH21" s="30"/>
      <c r="AI21" s="30"/>
      <c r="AJ21" s="31"/>
      <c r="AK21" s="30"/>
      <c r="AL21" s="22"/>
      <c r="AM21" s="31"/>
      <c r="AN21" s="32" t="str">
        <f>+IF(AND('GRADING PACKING'!L$5=INWARDDATA!J21,'GRADING PACKING'!L$6=INWARDDATA!I21,AR21=0),"good","bad")</f>
        <v>bad</v>
      </c>
      <c r="AO21" s="33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86"/>
      <c r="BC21" s="86"/>
      <c r="BD21" s="97">
        <f>Table_15[[#This Row],[Wgt-Bag]]-Table_15[[#This Row],[Total Graded]]-Table_15[[#This Row],[UNDERSIZE]]+0.0011</f>
        <v>39.251100000000001</v>
      </c>
      <c r="BE21" s="86">
        <f>Table_15[[#This Row],[Total Graded]]-Table_15[[#This Row],[Packing Quantity]]+Table_15[[#This Row],[PACKING LOOSE]]</f>
        <v>0</v>
      </c>
      <c r="BF21" s="34">
        <f>IF(Table_15[[#This Row],[GRADED BAGS]]&gt;0,Table_15[[#This Row],[GRADED BAGS]],Table_15[[#This Row],[Bags]])</f>
        <v>0</v>
      </c>
    </row>
    <row r="22" spans="1:58" ht="14.25" hidden="1" customHeight="1" x14ac:dyDescent="0.35">
      <c r="A22" s="22">
        <v>19</v>
      </c>
      <c r="B22" s="22">
        <v>1335</v>
      </c>
      <c r="C22" s="23" t="s">
        <v>151</v>
      </c>
      <c r="D22" s="23">
        <v>9405</v>
      </c>
      <c r="E22" s="24">
        <v>46108.608749999999</v>
      </c>
      <c r="F22" s="23">
        <v>4145</v>
      </c>
      <c r="G22" s="100">
        <v>46108.674131944441</v>
      </c>
      <c r="H22" s="101">
        <v>5260</v>
      </c>
      <c r="I22" s="102" t="s">
        <v>125</v>
      </c>
      <c r="J22" s="102" t="s">
        <v>138</v>
      </c>
      <c r="K22" s="102">
        <v>0</v>
      </c>
      <c r="L22" s="22">
        <v>0</v>
      </c>
      <c r="M22" s="25">
        <f t="shared" si="5"/>
        <v>0</v>
      </c>
      <c r="N22" s="25">
        <f t="shared" si="1"/>
        <v>52.6</v>
      </c>
      <c r="O22" s="25">
        <f t="shared" si="2"/>
        <v>0.18000000000000002</v>
      </c>
      <c r="P22" s="25">
        <f t="shared" si="3"/>
        <v>52.42</v>
      </c>
      <c r="Q22" s="22"/>
      <c r="R22" s="22"/>
      <c r="S22" s="22"/>
      <c r="T22" s="168"/>
      <c r="U22" s="171">
        <f t="shared" si="4"/>
        <v>0</v>
      </c>
      <c r="V22" s="169"/>
      <c r="W22" s="28"/>
      <c r="X22" s="25" t="str">
        <f>+IF(AND('GRADING PACKING'!L$5=INWARDDATA!J22,'GRADING PACKING'!L$6=INWARDDATA!I22,AB22=0),"TRUE","FALSE")</f>
        <v>FALSE</v>
      </c>
      <c r="Y22" s="29"/>
      <c r="Z22" s="22"/>
      <c r="AA22" s="22"/>
      <c r="AB22" s="30"/>
      <c r="AC22" s="22"/>
      <c r="AD22" s="30"/>
      <c r="AE22" s="30"/>
      <c r="AF22" s="30"/>
      <c r="AG22" s="31"/>
      <c r="AH22" s="30"/>
      <c r="AI22" s="30"/>
      <c r="AJ22" s="31"/>
      <c r="AK22" s="30"/>
      <c r="AL22" s="22"/>
      <c r="AM22" s="31"/>
      <c r="AN22" s="32" t="str">
        <f>+IF(AND('GRADING PACKING'!L$5=INWARDDATA!J22,'GRADING PACKING'!L$6=INWARDDATA!I22,AR22=0),"good","bad")</f>
        <v>bad</v>
      </c>
      <c r="AO22" s="33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86"/>
      <c r="BC22" s="86"/>
      <c r="BD22" s="97">
        <f>Table_15[[#This Row],[Wgt-Bag]]-Table_15[[#This Row],[Total Graded]]-Table_15[[#This Row],[UNDERSIZE]]+0.0011</f>
        <v>52.601100000000002</v>
      </c>
      <c r="BE22" s="86">
        <f>Table_15[[#This Row],[Total Graded]]-Table_15[[#This Row],[Packing Quantity]]+Table_15[[#This Row],[PACKING LOOSE]]</f>
        <v>0</v>
      </c>
      <c r="BF22" s="34">
        <f>IF(Table_15[[#This Row],[GRADED BAGS]]&gt;0,Table_15[[#This Row],[GRADED BAGS]],Table_15[[#This Row],[Bags]])</f>
        <v>0</v>
      </c>
    </row>
    <row r="23" spans="1:58" ht="14.25" hidden="1" customHeight="1" x14ac:dyDescent="0.35">
      <c r="A23" s="22">
        <v>20</v>
      </c>
      <c r="B23" s="22">
        <v>1336</v>
      </c>
      <c r="C23" s="23" t="s">
        <v>152</v>
      </c>
      <c r="D23" s="23">
        <v>9635</v>
      </c>
      <c r="E23" s="24">
        <v>46108.609872685185</v>
      </c>
      <c r="F23" s="23">
        <v>4175</v>
      </c>
      <c r="G23" s="100">
        <v>46108.707465277781</v>
      </c>
      <c r="H23" s="101">
        <v>5460</v>
      </c>
      <c r="I23" s="102" t="s">
        <v>125</v>
      </c>
      <c r="J23" s="102" t="s">
        <v>138</v>
      </c>
      <c r="K23" s="102">
        <v>0</v>
      </c>
      <c r="L23" s="22">
        <v>0</v>
      </c>
      <c r="M23" s="25">
        <f t="shared" si="5"/>
        <v>0</v>
      </c>
      <c r="N23" s="25">
        <f t="shared" si="1"/>
        <v>54.6</v>
      </c>
      <c r="O23" s="25">
        <f t="shared" si="2"/>
        <v>0.19</v>
      </c>
      <c r="P23" s="25">
        <f t="shared" si="3"/>
        <v>54.410000000000004</v>
      </c>
      <c r="Q23" s="22"/>
      <c r="R23" s="22"/>
      <c r="S23" s="22"/>
      <c r="T23" s="168"/>
      <c r="U23" s="171">
        <f t="shared" si="4"/>
        <v>0</v>
      </c>
      <c r="V23" s="169"/>
      <c r="W23" s="28"/>
      <c r="X23" s="25" t="str">
        <f>+IF(AND('GRADING PACKING'!L$5=INWARDDATA!J23,'GRADING PACKING'!L$6=INWARDDATA!I23,AB23=0),"TRUE","FALSE")</f>
        <v>FALSE</v>
      </c>
      <c r="Y23" s="29"/>
      <c r="Z23" s="22"/>
      <c r="AA23" s="22"/>
      <c r="AB23" s="30"/>
      <c r="AC23" s="22"/>
      <c r="AD23" s="30"/>
      <c r="AE23" s="30"/>
      <c r="AF23" s="30"/>
      <c r="AG23" s="31"/>
      <c r="AH23" s="30"/>
      <c r="AI23" s="30"/>
      <c r="AJ23" s="31"/>
      <c r="AK23" s="30"/>
      <c r="AL23" s="22"/>
      <c r="AM23" s="31"/>
      <c r="AN23" s="32" t="str">
        <f>+IF(AND('GRADING PACKING'!L$5=INWARDDATA!J23,'GRADING PACKING'!L$6=INWARDDATA!I23,AR23=0),"good","bad")</f>
        <v>bad</v>
      </c>
      <c r="AO23" s="33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86"/>
      <c r="BC23" s="86"/>
      <c r="BD23" s="97">
        <f>Table_15[[#This Row],[Wgt-Bag]]-Table_15[[#This Row],[Total Graded]]-Table_15[[#This Row],[UNDERSIZE]]+0.0011</f>
        <v>54.601100000000002</v>
      </c>
      <c r="BE23" s="86">
        <f>Table_15[[#This Row],[Total Graded]]-Table_15[[#This Row],[Packing Quantity]]+Table_15[[#This Row],[PACKING LOOSE]]</f>
        <v>0</v>
      </c>
      <c r="BF23" s="34">
        <f>IF(Table_15[[#This Row],[GRADED BAGS]]&gt;0,Table_15[[#This Row],[GRADED BAGS]],Table_15[[#This Row],[Bags]])</f>
        <v>0</v>
      </c>
    </row>
    <row r="24" spans="1:58" ht="14.25" hidden="1" customHeight="1" x14ac:dyDescent="0.35">
      <c r="A24" s="22">
        <v>21</v>
      </c>
      <c r="B24" s="22">
        <v>1337</v>
      </c>
      <c r="C24" s="23" t="s">
        <v>151</v>
      </c>
      <c r="D24" s="23">
        <v>9410</v>
      </c>
      <c r="E24" s="24">
        <v>46109.437280092592</v>
      </c>
      <c r="F24" s="23">
        <v>4200</v>
      </c>
      <c r="G24" s="100">
        <v>46109.5237037037</v>
      </c>
      <c r="H24" s="101">
        <v>5210</v>
      </c>
      <c r="I24" s="102" t="s">
        <v>125</v>
      </c>
      <c r="J24" s="102" t="s">
        <v>138</v>
      </c>
      <c r="K24" s="102">
        <v>0</v>
      </c>
      <c r="L24" s="22">
        <v>0</v>
      </c>
      <c r="M24" s="25">
        <f t="shared" si="5"/>
        <v>0</v>
      </c>
      <c r="N24" s="25">
        <f t="shared" si="1"/>
        <v>52.1</v>
      </c>
      <c r="O24" s="25">
        <f t="shared" si="2"/>
        <v>0.18000000000000002</v>
      </c>
      <c r="P24" s="25">
        <f t="shared" si="3"/>
        <v>51.92</v>
      </c>
      <c r="Q24" s="22"/>
      <c r="R24" s="22"/>
      <c r="S24" s="22"/>
      <c r="T24" s="168"/>
      <c r="U24" s="171">
        <f t="shared" si="4"/>
        <v>0</v>
      </c>
      <c r="V24" s="169"/>
      <c r="W24" s="28"/>
      <c r="X24" s="25" t="str">
        <f>+IF(AND('GRADING PACKING'!L$5=INWARDDATA!J24,'GRADING PACKING'!L$6=INWARDDATA!I24,AB24=0),"TRUE","FALSE")</f>
        <v>FALSE</v>
      </c>
      <c r="Y24" s="29"/>
      <c r="Z24" s="22"/>
      <c r="AA24" s="22"/>
      <c r="AB24" s="30"/>
      <c r="AC24" s="22"/>
      <c r="AD24" s="30"/>
      <c r="AE24" s="30"/>
      <c r="AF24" s="30"/>
      <c r="AG24" s="31"/>
      <c r="AH24" s="30"/>
      <c r="AI24" s="30"/>
      <c r="AJ24" s="31"/>
      <c r="AK24" s="30"/>
      <c r="AL24" s="22"/>
      <c r="AM24" s="31"/>
      <c r="AN24" s="32" t="str">
        <f>+IF(AND('GRADING PACKING'!L$5=INWARDDATA!J24,'GRADING PACKING'!L$6=INWARDDATA!I24,AR24=0),"good","bad")</f>
        <v>bad</v>
      </c>
      <c r="AO24" s="33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86"/>
      <c r="BC24" s="86"/>
      <c r="BD24" s="97">
        <f>Table_15[[#This Row],[Wgt-Bag]]-Table_15[[#This Row],[Total Graded]]-Table_15[[#This Row],[UNDERSIZE]]+0.0011</f>
        <v>52.101100000000002</v>
      </c>
      <c r="BE24" s="86">
        <f>Table_15[[#This Row],[Total Graded]]-Table_15[[#This Row],[Packing Quantity]]+Table_15[[#This Row],[PACKING LOOSE]]</f>
        <v>0</v>
      </c>
      <c r="BF24" s="34">
        <f>IF(Table_15[[#This Row],[GRADED BAGS]]&gt;0,Table_15[[#This Row],[GRADED BAGS]],Table_15[[#This Row],[Bags]])</f>
        <v>0</v>
      </c>
    </row>
    <row r="25" spans="1:58" ht="15" hidden="1" customHeight="1" x14ac:dyDescent="0.35">
      <c r="A25" s="22">
        <v>22</v>
      </c>
      <c r="B25" s="22">
        <v>1338</v>
      </c>
      <c r="C25" s="23" t="s">
        <v>152</v>
      </c>
      <c r="D25" s="23">
        <v>9665</v>
      </c>
      <c r="E25" s="24">
        <v>46109.455891203703</v>
      </c>
      <c r="F25" s="23">
        <v>4175</v>
      </c>
      <c r="G25" s="100">
        <v>46109.5471875</v>
      </c>
      <c r="H25" s="101">
        <v>5490</v>
      </c>
      <c r="I25" s="102" t="s">
        <v>125</v>
      </c>
      <c r="J25" s="102" t="s">
        <v>138</v>
      </c>
      <c r="K25" s="102">
        <v>0</v>
      </c>
      <c r="L25" s="22">
        <v>0</v>
      </c>
      <c r="M25" s="25">
        <f t="shared" si="5"/>
        <v>0</v>
      </c>
      <c r="N25" s="25">
        <f t="shared" si="1"/>
        <v>54.9</v>
      </c>
      <c r="O25" s="25">
        <f t="shared" si="2"/>
        <v>0.19</v>
      </c>
      <c r="P25" s="25">
        <f t="shared" si="3"/>
        <v>54.71</v>
      </c>
      <c r="Q25" s="22"/>
      <c r="R25" s="22"/>
      <c r="S25" s="22"/>
      <c r="T25" s="168"/>
      <c r="U25" s="171">
        <f t="shared" si="4"/>
        <v>0</v>
      </c>
      <c r="V25" s="169"/>
      <c r="W25" s="28"/>
      <c r="X25" s="25" t="str">
        <f>+IF(AND('GRADING PACKING'!L$5=INWARDDATA!J25,'GRADING PACKING'!L$6=INWARDDATA!I25,AB25=0),"TRUE","FALSE")</f>
        <v>FALSE</v>
      </c>
      <c r="Y25" s="29"/>
      <c r="Z25" s="22"/>
      <c r="AA25" s="22"/>
      <c r="AB25" s="30"/>
      <c r="AC25" s="22"/>
      <c r="AD25" s="30"/>
      <c r="AE25" s="30"/>
      <c r="AF25" s="30"/>
      <c r="AG25" s="31"/>
      <c r="AH25" s="30"/>
      <c r="AI25" s="30"/>
      <c r="AJ25" s="31"/>
      <c r="AK25" s="30"/>
      <c r="AL25" s="22"/>
      <c r="AM25" s="31"/>
      <c r="AN25" s="32" t="str">
        <f>+IF(AND('GRADING PACKING'!L$5=INWARDDATA!J25,'GRADING PACKING'!L$6=INWARDDATA!I25,AR25=0),"good","bad")</f>
        <v>bad</v>
      </c>
      <c r="AO25" s="33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86"/>
      <c r="BC25" s="86"/>
      <c r="BD25" s="97">
        <f>Table_15[[#This Row],[Wgt-Bag]]-Table_15[[#This Row],[Total Graded]]-Table_15[[#This Row],[UNDERSIZE]]+0.0011</f>
        <v>54.9011</v>
      </c>
      <c r="BE25" s="86">
        <f>Table_15[[#This Row],[Total Graded]]-Table_15[[#This Row],[Packing Quantity]]+Table_15[[#This Row],[PACKING LOOSE]]</f>
        <v>0</v>
      </c>
      <c r="BF25" s="34">
        <f>IF(Table_15[[#This Row],[GRADED BAGS]]&gt;0,Table_15[[#This Row],[GRADED BAGS]],Table_15[[#This Row],[Bags]])</f>
        <v>0</v>
      </c>
    </row>
    <row r="26" spans="1:58" ht="14.25" hidden="1" customHeight="1" x14ac:dyDescent="0.35">
      <c r="A26" s="22">
        <v>23</v>
      </c>
      <c r="B26" s="22">
        <v>1339</v>
      </c>
      <c r="C26" s="23" t="s">
        <v>154</v>
      </c>
      <c r="D26" s="23">
        <v>14955</v>
      </c>
      <c r="E26" s="24">
        <v>46111.414803240739</v>
      </c>
      <c r="F26" s="23">
        <v>3755</v>
      </c>
      <c r="G26" s="100">
        <v>46111.581886574073</v>
      </c>
      <c r="H26" s="101">
        <v>11200</v>
      </c>
      <c r="I26" s="102" t="s">
        <v>155</v>
      </c>
      <c r="J26" s="102" t="s">
        <v>156</v>
      </c>
      <c r="K26" s="102">
        <v>181</v>
      </c>
      <c r="L26" s="22">
        <v>0.6</v>
      </c>
      <c r="M26" s="25">
        <f t="shared" si="5"/>
        <v>109</v>
      </c>
      <c r="N26" s="25">
        <f t="shared" si="1"/>
        <v>110.91</v>
      </c>
      <c r="O26" s="25">
        <f t="shared" si="2"/>
        <v>0.38</v>
      </c>
      <c r="P26" s="25">
        <f t="shared" si="3"/>
        <v>110.53</v>
      </c>
      <c r="Q26" s="22"/>
      <c r="R26" s="22"/>
      <c r="S26" s="22"/>
      <c r="T26" s="168"/>
      <c r="U26" s="171">
        <f t="shared" si="4"/>
        <v>0</v>
      </c>
      <c r="V26" s="169"/>
      <c r="W26" s="28"/>
      <c r="X26" s="25" t="str">
        <f>+IF(AND('GRADING PACKING'!L$5=INWARDDATA!J26,'GRADING PACKING'!L$6=INWARDDATA!I26,AB26=0),"TRUE","FALSE")</f>
        <v>FALSE</v>
      </c>
      <c r="Y26" s="29"/>
      <c r="Z26" s="22"/>
      <c r="AA26" s="22"/>
      <c r="AB26" s="30"/>
      <c r="AC26" s="22"/>
      <c r="AD26" s="30"/>
      <c r="AE26" s="30"/>
      <c r="AF26" s="30"/>
      <c r="AG26" s="31"/>
      <c r="AH26" s="30"/>
      <c r="AI26" s="30"/>
      <c r="AJ26" s="31"/>
      <c r="AK26" s="30"/>
      <c r="AL26" s="22"/>
      <c r="AM26" s="31"/>
      <c r="AN26" s="32" t="str">
        <f>+IF(AND('GRADING PACKING'!L$5=INWARDDATA!J26,'GRADING PACKING'!L$6=INWARDDATA!I26,AR26=0),"good","bad")</f>
        <v>bad</v>
      </c>
      <c r="AO26" s="33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86"/>
      <c r="BC26" s="86"/>
      <c r="BD26" s="97">
        <f>Table_15[[#This Row],[Wgt-Bag]]-Table_15[[#This Row],[Total Graded]]-Table_15[[#This Row],[UNDERSIZE]]+0.0011</f>
        <v>110.91109999999999</v>
      </c>
      <c r="BE26" s="86">
        <f>Table_15[[#This Row],[Total Graded]]-Table_15[[#This Row],[Packing Quantity]]+Table_15[[#This Row],[PACKING LOOSE]]</f>
        <v>0</v>
      </c>
      <c r="BF26" s="34">
        <f>IF(Table_15[[#This Row],[GRADED BAGS]]&gt;0,Table_15[[#This Row],[GRADED BAGS]],Table_15[[#This Row],[Bags]])</f>
        <v>181</v>
      </c>
    </row>
    <row r="27" spans="1:58" ht="14.25" hidden="1" customHeight="1" x14ac:dyDescent="0.35">
      <c r="A27" s="22">
        <v>24</v>
      </c>
      <c r="B27" s="22">
        <v>1340</v>
      </c>
      <c r="C27" s="23" t="s">
        <v>157</v>
      </c>
      <c r="D27" s="23">
        <v>10725</v>
      </c>
      <c r="E27" s="24">
        <v>46111.415821759256</v>
      </c>
      <c r="F27" s="23">
        <v>3260</v>
      </c>
      <c r="G27" s="100">
        <v>46111.532650462963</v>
      </c>
      <c r="H27" s="101">
        <v>7465</v>
      </c>
      <c r="I27" s="102" t="s">
        <v>155</v>
      </c>
      <c r="J27" s="102" t="s">
        <v>156</v>
      </c>
      <c r="K27" s="102">
        <v>121</v>
      </c>
      <c r="L27" s="22">
        <v>0.6</v>
      </c>
      <c r="M27" s="25">
        <f t="shared" si="5"/>
        <v>73</v>
      </c>
      <c r="N27" s="25">
        <f t="shared" si="1"/>
        <v>73.92</v>
      </c>
      <c r="O27" s="25">
        <f t="shared" si="2"/>
        <v>0.25</v>
      </c>
      <c r="P27" s="25">
        <f t="shared" si="3"/>
        <v>73.67</v>
      </c>
      <c r="Q27" s="22"/>
      <c r="R27" s="22"/>
      <c r="S27" s="22"/>
      <c r="T27" s="168"/>
      <c r="U27" s="171">
        <f t="shared" si="4"/>
        <v>0</v>
      </c>
      <c r="V27" s="169"/>
      <c r="W27" s="28"/>
      <c r="X27" s="25" t="str">
        <f>+IF(AND('GRADING PACKING'!L$5=INWARDDATA!J27,'GRADING PACKING'!L$6=INWARDDATA!I27,AB27=0),"TRUE","FALSE")</f>
        <v>FALSE</v>
      </c>
      <c r="Y27" s="29"/>
      <c r="Z27" s="22"/>
      <c r="AA27" s="22"/>
      <c r="AB27" s="30"/>
      <c r="AC27" s="22"/>
      <c r="AD27" s="30"/>
      <c r="AE27" s="30"/>
      <c r="AF27" s="30"/>
      <c r="AG27" s="31"/>
      <c r="AH27" s="30"/>
      <c r="AI27" s="30"/>
      <c r="AJ27" s="31"/>
      <c r="AK27" s="30"/>
      <c r="AL27" s="22"/>
      <c r="AM27" s="31"/>
      <c r="AN27" s="32" t="str">
        <f>+IF(AND('GRADING PACKING'!L$5=INWARDDATA!J27,'GRADING PACKING'!L$6=INWARDDATA!I27,AR27=0),"good","bad")</f>
        <v>bad</v>
      </c>
      <c r="AO27" s="33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86"/>
      <c r="BC27" s="86"/>
      <c r="BD27" s="97">
        <f>Table_15[[#This Row],[Wgt-Bag]]-Table_15[[#This Row],[Total Graded]]-Table_15[[#This Row],[UNDERSIZE]]+0.0011</f>
        <v>73.921099999999996</v>
      </c>
      <c r="BE27" s="86">
        <f>Table_15[[#This Row],[Total Graded]]-Table_15[[#This Row],[Packing Quantity]]+Table_15[[#This Row],[PACKING LOOSE]]</f>
        <v>0</v>
      </c>
      <c r="BF27" s="34">
        <f>IF(Table_15[[#This Row],[GRADED BAGS]]&gt;0,Table_15[[#This Row],[GRADED BAGS]],Table_15[[#This Row],[Bags]])</f>
        <v>121</v>
      </c>
    </row>
    <row r="28" spans="1:58" ht="15" hidden="1" customHeight="1" x14ac:dyDescent="0.35">
      <c r="A28" s="22">
        <v>25</v>
      </c>
      <c r="B28" s="22">
        <v>1341</v>
      </c>
      <c r="C28" s="23" t="s">
        <v>158</v>
      </c>
      <c r="D28" s="23">
        <v>9205</v>
      </c>
      <c r="E28" s="24">
        <v>46111.416759259257</v>
      </c>
      <c r="F28" s="23">
        <v>3675</v>
      </c>
      <c r="G28" s="100">
        <v>46111.460706018515</v>
      </c>
      <c r="H28" s="101">
        <v>5530</v>
      </c>
      <c r="I28" s="102" t="s">
        <v>155</v>
      </c>
      <c r="J28" s="102" t="s">
        <v>159</v>
      </c>
      <c r="K28" s="102">
        <v>95</v>
      </c>
      <c r="L28" s="22">
        <v>0.6</v>
      </c>
      <c r="M28" s="25">
        <f t="shared" si="5"/>
        <v>57</v>
      </c>
      <c r="N28" s="25">
        <f t="shared" si="1"/>
        <v>54.73</v>
      </c>
      <c r="O28" s="25">
        <f t="shared" si="2"/>
        <v>0.19</v>
      </c>
      <c r="P28" s="25">
        <f t="shared" si="3"/>
        <v>54.54</v>
      </c>
      <c r="Q28" s="22"/>
      <c r="R28" s="22"/>
      <c r="S28" s="22"/>
      <c r="T28" s="168"/>
      <c r="U28" s="171">
        <f t="shared" si="4"/>
        <v>0</v>
      </c>
      <c r="V28" s="169"/>
      <c r="W28" s="28"/>
      <c r="X28" s="25" t="str">
        <f>+IF(AND('GRADING PACKING'!L$5=INWARDDATA!J28,'GRADING PACKING'!L$6=INWARDDATA!I28,AB28=0),"TRUE","FALSE")</f>
        <v>FALSE</v>
      </c>
      <c r="Y28" s="29"/>
      <c r="Z28" s="22"/>
      <c r="AA28" s="102"/>
      <c r="AB28" s="30"/>
      <c r="AC28" s="22"/>
      <c r="AD28" s="30"/>
      <c r="AE28" s="30"/>
      <c r="AF28" s="30"/>
      <c r="AG28" s="31"/>
      <c r="AH28" s="30"/>
      <c r="AI28" s="30"/>
      <c r="AJ28" s="31"/>
      <c r="AK28" s="30"/>
      <c r="AL28" s="31"/>
      <c r="AM28" s="31"/>
      <c r="AN28" s="32" t="str">
        <f>+IF(AND('GRADING PACKING'!L$5=INWARDDATA!J28,'GRADING PACKING'!L$6=INWARDDATA!I28,AR28=0),"good","bad")</f>
        <v>bad</v>
      </c>
      <c r="AO28" s="33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86"/>
      <c r="BC28" s="86"/>
      <c r="BD28" s="97">
        <f>Table_15[[#This Row],[Wgt-Bag]]-Table_15[[#This Row],[Total Graded]]-Table_15[[#This Row],[UNDERSIZE]]+0.0011</f>
        <v>54.731099999999998</v>
      </c>
      <c r="BE28" s="86">
        <f>Table_15[[#This Row],[Total Graded]]-Table_15[[#This Row],[Packing Quantity]]+Table_15[[#This Row],[PACKING LOOSE]]</f>
        <v>0</v>
      </c>
      <c r="BF28" s="34">
        <f>IF(Table_15[[#This Row],[GRADED BAGS]]&gt;0,Table_15[[#This Row],[GRADED BAGS]],Table_15[[#This Row],[Bags]])</f>
        <v>95</v>
      </c>
    </row>
    <row r="29" spans="1:58" ht="15" hidden="1" customHeight="1" x14ac:dyDescent="0.35">
      <c r="A29" s="22">
        <v>26</v>
      </c>
      <c r="B29" s="22">
        <v>1342</v>
      </c>
      <c r="C29" s="23" t="s">
        <v>160</v>
      </c>
      <c r="D29" s="23">
        <v>10875</v>
      </c>
      <c r="E29" s="24">
        <v>46111.417812500003</v>
      </c>
      <c r="F29" s="23">
        <v>4350</v>
      </c>
      <c r="G29" s="100">
        <v>46111.553622685184</v>
      </c>
      <c r="H29" s="101">
        <v>6525</v>
      </c>
      <c r="I29" s="102" t="s">
        <v>155</v>
      </c>
      <c r="J29" s="102" t="s">
        <v>156</v>
      </c>
      <c r="K29" s="102">
        <v>104</v>
      </c>
      <c r="L29" s="22">
        <v>0.6</v>
      </c>
      <c r="M29" s="25">
        <f t="shared" si="5"/>
        <v>63</v>
      </c>
      <c r="N29" s="25">
        <f t="shared" si="1"/>
        <v>64.62</v>
      </c>
      <c r="O29" s="25">
        <f t="shared" si="2"/>
        <v>0.22</v>
      </c>
      <c r="P29" s="25">
        <f t="shared" si="3"/>
        <v>64.400000000000006</v>
      </c>
      <c r="Q29" s="22"/>
      <c r="R29" s="22"/>
      <c r="S29" s="22"/>
      <c r="T29" s="168"/>
      <c r="U29" s="171">
        <f t="shared" si="4"/>
        <v>0</v>
      </c>
      <c r="V29" s="169"/>
      <c r="W29" s="28"/>
      <c r="X29" s="25" t="str">
        <f>+IF(AND('GRADING PACKING'!L$5=INWARDDATA!J29,'GRADING PACKING'!L$6=INWARDDATA!I29,AB29=0),"TRUE","FALSE")</f>
        <v>FALSE</v>
      </c>
      <c r="Y29" s="29"/>
      <c r="Z29" s="22"/>
      <c r="AA29" s="102"/>
      <c r="AB29" s="30"/>
      <c r="AC29" s="22"/>
      <c r="AD29" s="30"/>
      <c r="AE29" s="30"/>
      <c r="AF29" s="30"/>
      <c r="AG29" s="31"/>
      <c r="AH29" s="30"/>
      <c r="AI29" s="30"/>
      <c r="AJ29" s="31"/>
      <c r="AK29" s="30"/>
      <c r="AL29" s="31"/>
      <c r="AM29" s="31"/>
      <c r="AN29" s="32" t="str">
        <f>+IF(AND('GRADING PACKING'!L$5=INWARDDATA!J29,'GRADING PACKING'!L$6=INWARDDATA!I29,AR29=0),"good","bad")</f>
        <v>bad</v>
      </c>
      <c r="AO29" s="33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86"/>
      <c r="BC29" s="86"/>
      <c r="BD29" s="97">
        <f>Table_15[[#This Row],[Wgt-Bag]]-Table_15[[#This Row],[Total Graded]]-Table_15[[#This Row],[UNDERSIZE]]+0.0011</f>
        <v>64.621099999999998</v>
      </c>
      <c r="BE29" s="86">
        <f>Table_15[[#This Row],[Total Graded]]-Table_15[[#This Row],[Packing Quantity]]+Table_15[[#This Row],[PACKING LOOSE]]</f>
        <v>0</v>
      </c>
      <c r="BF29" s="34">
        <f>IF(Table_15[[#This Row],[GRADED BAGS]]&gt;0,Table_15[[#This Row],[GRADED BAGS]],Table_15[[#This Row],[Bags]])</f>
        <v>104</v>
      </c>
    </row>
    <row r="30" spans="1:58" ht="15" hidden="1" customHeight="1" x14ac:dyDescent="0.35">
      <c r="A30" s="22">
        <v>27</v>
      </c>
      <c r="B30" s="22">
        <v>1343</v>
      </c>
      <c r="C30" s="23" t="s">
        <v>161</v>
      </c>
      <c r="D30" s="23">
        <v>10015</v>
      </c>
      <c r="E30" s="24">
        <v>46111.419120370374</v>
      </c>
      <c r="F30" s="23">
        <v>4135</v>
      </c>
      <c r="G30" s="100">
        <v>46111.49423611111</v>
      </c>
      <c r="H30" s="101">
        <v>5880</v>
      </c>
      <c r="I30" s="102" t="s">
        <v>155</v>
      </c>
      <c r="J30" s="102" t="s">
        <v>159</v>
      </c>
      <c r="K30" s="102">
        <v>100</v>
      </c>
      <c r="L30" s="22">
        <v>0.6</v>
      </c>
      <c r="M30" s="25">
        <f t="shared" si="5"/>
        <v>60</v>
      </c>
      <c r="N30" s="25">
        <f t="shared" si="1"/>
        <v>58.2</v>
      </c>
      <c r="O30" s="25">
        <f t="shared" si="2"/>
        <v>0.2</v>
      </c>
      <c r="P30" s="25">
        <f t="shared" si="3"/>
        <v>58</v>
      </c>
      <c r="Q30" s="22"/>
      <c r="R30" s="22"/>
      <c r="S30" s="22"/>
      <c r="T30" s="168"/>
      <c r="U30" s="171">
        <f t="shared" si="4"/>
        <v>0</v>
      </c>
      <c r="V30" s="169"/>
      <c r="W30" s="28"/>
      <c r="X30" s="25" t="str">
        <f>+IF(AND('GRADING PACKING'!L$5=INWARDDATA!J30,'GRADING PACKING'!L$6=INWARDDATA!I30,AB30=0),"TRUE","FALSE")</f>
        <v>FALSE</v>
      </c>
      <c r="Y30" s="29"/>
      <c r="Z30" s="22"/>
      <c r="AA30" s="102"/>
      <c r="AB30" s="30"/>
      <c r="AC30" s="22"/>
      <c r="AD30" s="30"/>
      <c r="AE30" s="30"/>
      <c r="AF30" s="30"/>
      <c r="AG30" s="31"/>
      <c r="AH30" s="30"/>
      <c r="AI30" s="30"/>
      <c r="AJ30" s="31"/>
      <c r="AK30" s="30"/>
      <c r="AL30" s="31"/>
      <c r="AM30" s="31"/>
      <c r="AN30" s="32" t="str">
        <f>+IF(AND('GRADING PACKING'!L$5=INWARDDATA!J30,'GRADING PACKING'!L$6=INWARDDATA!I30,AR30=0),"good","bad")</f>
        <v>bad</v>
      </c>
      <c r="AO30" s="33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86"/>
      <c r="BC30" s="86"/>
      <c r="BD30" s="97">
        <f>Table_15[[#This Row],[Wgt-Bag]]-Table_15[[#This Row],[Total Graded]]-Table_15[[#This Row],[UNDERSIZE]]+0.0011</f>
        <v>58.201100000000004</v>
      </c>
      <c r="BE30" s="86">
        <f>Table_15[[#This Row],[Total Graded]]-Table_15[[#This Row],[Packing Quantity]]+Table_15[[#This Row],[PACKING LOOSE]]</f>
        <v>0</v>
      </c>
      <c r="BF30" s="34">
        <f>IF(Table_15[[#This Row],[GRADED BAGS]]&gt;0,Table_15[[#This Row],[GRADED BAGS]],Table_15[[#This Row],[Bags]])</f>
        <v>100</v>
      </c>
    </row>
    <row r="31" spans="1:58" ht="15" hidden="1" customHeight="1" x14ac:dyDescent="0.35">
      <c r="A31" s="22">
        <v>28</v>
      </c>
      <c r="B31" s="22">
        <v>1344</v>
      </c>
      <c r="C31" s="23" t="s">
        <v>162</v>
      </c>
      <c r="D31" s="23">
        <v>10000</v>
      </c>
      <c r="E31" s="24">
        <v>46111.420358796298</v>
      </c>
      <c r="F31" s="23">
        <v>4060</v>
      </c>
      <c r="G31" s="100">
        <v>46111.495486111111</v>
      </c>
      <c r="H31" s="101">
        <v>5940</v>
      </c>
      <c r="I31" s="102" t="s">
        <v>155</v>
      </c>
      <c r="J31" s="102" t="s">
        <v>159</v>
      </c>
      <c r="K31" s="102">
        <v>100</v>
      </c>
      <c r="L31" s="22">
        <v>0.6</v>
      </c>
      <c r="M31" s="25">
        <f t="shared" si="5"/>
        <v>60</v>
      </c>
      <c r="N31" s="25">
        <f t="shared" si="1"/>
        <v>58.8</v>
      </c>
      <c r="O31" s="25">
        <f t="shared" si="2"/>
        <v>0.2</v>
      </c>
      <c r="P31" s="25">
        <f t="shared" si="3"/>
        <v>58.599999999999994</v>
      </c>
      <c r="Q31" s="22"/>
      <c r="R31" s="22"/>
      <c r="S31" s="22"/>
      <c r="T31" s="168"/>
      <c r="U31" s="171">
        <f t="shared" si="4"/>
        <v>0</v>
      </c>
      <c r="V31" s="169"/>
      <c r="W31" s="28"/>
      <c r="X31" s="25" t="str">
        <f>+IF(AND('GRADING PACKING'!L$5=INWARDDATA!J31,'GRADING PACKING'!L$6=INWARDDATA!I31,AB31=0),"TRUE","FALSE")</f>
        <v>FALSE</v>
      </c>
      <c r="Y31" s="29"/>
      <c r="Z31" s="22"/>
      <c r="AA31" s="102"/>
      <c r="AB31" s="30"/>
      <c r="AC31" s="22"/>
      <c r="AD31" s="30"/>
      <c r="AE31" s="30"/>
      <c r="AF31" s="30"/>
      <c r="AG31" s="31"/>
      <c r="AH31" s="30"/>
      <c r="AI31" s="30"/>
      <c r="AJ31" s="31"/>
      <c r="AK31" s="30"/>
      <c r="AL31" s="31"/>
      <c r="AM31" s="31"/>
      <c r="AN31" s="32" t="str">
        <f>+IF(AND('GRADING PACKING'!L$5=INWARDDATA!J31,'GRADING PACKING'!L$6=INWARDDATA!I31,AR31=0),"good","bad")</f>
        <v>bad</v>
      </c>
      <c r="AO31" s="33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86"/>
      <c r="BC31" s="86"/>
      <c r="BD31" s="97">
        <f>Table_15[[#This Row],[Wgt-Bag]]-Table_15[[#This Row],[Total Graded]]-Table_15[[#This Row],[UNDERSIZE]]+0.0011</f>
        <v>58.801099999999998</v>
      </c>
      <c r="BE31" s="86">
        <f>Table_15[[#This Row],[Total Graded]]-Table_15[[#This Row],[Packing Quantity]]+Table_15[[#This Row],[PACKING LOOSE]]</f>
        <v>0</v>
      </c>
      <c r="BF31" s="34">
        <f>IF(Table_15[[#This Row],[GRADED BAGS]]&gt;0,Table_15[[#This Row],[GRADED BAGS]],Table_15[[#This Row],[Bags]])</f>
        <v>100</v>
      </c>
    </row>
    <row r="32" spans="1:58" ht="14.25" hidden="1" customHeight="1" x14ac:dyDescent="0.35">
      <c r="A32" s="22">
        <v>29</v>
      </c>
      <c r="B32" s="22">
        <v>1345</v>
      </c>
      <c r="C32" s="23" t="s">
        <v>163</v>
      </c>
      <c r="D32" s="23">
        <v>8940</v>
      </c>
      <c r="E32" s="24">
        <v>46111.421689814815</v>
      </c>
      <c r="F32" s="23">
        <v>3870</v>
      </c>
      <c r="G32" s="100">
        <v>46111.511550925927</v>
      </c>
      <c r="H32" s="101">
        <v>5070</v>
      </c>
      <c r="I32" s="102" t="s">
        <v>155</v>
      </c>
      <c r="J32" s="102" t="s">
        <v>159</v>
      </c>
      <c r="K32" s="102">
        <v>84</v>
      </c>
      <c r="L32" s="22">
        <v>0.6</v>
      </c>
      <c r="M32" s="25">
        <f t="shared" si="5"/>
        <v>51</v>
      </c>
      <c r="N32" s="25">
        <f t="shared" si="1"/>
        <v>50.19</v>
      </c>
      <c r="O32" s="25">
        <f t="shared" si="2"/>
        <v>0.17</v>
      </c>
      <c r="P32" s="25">
        <f t="shared" si="3"/>
        <v>50.019999999999996</v>
      </c>
      <c r="Q32" s="22"/>
      <c r="R32" s="22"/>
      <c r="S32" s="22"/>
      <c r="T32" s="168"/>
      <c r="U32" s="171">
        <f t="shared" si="4"/>
        <v>0</v>
      </c>
      <c r="V32" s="169"/>
      <c r="W32" s="28"/>
      <c r="X32" s="25" t="str">
        <f>+IF(AND('GRADING PACKING'!L$5=INWARDDATA!J32,'GRADING PACKING'!L$6=INWARDDATA!I32,AB32=0),"TRUE","FALSE")</f>
        <v>FALSE</v>
      </c>
      <c r="Y32" s="29"/>
      <c r="Z32" s="22"/>
      <c r="AA32" s="102"/>
      <c r="AB32" s="30"/>
      <c r="AC32" s="22"/>
      <c r="AD32" s="30"/>
      <c r="AE32" s="30"/>
      <c r="AF32" s="30"/>
      <c r="AG32" s="31"/>
      <c r="AH32" s="30"/>
      <c r="AI32" s="30"/>
      <c r="AJ32" s="31"/>
      <c r="AK32" s="30"/>
      <c r="AL32" s="31"/>
      <c r="AM32" s="31"/>
      <c r="AN32" s="32" t="str">
        <f>+IF(AND('GRADING PACKING'!L$5=INWARDDATA!J32,'GRADING PACKING'!L$6=INWARDDATA!I32,AR32=0),"good","bad")</f>
        <v>bad</v>
      </c>
      <c r="AO32" s="33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86"/>
      <c r="BC32" s="86"/>
      <c r="BD32" s="97">
        <f>Table_15[[#This Row],[Wgt-Bag]]-Table_15[[#This Row],[Total Graded]]-Table_15[[#This Row],[UNDERSIZE]]+0.0011</f>
        <v>50.191099999999999</v>
      </c>
      <c r="BE32" s="86">
        <f>Table_15[[#This Row],[Total Graded]]-Table_15[[#This Row],[Packing Quantity]]+Table_15[[#This Row],[PACKING LOOSE]]</f>
        <v>0</v>
      </c>
      <c r="BF32" s="34">
        <f>IF(Table_15[[#This Row],[GRADED BAGS]]&gt;0,Table_15[[#This Row],[GRADED BAGS]],Table_15[[#This Row],[Bags]])</f>
        <v>84</v>
      </c>
    </row>
    <row r="33" spans="1:58" ht="14.25" hidden="1" customHeight="1" x14ac:dyDescent="0.35">
      <c r="A33" s="22">
        <v>30</v>
      </c>
      <c r="B33" s="22">
        <v>1346</v>
      </c>
      <c r="C33" s="23" t="s">
        <v>164</v>
      </c>
      <c r="D33" s="23">
        <v>10285</v>
      </c>
      <c r="E33" s="24">
        <v>46111.422939814816</v>
      </c>
      <c r="F33" s="23">
        <v>4055</v>
      </c>
      <c r="G33" s="100">
        <v>46111.635960648149</v>
      </c>
      <c r="H33" s="101">
        <v>6230</v>
      </c>
      <c r="I33" s="102" t="s">
        <v>155</v>
      </c>
      <c r="J33" s="102" t="s">
        <v>156</v>
      </c>
      <c r="K33" s="102">
        <v>101</v>
      </c>
      <c r="L33" s="22">
        <v>0.6</v>
      </c>
      <c r="M33" s="25">
        <f t="shared" si="5"/>
        <v>61</v>
      </c>
      <c r="N33" s="25">
        <f t="shared" si="1"/>
        <v>61.69</v>
      </c>
      <c r="O33" s="25">
        <f t="shared" si="2"/>
        <v>0.21000000000000002</v>
      </c>
      <c r="P33" s="25">
        <f t="shared" si="3"/>
        <v>61.48</v>
      </c>
      <c r="Q33" s="22"/>
      <c r="R33" s="22"/>
      <c r="S33" s="22"/>
      <c r="T33" s="168"/>
      <c r="U33" s="171">
        <f t="shared" si="4"/>
        <v>0</v>
      </c>
      <c r="V33" s="169"/>
      <c r="W33" s="28"/>
      <c r="X33" s="25" t="str">
        <f>+IF(AND('GRADING PACKING'!L$5=INWARDDATA!J33,'GRADING PACKING'!L$6=INWARDDATA!I33,AB33=0),"TRUE","FALSE")</f>
        <v>FALSE</v>
      </c>
      <c r="Y33" s="29"/>
      <c r="Z33" s="22"/>
      <c r="AA33" s="22"/>
      <c r="AB33" s="30"/>
      <c r="AC33" s="22"/>
      <c r="AD33" s="30"/>
      <c r="AE33" s="30"/>
      <c r="AF33" s="30"/>
      <c r="AG33" s="31"/>
      <c r="AH33" s="30"/>
      <c r="AI33" s="30"/>
      <c r="AJ33" s="31"/>
      <c r="AK33" s="30"/>
      <c r="AL33" s="31"/>
      <c r="AM33" s="31"/>
      <c r="AN33" s="32" t="str">
        <f>+IF(AND('GRADING PACKING'!L$5=INWARDDATA!J33,'GRADING PACKING'!L$6=INWARDDATA!I33,AR33=0),"good","bad")</f>
        <v>bad</v>
      </c>
      <c r="AO33" s="33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86"/>
      <c r="BC33" s="86"/>
      <c r="BD33" s="97">
        <f>Table_15[[#This Row],[Wgt-Bag]]-Table_15[[#This Row],[Total Graded]]-Table_15[[#This Row],[UNDERSIZE]]+0.0011</f>
        <v>61.691099999999999</v>
      </c>
      <c r="BE33" s="86">
        <f>Table_15[[#This Row],[Total Graded]]-Table_15[[#This Row],[Packing Quantity]]+Table_15[[#This Row],[PACKING LOOSE]]</f>
        <v>0</v>
      </c>
      <c r="BF33" s="34">
        <f>IF(Table_15[[#This Row],[GRADED BAGS]]&gt;0,Table_15[[#This Row],[GRADED BAGS]],Table_15[[#This Row],[Bags]])</f>
        <v>101</v>
      </c>
    </row>
    <row r="34" spans="1:58" ht="14.25" hidden="1" customHeight="1" x14ac:dyDescent="0.35">
      <c r="A34" s="22">
        <v>31</v>
      </c>
      <c r="B34" s="22">
        <v>1347</v>
      </c>
      <c r="C34" s="23" t="s">
        <v>165</v>
      </c>
      <c r="D34" s="23">
        <v>9275</v>
      </c>
      <c r="E34" s="24">
        <v>46111.424085648148</v>
      </c>
      <c r="F34" s="23">
        <v>3715</v>
      </c>
      <c r="G34" s="100">
        <v>46111.657048611109</v>
      </c>
      <c r="H34" s="101">
        <v>5560</v>
      </c>
      <c r="I34" s="102" t="s">
        <v>155</v>
      </c>
      <c r="J34" s="102" t="s">
        <v>156</v>
      </c>
      <c r="K34" s="102">
        <v>91</v>
      </c>
      <c r="L34" s="22">
        <v>0.6</v>
      </c>
      <c r="M34" s="25">
        <f t="shared" si="5"/>
        <v>55</v>
      </c>
      <c r="N34" s="25">
        <f t="shared" si="1"/>
        <v>55.05</v>
      </c>
      <c r="O34" s="25">
        <f t="shared" si="2"/>
        <v>0.19</v>
      </c>
      <c r="P34" s="25">
        <f t="shared" si="3"/>
        <v>54.86</v>
      </c>
      <c r="Q34" s="22"/>
      <c r="R34" s="22"/>
      <c r="S34" s="22"/>
      <c r="T34" s="168"/>
      <c r="U34" s="171">
        <f t="shared" si="4"/>
        <v>0</v>
      </c>
      <c r="V34" s="169"/>
      <c r="W34" s="28"/>
      <c r="X34" s="25" t="str">
        <f>+IF(AND('GRADING PACKING'!L$5=INWARDDATA!J34,'GRADING PACKING'!L$6=INWARDDATA!I34,AB34=0),"TRUE","FALSE")</f>
        <v>FALSE</v>
      </c>
      <c r="Y34" s="29"/>
      <c r="Z34" s="22"/>
      <c r="AA34" s="22"/>
      <c r="AB34" s="30"/>
      <c r="AC34" s="22"/>
      <c r="AD34" s="30"/>
      <c r="AE34" s="30"/>
      <c r="AF34" s="30"/>
      <c r="AG34" s="31"/>
      <c r="AH34" s="30"/>
      <c r="AI34" s="30"/>
      <c r="AJ34" s="31"/>
      <c r="AK34" s="30"/>
      <c r="AL34" s="31"/>
      <c r="AM34" s="31"/>
      <c r="AN34" s="32" t="str">
        <f>+IF(AND('GRADING PACKING'!L$5=INWARDDATA!J34,'GRADING PACKING'!L$6=INWARDDATA!I34,AR34=0),"good","bad")</f>
        <v>bad</v>
      </c>
      <c r="AO34" s="33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86"/>
      <c r="BC34" s="86"/>
      <c r="BD34" s="97">
        <f>Table_15[[#This Row],[Wgt-Bag]]-Table_15[[#This Row],[Total Graded]]-Table_15[[#This Row],[UNDERSIZE]]+0.0011</f>
        <v>55.051099999999998</v>
      </c>
      <c r="BE34" s="86">
        <f>Table_15[[#This Row],[Total Graded]]-Table_15[[#This Row],[Packing Quantity]]+Table_15[[#This Row],[PACKING LOOSE]]</f>
        <v>0</v>
      </c>
      <c r="BF34" s="34">
        <f>IF(Table_15[[#This Row],[GRADED BAGS]]&gt;0,Table_15[[#This Row],[GRADED BAGS]],Table_15[[#This Row],[Bags]])</f>
        <v>91</v>
      </c>
    </row>
    <row r="35" spans="1:58" ht="14.25" hidden="1" customHeight="1" x14ac:dyDescent="0.35">
      <c r="A35" s="22">
        <v>32</v>
      </c>
      <c r="B35" s="22">
        <v>1348</v>
      </c>
      <c r="C35" s="23" t="s">
        <v>166</v>
      </c>
      <c r="D35" s="23">
        <v>10215</v>
      </c>
      <c r="E35" s="24">
        <v>46111.425335648149</v>
      </c>
      <c r="F35" s="23">
        <v>4030</v>
      </c>
      <c r="G35" s="100">
        <v>46111.678148148145</v>
      </c>
      <c r="H35" s="101">
        <v>6185</v>
      </c>
      <c r="I35" s="102" t="s">
        <v>155</v>
      </c>
      <c r="J35" s="102" t="s">
        <v>156</v>
      </c>
      <c r="K35" s="102">
        <v>101</v>
      </c>
      <c r="L35" s="22">
        <v>0.6</v>
      </c>
      <c r="M35" s="25">
        <f t="shared" si="5"/>
        <v>61</v>
      </c>
      <c r="N35" s="25">
        <f t="shared" si="1"/>
        <v>61.24</v>
      </c>
      <c r="O35" s="25">
        <f t="shared" si="2"/>
        <v>0.21000000000000002</v>
      </c>
      <c r="P35" s="25">
        <f t="shared" si="3"/>
        <v>61.03</v>
      </c>
      <c r="Q35" s="22"/>
      <c r="R35" s="22"/>
      <c r="S35" s="22"/>
      <c r="T35" s="168"/>
      <c r="U35" s="171">
        <f t="shared" si="4"/>
        <v>0</v>
      </c>
      <c r="V35" s="169"/>
      <c r="W35" s="28"/>
      <c r="X35" s="25" t="str">
        <f>+IF(AND('GRADING PACKING'!L$5=INWARDDATA!J35,'GRADING PACKING'!L$6=INWARDDATA!I35,AB35=0),"TRUE","FALSE")</f>
        <v>FALSE</v>
      </c>
      <c r="Y35" s="29"/>
      <c r="Z35" s="22"/>
      <c r="AA35" s="22"/>
      <c r="AB35" s="30"/>
      <c r="AC35" s="22"/>
      <c r="AD35" s="30"/>
      <c r="AE35" s="30"/>
      <c r="AF35" s="30"/>
      <c r="AG35" s="30"/>
      <c r="AH35" s="30"/>
      <c r="AI35" s="30"/>
      <c r="AJ35" s="31"/>
      <c r="AK35" s="30"/>
      <c r="AL35" s="31"/>
      <c r="AM35" s="31"/>
      <c r="AN35" s="32" t="str">
        <f>+IF(AND('GRADING PACKING'!L$5=INWARDDATA!J35,'GRADING PACKING'!L$6=INWARDDATA!I35,AR35=0),"good","bad")</f>
        <v>bad</v>
      </c>
      <c r="AO35" s="33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86"/>
      <c r="BC35" s="86"/>
      <c r="BD35" s="97">
        <f>Table_15[[#This Row],[Wgt-Bag]]-Table_15[[#This Row],[Total Graded]]-Table_15[[#This Row],[UNDERSIZE]]+0.0011</f>
        <v>61.241100000000003</v>
      </c>
      <c r="BE35" s="86">
        <f>Table_15[[#This Row],[Total Graded]]-Table_15[[#This Row],[Packing Quantity]]+Table_15[[#This Row],[PACKING LOOSE]]</f>
        <v>0</v>
      </c>
      <c r="BF35" s="34">
        <f>IF(Table_15[[#This Row],[GRADED BAGS]]&gt;0,Table_15[[#This Row],[GRADED BAGS]],Table_15[[#This Row],[Bags]])</f>
        <v>101</v>
      </c>
    </row>
    <row r="36" spans="1:58" ht="14.25" hidden="1" customHeight="1" x14ac:dyDescent="0.35">
      <c r="A36" s="22">
        <v>33</v>
      </c>
      <c r="B36" s="22">
        <v>1349</v>
      </c>
      <c r="C36" s="23" t="s">
        <v>167</v>
      </c>
      <c r="D36" s="23">
        <v>10485</v>
      </c>
      <c r="E36" s="24">
        <v>46111.426423611112</v>
      </c>
      <c r="F36" s="23">
        <v>4130</v>
      </c>
      <c r="G36" s="100">
        <v>46111.713171296295</v>
      </c>
      <c r="H36" s="101">
        <v>6355</v>
      </c>
      <c r="I36" s="102" t="s">
        <v>155</v>
      </c>
      <c r="J36" s="102" t="s">
        <v>156</v>
      </c>
      <c r="K36" s="102">
        <v>101</v>
      </c>
      <c r="L36" s="22">
        <v>0.6</v>
      </c>
      <c r="M36" s="25">
        <f t="shared" si="5"/>
        <v>61</v>
      </c>
      <c r="N36" s="25">
        <f t="shared" si="1"/>
        <v>62.94</v>
      </c>
      <c r="O36" s="25">
        <f t="shared" si="2"/>
        <v>0.22</v>
      </c>
      <c r="P36" s="25">
        <f t="shared" si="3"/>
        <v>62.72</v>
      </c>
      <c r="Q36" s="22"/>
      <c r="R36" s="22"/>
      <c r="S36" s="22"/>
      <c r="T36" s="168"/>
      <c r="U36" s="171">
        <f t="shared" si="4"/>
        <v>0</v>
      </c>
      <c r="V36" s="169"/>
      <c r="W36" s="28"/>
      <c r="X36" s="25" t="str">
        <f>+IF(AND('GRADING PACKING'!L$5=INWARDDATA!J36,'GRADING PACKING'!L$6=INWARDDATA!I36,AB36=0),"TRUE","FALSE")</f>
        <v>FALSE</v>
      </c>
      <c r="Y36" s="29"/>
      <c r="Z36" s="22"/>
      <c r="AA36" s="22"/>
      <c r="AB36" s="30"/>
      <c r="AC36" s="22"/>
      <c r="AD36" s="30"/>
      <c r="AE36" s="30"/>
      <c r="AF36" s="30"/>
      <c r="AG36" s="30"/>
      <c r="AH36" s="30"/>
      <c r="AI36" s="30"/>
      <c r="AJ36" s="31"/>
      <c r="AK36" s="30"/>
      <c r="AL36" s="31"/>
      <c r="AM36" s="31"/>
      <c r="AN36" s="32" t="str">
        <f>+IF(AND('GRADING PACKING'!L$5=INWARDDATA!J36,'GRADING PACKING'!L$6=INWARDDATA!I36,AR36=0),"good","bad")</f>
        <v>bad</v>
      </c>
      <c r="AO36" s="33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86"/>
      <c r="BC36" s="86"/>
      <c r="BD36" s="97">
        <f>Table_15[[#This Row],[Wgt-Bag]]-Table_15[[#This Row],[Total Graded]]-Table_15[[#This Row],[UNDERSIZE]]+0.0011</f>
        <v>62.941099999999999</v>
      </c>
      <c r="BE36" s="86">
        <f>Table_15[[#This Row],[Total Graded]]-Table_15[[#This Row],[Packing Quantity]]+Table_15[[#This Row],[PACKING LOOSE]]</f>
        <v>0</v>
      </c>
      <c r="BF36" s="34">
        <f>IF(Table_15[[#This Row],[GRADED BAGS]]&gt;0,Table_15[[#This Row],[GRADED BAGS]],Table_15[[#This Row],[Bags]])</f>
        <v>101</v>
      </c>
    </row>
    <row r="37" spans="1:58" ht="14.25" hidden="1" customHeight="1" x14ac:dyDescent="0.35">
      <c r="A37" s="22">
        <v>34</v>
      </c>
      <c r="B37" s="22">
        <v>1350</v>
      </c>
      <c r="C37" s="23" t="s">
        <v>168</v>
      </c>
      <c r="D37" s="23">
        <v>10340</v>
      </c>
      <c r="E37" s="24">
        <v>46111.427384259259</v>
      </c>
      <c r="F37" s="23">
        <v>4165</v>
      </c>
      <c r="G37" s="100">
        <v>46111.69734953704</v>
      </c>
      <c r="H37" s="101">
        <v>6175</v>
      </c>
      <c r="I37" s="102" t="s">
        <v>155</v>
      </c>
      <c r="J37" s="102" t="s">
        <v>156</v>
      </c>
      <c r="K37" s="102">
        <v>103</v>
      </c>
      <c r="L37" s="22">
        <v>0.6</v>
      </c>
      <c r="M37" s="25">
        <f t="shared" si="5"/>
        <v>62</v>
      </c>
      <c r="N37" s="25">
        <f t="shared" si="1"/>
        <v>61.13</v>
      </c>
      <c r="O37" s="25">
        <f t="shared" si="2"/>
        <v>0.21000000000000002</v>
      </c>
      <c r="P37" s="25">
        <f t="shared" si="3"/>
        <v>60.92</v>
      </c>
      <c r="Q37" s="22"/>
      <c r="R37" s="22"/>
      <c r="S37" s="22"/>
      <c r="T37" s="168"/>
      <c r="U37" s="171">
        <f t="shared" si="4"/>
        <v>0</v>
      </c>
      <c r="V37" s="169"/>
      <c r="W37" s="28"/>
      <c r="X37" s="25" t="str">
        <f>+IF(AND('GRADING PACKING'!L$5=INWARDDATA!J37,'GRADING PACKING'!L$6=INWARDDATA!I37,AB37=0),"TRUE","FALSE")</f>
        <v>FALSE</v>
      </c>
      <c r="Y37" s="29"/>
      <c r="Z37" s="22"/>
      <c r="AA37" s="30"/>
      <c r="AB37" s="30"/>
      <c r="AC37" s="30"/>
      <c r="AD37" s="30"/>
      <c r="AE37" s="30"/>
      <c r="AF37" s="30"/>
      <c r="AG37" s="30"/>
      <c r="AH37" s="30"/>
      <c r="AI37" s="30"/>
      <c r="AJ37" s="31"/>
      <c r="AK37" s="31"/>
      <c r="AL37" s="22"/>
      <c r="AM37" s="31"/>
      <c r="AN37" s="32" t="str">
        <f>+IF(AND('GRADING PACKING'!L$5=INWARDDATA!J37,'GRADING PACKING'!L$6=INWARDDATA!I37,AR37=0),"good","bad")</f>
        <v>bad</v>
      </c>
      <c r="AO37" s="33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86"/>
      <c r="BC37" s="86"/>
      <c r="BD37" s="97">
        <f>Table_15[[#This Row],[Wgt-Bag]]-Table_15[[#This Row],[Total Graded]]-Table_15[[#This Row],[UNDERSIZE]]+0.0011</f>
        <v>61.131100000000004</v>
      </c>
      <c r="BE37" s="86">
        <f>Table_15[[#This Row],[Total Graded]]-Table_15[[#This Row],[Packing Quantity]]+Table_15[[#This Row],[PACKING LOOSE]]</f>
        <v>0</v>
      </c>
      <c r="BF37" s="34">
        <f>IF(Table_15[[#This Row],[GRADED BAGS]]&gt;0,Table_15[[#This Row],[GRADED BAGS]],Table_15[[#This Row],[Bags]])</f>
        <v>103</v>
      </c>
    </row>
    <row r="38" spans="1:58" ht="14.25" hidden="1" customHeight="1" x14ac:dyDescent="0.35">
      <c r="A38" s="22">
        <v>35</v>
      </c>
      <c r="B38" s="22">
        <v>1351</v>
      </c>
      <c r="C38" s="23" t="s">
        <v>169</v>
      </c>
      <c r="D38" s="23">
        <v>8735</v>
      </c>
      <c r="E38" s="24">
        <v>46111.428356481483</v>
      </c>
      <c r="F38" s="23">
        <v>3920</v>
      </c>
      <c r="G38" s="100">
        <v>46111.745219907411</v>
      </c>
      <c r="H38" s="101">
        <v>4815</v>
      </c>
      <c r="I38" s="102" t="s">
        <v>155</v>
      </c>
      <c r="J38" s="102" t="s">
        <v>156</v>
      </c>
      <c r="K38" s="102">
        <v>81</v>
      </c>
      <c r="L38" s="22">
        <v>0.6</v>
      </c>
      <c r="M38" s="25">
        <f t="shared" si="5"/>
        <v>49</v>
      </c>
      <c r="N38" s="25">
        <f t="shared" si="1"/>
        <v>47.66</v>
      </c>
      <c r="O38" s="25">
        <f t="shared" si="2"/>
        <v>0.17</v>
      </c>
      <c r="P38" s="25">
        <f t="shared" si="3"/>
        <v>47.489999999999995</v>
      </c>
      <c r="Q38" s="22"/>
      <c r="R38" s="22"/>
      <c r="S38" s="22"/>
      <c r="T38" s="168"/>
      <c r="U38" s="171">
        <f t="shared" si="4"/>
        <v>0</v>
      </c>
      <c r="V38" s="169"/>
      <c r="W38" s="28"/>
      <c r="X38" s="25" t="str">
        <f>+IF(AND('GRADING PACKING'!L$5=INWARDDATA!J38,'GRADING PACKING'!L$6=INWARDDATA!I38,AB38=0),"TRUE","FALSE")</f>
        <v>FALSE</v>
      </c>
      <c r="Y38" s="29"/>
      <c r="Z38" s="22"/>
      <c r="AA38" s="30"/>
      <c r="AB38" s="30"/>
      <c r="AC38" s="30"/>
      <c r="AD38" s="30"/>
      <c r="AE38" s="30"/>
      <c r="AF38" s="30"/>
      <c r="AG38" s="30"/>
      <c r="AH38" s="30"/>
      <c r="AI38" s="30"/>
      <c r="AJ38" s="31"/>
      <c r="AK38" s="31"/>
      <c r="AL38" s="22"/>
      <c r="AM38" s="31"/>
      <c r="AN38" s="32" t="str">
        <f>+IF(AND('GRADING PACKING'!L$5=INWARDDATA!J38,'GRADING PACKING'!L$6=INWARDDATA!I38,AR38=0),"good","bad")</f>
        <v>bad</v>
      </c>
      <c r="AO38" s="33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86"/>
      <c r="BC38" s="86"/>
      <c r="BD38" s="97">
        <f>Table_15[[#This Row],[Wgt-Bag]]-Table_15[[#This Row],[Total Graded]]-Table_15[[#This Row],[UNDERSIZE]]+0.0011</f>
        <v>47.661099999999998</v>
      </c>
      <c r="BE38" s="86">
        <f>Table_15[[#This Row],[Total Graded]]-Table_15[[#This Row],[Packing Quantity]]+Table_15[[#This Row],[PACKING LOOSE]]</f>
        <v>0</v>
      </c>
      <c r="BF38" s="34">
        <f>IF(Table_15[[#This Row],[GRADED BAGS]]&gt;0,Table_15[[#This Row],[GRADED BAGS]],Table_15[[#This Row],[Bags]])</f>
        <v>81</v>
      </c>
    </row>
    <row r="39" spans="1:58" ht="14.25" hidden="1" customHeight="1" x14ac:dyDescent="0.35">
      <c r="A39" s="22">
        <v>36</v>
      </c>
      <c r="B39" s="22">
        <v>1352</v>
      </c>
      <c r="C39" s="23" t="s">
        <v>157</v>
      </c>
      <c r="D39" s="23">
        <v>11445</v>
      </c>
      <c r="E39" s="24">
        <v>46111.670208333337</v>
      </c>
      <c r="F39" s="23">
        <v>3265</v>
      </c>
      <c r="G39" s="100">
        <v>46111.733680555553</v>
      </c>
      <c r="H39" s="101">
        <v>8180</v>
      </c>
      <c r="I39" s="102" t="s">
        <v>155</v>
      </c>
      <c r="J39" s="102" t="s">
        <v>156</v>
      </c>
      <c r="K39" s="102">
        <v>138</v>
      </c>
      <c r="L39" s="22">
        <v>0.6</v>
      </c>
      <c r="M39" s="25">
        <f t="shared" si="5"/>
        <v>83</v>
      </c>
      <c r="N39" s="25">
        <f t="shared" si="1"/>
        <v>80.97</v>
      </c>
      <c r="O39" s="25">
        <f t="shared" si="2"/>
        <v>0.28000000000000003</v>
      </c>
      <c r="P39" s="25">
        <f t="shared" si="3"/>
        <v>80.69</v>
      </c>
      <c r="Q39" s="22"/>
      <c r="R39" s="22"/>
      <c r="S39" s="22"/>
      <c r="T39" s="168"/>
      <c r="U39" s="171">
        <f t="shared" si="4"/>
        <v>0</v>
      </c>
      <c r="V39" s="169"/>
      <c r="W39" s="28"/>
      <c r="X39" s="25" t="str">
        <f>+IF(AND('GRADING PACKING'!L$5=INWARDDATA!J39,'GRADING PACKING'!L$6=INWARDDATA!I39,AB39=0),"TRUE","FALSE")</f>
        <v>FALSE</v>
      </c>
      <c r="Y39" s="29"/>
      <c r="Z39" s="22"/>
      <c r="AA39" s="30"/>
      <c r="AB39" s="30"/>
      <c r="AC39" s="30"/>
      <c r="AD39" s="30"/>
      <c r="AE39" s="30"/>
      <c r="AF39" s="30"/>
      <c r="AG39" s="30"/>
      <c r="AH39" s="30"/>
      <c r="AI39" s="30"/>
      <c r="AJ39" s="31"/>
      <c r="AK39" s="31"/>
      <c r="AL39" s="22"/>
      <c r="AM39" s="31"/>
      <c r="AN39" s="32" t="str">
        <f>+IF(AND('GRADING PACKING'!L$5=INWARDDATA!J39,'GRADING PACKING'!L$6=INWARDDATA!I39,AR39=0),"good","bad")</f>
        <v>bad</v>
      </c>
      <c r="AO39" s="33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86"/>
      <c r="BC39" s="86"/>
      <c r="BD39" s="97">
        <f>Table_15[[#This Row],[Wgt-Bag]]-Table_15[[#This Row],[Total Graded]]-Table_15[[#This Row],[UNDERSIZE]]+0.0011</f>
        <v>80.971099999999993</v>
      </c>
      <c r="BE39" s="86">
        <f>Table_15[[#This Row],[Total Graded]]-Table_15[[#This Row],[Packing Quantity]]+Table_15[[#This Row],[PACKING LOOSE]]</f>
        <v>0</v>
      </c>
      <c r="BF39" s="34">
        <f>IF(Table_15[[#This Row],[GRADED BAGS]]&gt;0,Table_15[[#This Row],[GRADED BAGS]],Table_15[[#This Row],[Bags]])</f>
        <v>138</v>
      </c>
    </row>
    <row r="40" spans="1:58" ht="14.25" hidden="1" customHeight="1" x14ac:dyDescent="0.35">
      <c r="A40" s="22">
        <v>37</v>
      </c>
      <c r="B40" s="22">
        <v>1354</v>
      </c>
      <c r="C40" s="23" t="s">
        <v>171</v>
      </c>
      <c r="D40" s="23">
        <v>7410</v>
      </c>
      <c r="E40" s="24">
        <v>46112.514675925922</v>
      </c>
      <c r="F40" s="23">
        <v>3900</v>
      </c>
      <c r="G40" s="100">
        <v>46112.647037037037</v>
      </c>
      <c r="H40" s="101">
        <v>3510</v>
      </c>
      <c r="I40" s="102" t="s">
        <v>172</v>
      </c>
      <c r="J40" s="102" t="s">
        <v>173</v>
      </c>
      <c r="K40" s="102">
        <v>65</v>
      </c>
      <c r="L40" s="22">
        <v>0</v>
      </c>
      <c r="M40" s="25">
        <f t="shared" si="5"/>
        <v>0</v>
      </c>
      <c r="N40" s="25">
        <f t="shared" si="1"/>
        <v>35.1</v>
      </c>
      <c r="O40" s="25">
        <f t="shared" si="2"/>
        <v>0.12</v>
      </c>
      <c r="P40" s="25">
        <f t="shared" si="3"/>
        <v>34.980000000000004</v>
      </c>
      <c r="Q40" s="22"/>
      <c r="R40" s="22"/>
      <c r="S40" s="22"/>
      <c r="T40" s="22">
        <v>3000</v>
      </c>
      <c r="U40" s="171">
        <f t="shared" si="4"/>
        <v>104940.00000000001</v>
      </c>
      <c r="V40" s="169"/>
      <c r="W40" s="28"/>
      <c r="X40" s="25" t="str">
        <f>+IF(AND('GRADING PACKING'!L$5=INWARDDATA!J40,'GRADING PACKING'!L$6=INWARDDATA!I40,AB40=0),"TRUE","FALSE")</f>
        <v>FALSE</v>
      </c>
      <c r="Y40" s="29"/>
      <c r="Z40" s="22"/>
      <c r="AA40" s="30"/>
      <c r="AB40" s="30"/>
      <c r="AC40" s="30"/>
      <c r="AD40" s="30"/>
      <c r="AE40" s="30"/>
      <c r="AF40" s="30"/>
      <c r="AG40" s="30"/>
      <c r="AH40" s="30"/>
      <c r="AI40" s="30"/>
      <c r="AJ40" s="31"/>
      <c r="AK40" s="31"/>
      <c r="AL40" s="22"/>
      <c r="AM40" s="31"/>
      <c r="AN40" s="32" t="str">
        <f>+IF(AND('GRADING PACKING'!L$5=INWARDDATA!J40,'GRADING PACKING'!L$6=INWARDDATA!I40,AR40=0),"good","bad")</f>
        <v>bad</v>
      </c>
      <c r="AO40" s="33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86"/>
      <c r="BC40" s="86"/>
      <c r="BD40" s="97">
        <f>Table_15[[#This Row],[Wgt-Bag]]-Table_15[[#This Row],[Total Graded]]-Table_15[[#This Row],[UNDERSIZE]]+0.0011</f>
        <v>35.101100000000002</v>
      </c>
      <c r="BE40" s="86">
        <f>Table_15[[#This Row],[Total Graded]]-Table_15[[#This Row],[Packing Quantity]]+Table_15[[#This Row],[PACKING LOOSE]]</f>
        <v>0</v>
      </c>
      <c r="BF40" s="34">
        <f>IF(Table_15[[#This Row],[GRADED BAGS]]&gt;0,Table_15[[#This Row],[GRADED BAGS]],Table_15[[#This Row],[Bags]])</f>
        <v>65</v>
      </c>
    </row>
    <row r="41" spans="1:58" ht="14.25" hidden="1" customHeight="1" x14ac:dyDescent="0.35">
      <c r="A41" s="22">
        <v>38</v>
      </c>
      <c r="B41" s="22">
        <v>1355</v>
      </c>
      <c r="C41" s="23" t="s">
        <v>174</v>
      </c>
      <c r="D41" s="23">
        <v>8390</v>
      </c>
      <c r="E41" s="24">
        <v>46112.515763888892</v>
      </c>
      <c r="F41" s="23">
        <v>3895</v>
      </c>
      <c r="G41" s="100">
        <v>46112.647881944446</v>
      </c>
      <c r="H41" s="101">
        <v>4495</v>
      </c>
      <c r="I41" s="102" t="s">
        <v>172</v>
      </c>
      <c r="J41" s="102" t="s">
        <v>173</v>
      </c>
      <c r="K41" s="102">
        <v>86</v>
      </c>
      <c r="L41" s="22">
        <v>0</v>
      </c>
      <c r="M41" s="25">
        <f t="shared" si="5"/>
        <v>0</v>
      </c>
      <c r="N41" s="25">
        <f t="shared" si="1"/>
        <v>44.95</v>
      </c>
      <c r="O41" s="25">
        <f t="shared" si="2"/>
        <v>0.15000000000000002</v>
      </c>
      <c r="P41" s="25">
        <f t="shared" si="3"/>
        <v>44.800000000000004</v>
      </c>
      <c r="Q41" s="22"/>
      <c r="R41" s="22"/>
      <c r="S41" s="22"/>
      <c r="T41" s="22">
        <v>3000</v>
      </c>
      <c r="U41" s="171">
        <f t="shared" si="4"/>
        <v>134400</v>
      </c>
      <c r="V41" s="169"/>
      <c r="W41" s="28"/>
      <c r="X41" s="25" t="str">
        <f>+IF(AND('GRADING PACKING'!L$5=INWARDDATA!J41,'GRADING PACKING'!L$6=INWARDDATA!I41,AB41=0),"TRUE","FALSE")</f>
        <v>FALSE</v>
      </c>
      <c r="Y41" s="29"/>
      <c r="Z41" s="22"/>
      <c r="AA41" s="30"/>
      <c r="AB41" s="30"/>
      <c r="AC41" s="30"/>
      <c r="AD41" s="30"/>
      <c r="AE41" s="30"/>
      <c r="AF41" s="30"/>
      <c r="AG41" s="30"/>
      <c r="AH41" s="30"/>
      <c r="AI41" s="30"/>
      <c r="AJ41" s="31"/>
      <c r="AK41" s="31"/>
      <c r="AL41" s="22"/>
      <c r="AM41" s="31"/>
      <c r="AN41" s="32" t="str">
        <f>+IF(AND('GRADING PACKING'!L$5=INWARDDATA!J41,'GRADING PACKING'!L$6=INWARDDATA!I41,AR41=0),"good","bad")</f>
        <v>bad</v>
      </c>
      <c r="AO41" s="33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86"/>
      <c r="BC41" s="86"/>
      <c r="BD41" s="97">
        <f>Table_15[[#This Row],[Wgt-Bag]]-Table_15[[#This Row],[Total Graded]]-Table_15[[#This Row],[UNDERSIZE]]+0.0011</f>
        <v>44.951100000000004</v>
      </c>
      <c r="BE41" s="86">
        <f>Table_15[[#This Row],[Total Graded]]-Table_15[[#This Row],[Packing Quantity]]+Table_15[[#This Row],[PACKING LOOSE]]</f>
        <v>0</v>
      </c>
      <c r="BF41" s="34">
        <f>IF(Table_15[[#This Row],[GRADED BAGS]]&gt;0,Table_15[[#This Row],[GRADED BAGS]],Table_15[[#This Row],[Bags]])</f>
        <v>86</v>
      </c>
    </row>
    <row r="42" spans="1:58" ht="14.25" hidden="1" customHeight="1" x14ac:dyDescent="0.35">
      <c r="A42" s="22">
        <v>39</v>
      </c>
      <c r="B42" s="22">
        <v>1357</v>
      </c>
      <c r="C42" s="23" t="s">
        <v>175</v>
      </c>
      <c r="D42" s="23">
        <v>8320</v>
      </c>
      <c r="E42" s="24">
        <v>46113.486851851849</v>
      </c>
      <c r="F42" s="23">
        <v>3780</v>
      </c>
      <c r="G42" s="100">
        <v>46113.526504629626</v>
      </c>
      <c r="H42" s="101">
        <v>4540</v>
      </c>
      <c r="I42" s="102" t="s">
        <v>176</v>
      </c>
      <c r="J42" s="102" t="s">
        <v>177</v>
      </c>
      <c r="K42" s="102">
        <v>71</v>
      </c>
      <c r="L42" s="22">
        <v>0.6</v>
      </c>
      <c r="M42" s="25">
        <f t="shared" si="5"/>
        <v>43</v>
      </c>
      <c r="N42" s="25">
        <f t="shared" si="1"/>
        <v>44.97</v>
      </c>
      <c r="O42" s="25">
        <f t="shared" si="2"/>
        <v>0.16</v>
      </c>
      <c r="P42" s="25">
        <f t="shared" si="3"/>
        <v>44.81</v>
      </c>
      <c r="Q42" s="22"/>
      <c r="R42" s="22"/>
      <c r="S42" s="22" t="s">
        <v>180</v>
      </c>
      <c r="T42" s="168"/>
      <c r="U42" s="171">
        <f t="shared" si="4"/>
        <v>0</v>
      </c>
      <c r="V42" s="169"/>
      <c r="W42" s="28"/>
      <c r="X42" s="25" t="str">
        <f>+IF(AND('GRADING PACKING'!L$5=INWARDDATA!J42,'GRADING PACKING'!L$6=INWARDDATA!I42,AB42=0),"TRUE","FALSE")</f>
        <v>FALSE</v>
      </c>
      <c r="Y42" s="29"/>
      <c r="Z42" s="22"/>
      <c r="AA42" s="30"/>
      <c r="AB42" s="30"/>
      <c r="AC42" s="30"/>
      <c r="AD42" s="30"/>
      <c r="AE42" s="30"/>
      <c r="AF42" s="30"/>
      <c r="AG42" s="30"/>
      <c r="AH42" s="30"/>
      <c r="AI42" s="30"/>
      <c r="AJ42" s="31"/>
      <c r="AK42" s="31"/>
      <c r="AL42" s="22"/>
      <c r="AM42" s="31"/>
      <c r="AN42" s="32" t="str">
        <f>+IF(AND('GRADING PACKING'!L$5=INWARDDATA!J42,'GRADING PACKING'!L$6=INWARDDATA!I42,AR42=0),"good","bad")</f>
        <v>bad</v>
      </c>
      <c r="AO42" s="33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86"/>
      <c r="BC42" s="86"/>
      <c r="BD42" s="97">
        <f>Table_15[[#This Row],[Wgt-Bag]]-Table_15[[#This Row],[Total Graded]]-Table_15[[#This Row],[UNDERSIZE]]+0.0011</f>
        <v>44.9711</v>
      </c>
      <c r="BE42" s="86">
        <f>Table_15[[#This Row],[Total Graded]]-Table_15[[#This Row],[Packing Quantity]]+Table_15[[#This Row],[PACKING LOOSE]]</f>
        <v>0</v>
      </c>
      <c r="BF42" s="34">
        <f>IF(Table_15[[#This Row],[GRADED BAGS]]&gt;0,Table_15[[#This Row],[GRADED BAGS]],Table_15[[#This Row],[Bags]])</f>
        <v>71</v>
      </c>
    </row>
    <row r="43" spans="1:58" ht="14.25" hidden="1" customHeight="1" x14ac:dyDescent="0.35">
      <c r="A43" s="22">
        <v>40</v>
      </c>
      <c r="B43" s="22">
        <v>1358</v>
      </c>
      <c r="C43" s="23" t="s">
        <v>178</v>
      </c>
      <c r="D43" s="23">
        <v>15750</v>
      </c>
      <c r="E43" s="24">
        <v>46113.727650462963</v>
      </c>
      <c r="F43" s="23">
        <v>4670</v>
      </c>
      <c r="G43" s="100">
        <v>46113.778402777774</v>
      </c>
      <c r="H43" s="101">
        <v>11080</v>
      </c>
      <c r="I43" s="102" t="s">
        <v>143</v>
      </c>
      <c r="J43" s="102" t="s">
        <v>179</v>
      </c>
      <c r="K43" s="102">
        <v>0</v>
      </c>
      <c r="L43" s="22">
        <v>0</v>
      </c>
      <c r="M43" s="25">
        <f t="shared" si="5"/>
        <v>0</v>
      </c>
      <c r="N43" s="25">
        <f t="shared" si="1"/>
        <v>110.8</v>
      </c>
      <c r="O43" s="25">
        <f t="shared" si="2"/>
        <v>0.37</v>
      </c>
      <c r="P43" s="25">
        <f t="shared" si="3"/>
        <v>110.42999999999999</v>
      </c>
      <c r="Q43" s="22"/>
      <c r="R43" s="22"/>
      <c r="S43" s="22"/>
      <c r="T43" s="168"/>
      <c r="U43" s="171">
        <f t="shared" si="4"/>
        <v>0</v>
      </c>
      <c r="V43" s="169"/>
      <c r="W43" s="28"/>
      <c r="X43" s="25" t="str">
        <f>+IF(AND('GRADING PACKING'!L$5=INWARDDATA!J43,'GRADING PACKING'!L$6=INWARDDATA!I43,AB43=0),"TRUE","FALSE")</f>
        <v>FALSE</v>
      </c>
      <c r="Y43" s="29">
        <v>46118</v>
      </c>
      <c r="Z43" s="22" t="s">
        <v>179</v>
      </c>
      <c r="AA43" s="30" t="s">
        <v>143</v>
      </c>
      <c r="AB43" s="30">
        <v>504.54999999999995</v>
      </c>
      <c r="AC43" s="30">
        <v>834</v>
      </c>
      <c r="AD43" s="30">
        <v>55</v>
      </c>
      <c r="AE43" s="30">
        <v>458.7</v>
      </c>
      <c r="AF43" s="30">
        <v>0</v>
      </c>
      <c r="AG43" s="30">
        <v>458.7</v>
      </c>
      <c r="AH43" s="30">
        <v>41.83</v>
      </c>
      <c r="AI43" s="30">
        <v>84</v>
      </c>
      <c r="AJ43" s="31">
        <v>8.2905559409374696</v>
      </c>
      <c r="AK43" s="31">
        <v>500.53</v>
      </c>
      <c r="AL43" s="31" t="s">
        <v>187</v>
      </c>
      <c r="AM43" s="31">
        <v>-4.0199999999999818</v>
      </c>
      <c r="AN43" s="32" t="str">
        <f>+IF(AND('GRADING PACKING'!L$5=INWARDDATA!J43,'GRADING PACKING'!L$6=INWARDDATA!I43,AR43=0),"good","bad")</f>
        <v>bad</v>
      </c>
      <c r="AO43" s="33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86"/>
      <c r="BC43" s="86"/>
      <c r="BD43" s="97">
        <f>Table_15[[#This Row],[Wgt-Bag]]-Table_15[[#This Row],[Total Graded]]-Table_15[[#This Row],[UNDERSIZE]]+0.0011</f>
        <v>-389.72889999999995</v>
      </c>
      <c r="BE43" s="86">
        <f>Table_15[[#This Row],[Total Graded]]-Table_15[[#This Row],[Packing Quantity]]+Table_15[[#This Row],[PACKING LOOSE]]</f>
        <v>458.7</v>
      </c>
      <c r="BF43" s="34">
        <f>IF(Table_15[[#This Row],[GRADED BAGS]]&gt;0,Table_15[[#This Row],[GRADED BAGS]],Table_15[[#This Row],[Bags]])</f>
        <v>834</v>
      </c>
    </row>
    <row r="44" spans="1:58" ht="14.25" hidden="1" customHeight="1" x14ac:dyDescent="0.35">
      <c r="A44" s="22">
        <v>41</v>
      </c>
      <c r="B44" s="22">
        <v>1359</v>
      </c>
      <c r="C44" s="23" t="s">
        <v>175</v>
      </c>
      <c r="D44" s="23">
        <v>7040</v>
      </c>
      <c r="E44" s="24">
        <v>46114.488136574073</v>
      </c>
      <c r="F44" s="23">
        <v>3785</v>
      </c>
      <c r="G44" s="100">
        <v>46114.522187499999</v>
      </c>
      <c r="H44" s="101">
        <v>3255</v>
      </c>
      <c r="I44" s="102" t="s">
        <v>176</v>
      </c>
      <c r="J44" s="102" t="s">
        <v>177</v>
      </c>
      <c r="K44" s="102">
        <v>50</v>
      </c>
      <c r="L44" s="22">
        <v>0.6</v>
      </c>
      <c r="M44" s="25">
        <f t="shared" si="5"/>
        <v>30</v>
      </c>
      <c r="N44" s="25">
        <f t="shared" si="1"/>
        <v>32.25</v>
      </c>
      <c r="O44" s="25">
        <f t="shared" si="2"/>
        <v>0.11</v>
      </c>
      <c r="P44" s="25">
        <f t="shared" si="3"/>
        <v>32.14</v>
      </c>
      <c r="Q44" s="22"/>
      <c r="R44" s="22"/>
      <c r="S44" s="22"/>
      <c r="T44" s="168"/>
      <c r="U44" s="171">
        <f t="shared" si="4"/>
        <v>0</v>
      </c>
      <c r="V44" s="169"/>
      <c r="W44" s="28"/>
      <c r="X44" s="25" t="str">
        <f>+IF(AND('GRADING PACKING'!L$5=INWARDDATA!J44,'GRADING PACKING'!L$6=INWARDDATA!I44,AB44=0),"TRUE","FALSE")</f>
        <v>FALSE</v>
      </c>
      <c r="Y44" s="29"/>
      <c r="Z44" s="22"/>
      <c r="AA44" s="30"/>
      <c r="AB44" s="30"/>
      <c r="AC44" s="30"/>
      <c r="AD44" s="30"/>
      <c r="AE44" s="30"/>
      <c r="AF44" s="30"/>
      <c r="AG44" s="30"/>
      <c r="AH44" s="30"/>
      <c r="AI44" s="30"/>
      <c r="AJ44" s="31"/>
      <c r="AK44" s="31"/>
      <c r="AL44" s="31"/>
      <c r="AM44" s="31"/>
      <c r="AN44" s="32" t="str">
        <f>+IF(AND('GRADING PACKING'!L$5=INWARDDATA!J44,'GRADING PACKING'!L$6=INWARDDATA!I44,AR44=0),"good","bad")</f>
        <v>bad</v>
      </c>
      <c r="AO44" s="33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86"/>
      <c r="BC44" s="86"/>
      <c r="BD44" s="97">
        <f>Table_15[[#This Row],[Wgt-Bag]]-Table_15[[#This Row],[Total Graded]]-Table_15[[#This Row],[UNDERSIZE]]+0.0011</f>
        <v>32.251100000000001</v>
      </c>
      <c r="BE44" s="86">
        <f>Table_15[[#This Row],[Total Graded]]-Table_15[[#This Row],[Packing Quantity]]+Table_15[[#This Row],[PACKING LOOSE]]</f>
        <v>0</v>
      </c>
      <c r="BF44" s="34">
        <f>IF(Table_15[[#This Row],[GRADED BAGS]]&gt;0,Table_15[[#This Row],[GRADED BAGS]],Table_15[[#This Row],[Bags]])</f>
        <v>50</v>
      </c>
    </row>
    <row r="45" spans="1:58" ht="14.25" hidden="1" customHeight="1" x14ac:dyDescent="0.35">
      <c r="A45" s="22">
        <v>42</v>
      </c>
      <c r="B45" s="22">
        <v>1360</v>
      </c>
      <c r="C45" s="23" t="s">
        <v>178</v>
      </c>
      <c r="D45" s="23">
        <v>16375</v>
      </c>
      <c r="E45" s="24">
        <v>46114.562685185185</v>
      </c>
      <c r="F45" s="23">
        <v>4660</v>
      </c>
      <c r="G45" s="100">
        <v>46114.612141203703</v>
      </c>
      <c r="H45" s="101">
        <v>11715</v>
      </c>
      <c r="I45" s="102" t="s">
        <v>143</v>
      </c>
      <c r="J45" s="102" t="s">
        <v>179</v>
      </c>
      <c r="K45" s="102">
        <v>0</v>
      </c>
      <c r="L45" s="22">
        <v>0</v>
      </c>
      <c r="M45" s="25">
        <f t="shared" si="5"/>
        <v>0</v>
      </c>
      <c r="N45" s="25">
        <f t="shared" si="1"/>
        <v>117.15</v>
      </c>
      <c r="O45" s="25">
        <f t="shared" si="2"/>
        <v>0.4</v>
      </c>
      <c r="P45" s="25">
        <f t="shared" si="3"/>
        <v>116.75</v>
      </c>
      <c r="Q45" s="22"/>
      <c r="R45" s="22"/>
      <c r="S45" s="22"/>
      <c r="T45" s="168"/>
      <c r="U45" s="171">
        <f t="shared" si="4"/>
        <v>0</v>
      </c>
      <c r="V45" s="169"/>
      <c r="W45" s="28"/>
      <c r="X45" s="25" t="str">
        <f>+IF(AND('GRADING PACKING'!L$5=INWARDDATA!J45,'GRADING PACKING'!L$6=INWARDDATA!I45,AB45=0),"TRUE","FALSE")</f>
        <v>FALSE</v>
      </c>
      <c r="Y45" s="29"/>
      <c r="Z45" s="22"/>
      <c r="AA45" s="30"/>
      <c r="AB45" s="30"/>
      <c r="AC45" s="30"/>
      <c r="AD45" s="30"/>
      <c r="AE45" s="30"/>
      <c r="AF45" s="30"/>
      <c r="AG45" s="30"/>
      <c r="AH45" s="30"/>
      <c r="AI45" s="30"/>
      <c r="AJ45" s="31"/>
      <c r="AK45" s="31"/>
      <c r="AL45" s="31"/>
      <c r="AM45" s="31"/>
      <c r="AN45" s="32" t="str">
        <f>+IF(AND('GRADING PACKING'!L$5=INWARDDATA!J45,'GRADING PACKING'!L$6=INWARDDATA!I45,AR45=0),"good","bad")</f>
        <v>bad</v>
      </c>
      <c r="AO45" s="33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86"/>
      <c r="BC45" s="86"/>
      <c r="BD45" s="97">
        <f>Table_15[[#This Row],[Wgt-Bag]]-Table_15[[#This Row],[Total Graded]]-Table_15[[#This Row],[UNDERSIZE]]+0.0011</f>
        <v>117.1511</v>
      </c>
      <c r="BE45" s="86">
        <f>Table_15[[#This Row],[Total Graded]]-Table_15[[#This Row],[Packing Quantity]]+Table_15[[#This Row],[PACKING LOOSE]]</f>
        <v>0</v>
      </c>
      <c r="BF45" s="34"/>
    </row>
    <row r="46" spans="1:58" ht="14.25" hidden="1" customHeight="1" x14ac:dyDescent="0.35">
      <c r="A46" s="22">
        <v>43</v>
      </c>
      <c r="B46" s="22">
        <v>1361</v>
      </c>
      <c r="C46" s="23" t="s">
        <v>181</v>
      </c>
      <c r="D46" s="23">
        <v>14190</v>
      </c>
      <c r="E46" s="24">
        <v>46114.724340277775</v>
      </c>
      <c r="F46" s="23">
        <v>4380</v>
      </c>
      <c r="G46" s="100">
        <v>46114.771087962959</v>
      </c>
      <c r="H46" s="101">
        <v>9810</v>
      </c>
      <c r="I46" s="102" t="s">
        <v>143</v>
      </c>
      <c r="J46" s="102" t="s">
        <v>179</v>
      </c>
      <c r="K46" s="102">
        <v>0</v>
      </c>
      <c r="L46" s="22">
        <v>0</v>
      </c>
      <c r="M46" s="25">
        <f t="shared" si="5"/>
        <v>0</v>
      </c>
      <c r="N46" s="25">
        <f t="shared" si="1"/>
        <v>98.1</v>
      </c>
      <c r="O46" s="25">
        <f t="shared" si="2"/>
        <v>0.33</v>
      </c>
      <c r="P46" s="25">
        <f t="shared" si="3"/>
        <v>97.77</v>
      </c>
      <c r="Q46" s="22"/>
      <c r="R46" s="22"/>
      <c r="S46" s="22"/>
      <c r="T46" s="168"/>
      <c r="U46" s="171">
        <f t="shared" si="4"/>
        <v>0</v>
      </c>
      <c r="V46" s="169"/>
      <c r="W46" s="28"/>
      <c r="X46" s="25" t="str">
        <f>+IF(AND('GRADING PACKING'!L$5=INWARDDATA!J46,'GRADING PACKING'!L$6=INWARDDATA!I46,AB46=0),"TRUE","FALSE")</f>
        <v>FALSE</v>
      </c>
      <c r="Y46" s="29"/>
      <c r="Z46" s="22"/>
      <c r="AA46" s="30"/>
      <c r="AB46" s="30"/>
      <c r="AC46" s="30"/>
      <c r="AD46" s="30"/>
      <c r="AE46" s="30"/>
      <c r="AF46" s="30"/>
      <c r="AG46" s="30"/>
      <c r="AH46" s="30"/>
      <c r="AI46" s="30"/>
      <c r="AJ46" s="31"/>
      <c r="AK46" s="31"/>
      <c r="AL46" s="31"/>
      <c r="AM46" s="31"/>
      <c r="AN46" s="32" t="str">
        <f>+IF(AND('GRADING PACKING'!L$5=INWARDDATA!J46,'GRADING PACKING'!L$6=INWARDDATA!I46,AR46=0),"good","bad")</f>
        <v>bad</v>
      </c>
      <c r="AO46" s="33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86"/>
      <c r="BC46" s="86"/>
      <c r="BD46" s="97">
        <f>Table_15[[#This Row],[Wgt-Bag]]-Table_15[[#This Row],[Total Graded]]-Table_15[[#This Row],[UNDERSIZE]]+0.0011</f>
        <v>98.101099999999988</v>
      </c>
      <c r="BE46" s="86">
        <f>Table_15[[#This Row],[Total Graded]]-Table_15[[#This Row],[Packing Quantity]]+Table_15[[#This Row],[PACKING LOOSE]]</f>
        <v>0</v>
      </c>
      <c r="BF46" s="34">
        <f>IF(Table_15[[#This Row],[GRADED BAGS]]&gt;0,Table_15[[#This Row],[GRADED BAGS]],Table_15[[#This Row],[Bags]])</f>
        <v>0</v>
      </c>
    </row>
    <row r="47" spans="1:58" ht="14.25" hidden="1" customHeight="1" x14ac:dyDescent="0.35">
      <c r="A47" s="22">
        <v>44</v>
      </c>
      <c r="B47" s="22">
        <v>1364</v>
      </c>
      <c r="C47" s="23" t="s">
        <v>178</v>
      </c>
      <c r="D47" s="23">
        <v>17635</v>
      </c>
      <c r="E47" s="24">
        <v>46115.504560185182</v>
      </c>
      <c r="F47" s="23">
        <v>4645</v>
      </c>
      <c r="G47" s="100">
        <v>46115.577638888892</v>
      </c>
      <c r="H47" s="101">
        <v>12990</v>
      </c>
      <c r="I47" s="102" t="s">
        <v>143</v>
      </c>
      <c r="J47" s="102" t="s">
        <v>179</v>
      </c>
      <c r="K47" s="102">
        <v>0</v>
      </c>
      <c r="L47" s="22">
        <v>0</v>
      </c>
      <c r="M47" s="25">
        <f t="shared" si="5"/>
        <v>0</v>
      </c>
      <c r="N47" s="25">
        <f t="shared" si="1"/>
        <v>129.9</v>
      </c>
      <c r="O47" s="25">
        <f t="shared" si="2"/>
        <v>0.44</v>
      </c>
      <c r="P47" s="25">
        <f t="shared" si="3"/>
        <v>129.46</v>
      </c>
      <c r="Q47" s="22"/>
      <c r="R47" s="22"/>
      <c r="S47" s="22"/>
      <c r="T47" s="168"/>
      <c r="U47" s="171">
        <f t="shared" si="4"/>
        <v>0</v>
      </c>
      <c r="V47" s="169"/>
      <c r="W47" s="28"/>
      <c r="X47" s="25" t="str">
        <f>+IF(AND('GRADING PACKING'!L$5=INWARDDATA!J47,'GRADING PACKING'!L$6=INWARDDATA!I47,AB47=0),"TRUE","FALSE")</f>
        <v>FALSE</v>
      </c>
      <c r="Y47" s="29"/>
      <c r="Z47" s="22"/>
      <c r="AA47" s="30"/>
      <c r="AB47" s="30"/>
      <c r="AC47" s="30"/>
      <c r="AD47" s="30"/>
      <c r="AE47" s="30"/>
      <c r="AF47" s="30"/>
      <c r="AG47" s="30"/>
      <c r="AH47" s="30"/>
      <c r="AI47" s="30"/>
      <c r="AJ47" s="31"/>
      <c r="AK47" s="31"/>
      <c r="AL47" s="31"/>
      <c r="AM47" s="31"/>
      <c r="AN47" s="32" t="str">
        <f>+IF(AND('GRADING PACKING'!L$5=INWARDDATA!J47,'GRADING PACKING'!L$6=INWARDDATA!I47,AR47=0),"good","bad")</f>
        <v>bad</v>
      </c>
      <c r="AO47" s="33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86"/>
      <c r="BC47" s="86"/>
      <c r="BD47" s="97">
        <f>Table_15[[#This Row],[Wgt-Bag]]-Table_15[[#This Row],[Total Graded]]-Table_15[[#This Row],[UNDERSIZE]]+0.0011</f>
        <v>129.90110000000001</v>
      </c>
      <c r="BE47" s="86">
        <f>Table_15[[#This Row],[Total Graded]]-Table_15[[#This Row],[Packing Quantity]]+Table_15[[#This Row],[PACKING LOOSE]]</f>
        <v>0</v>
      </c>
      <c r="BF47" s="34">
        <f>IF(Table_15[[#This Row],[GRADED BAGS]]&gt;0,Table_15[[#This Row],[GRADED BAGS]],Table_15[[#This Row],[Bags]])</f>
        <v>0</v>
      </c>
    </row>
    <row r="48" spans="1:58" ht="15" hidden="1" customHeight="1" x14ac:dyDescent="0.35">
      <c r="A48" s="22">
        <v>45</v>
      </c>
      <c r="B48" s="22">
        <v>1365</v>
      </c>
      <c r="C48" s="23" t="s">
        <v>182</v>
      </c>
      <c r="D48" s="23">
        <v>9105</v>
      </c>
      <c r="E48" s="24">
        <v>46115.595127314817</v>
      </c>
      <c r="F48" s="23">
        <v>4245</v>
      </c>
      <c r="G48" s="100">
        <v>46115.639201388891</v>
      </c>
      <c r="H48" s="101">
        <v>4860</v>
      </c>
      <c r="I48" s="102" t="s">
        <v>143</v>
      </c>
      <c r="J48" s="102" t="s">
        <v>179</v>
      </c>
      <c r="K48" s="102">
        <v>0</v>
      </c>
      <c r="L48" s="22">
        <v>0</v>
      </c>
      <c r="M48" s="25">
        <f t="shared" si="5"/>
        <v>0</v>
      </c>
      <c r="N48" s="25">
        <f t="shared" si="1"/>
        <v>48.6</v>
      </c>
      <c r="O48" s="25">
        <f t="shared" si="2"/>
        <v>0.17</v>
      </c>
      <c r="P48" s="25">
        <f t="shared" si="3"/>
        <v>48.43</v>
      </c>
      <c r="Q48" s="22"/>
      <c r="R48" s="22"/>
      <c r="S48" s="22"/>
      <c r="T48" s="168"/>
      <c r="U48" s="171">
        <f t="shared" si="4"/>
        <v>0</v>
      </c>
      <c r="V48" s="169"/>
      <c r="W48" s="28"/>
      <c r="X48" s="25" t="str">
        <f>+IF(AND('GRADING PACKING'!L$5=INWARDDATA!J48,'GRADING PACKING'!L$6=INWARDDATA!I48,AB48=0),"TRUE","FALSE")</f>
        <v>FALSE</v>
      </c>
      <c r="Y48" s="29"/>
      <c r="Z48" s="22"/>
      <c r="AA48" s="30"/>
      <c r="AB48" s="30"/>
      <c r="AC48" s="30"/>
      <c r="AD48" s="30"/>
      <c r="AE48" s="30"/>
      <c r="AF48" s="30"/>
      <c r="AG48" s="30"/>
      <c r="AH48" s="30"/>
      <c r="AI48" s="30"/>
      <c r="AJ48" s="31"/>
      <c r="AK48" s="31"/>
      <c r="AL48" s="31"/>
      <c r="AM48" s="31"/>
      <c r="AN48" s="32" t="str">
        <f>+IF(AND('GRADING PACKING'!L$5=INWARDDATA!J48,'GRADING PACKING'!L$6=INWARDDATA!I48,AR48=0),"good","bad")</f>
        <v>bad</v>
      </c>
      <c r="AO48" s="33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86"/>
      <c r="BC48" s="86"/>
      <c r="BD48" s="97">
        <f>Table_15[[#This Row],[Wgt-Bag]]-Table_15[[#This Row],[Total Graded]]-Table_15[[#This Row],[UNDERSIZE]]+0.0011</f>
        <v>48.601100000000002</v>
      </c>
      <c r="BE48" s="86">
        <f>Table_15[[#This Row],[Total Graded]]-Table_15[[#This Row],[Packing Quantity]]+Table_15[[#This Row],[PACKING LOOSE]]</f>
        <v>0</v>
      </c>
      <c r="BF48" s="34">
        <f>IF(Table_15[[#This Row],[GRADED BAGS]]&gt;0,Table_15[[#This Row],[GRADED BAGS]],Table_15[[#This Row],[Bags]])</f>
        <v>0</v>
      </c>
    </row>
    <row r="49" spans="1:58" ht="15.75" hidden="1" customHeight="1" x14ac:dyDescent="0.35">
      <c r="A49" s="22">
        <v>46</v>
      </c>
      <c r="B49" s="22">
        <v>1366</v>
      </c>
      <c r="C49" s="23" t="s">
        <v>178</v>
      </c>
      <c r="D49" s="23">
        <v>16810</v>
      </c>
      <c r="E49" s="24">
        <v>46116.419872685183</v>
      </c>
      <c r="F49" s="23">
        <v>4655</v>
      </c>
      <c r="G49" s="100">
        <v>46116.476319444446</v>
      </c>
      <c r="H49" s="101">
        <v>12155</v>
      </c>
      <c r="I49" s="102" t="s">
        <v>143</v>
      </c>
      <c r="J49" s="102" t="s">
        <v>183</v>
      </c>
      <c r="K49" s="102">
        <v>0</v>
      </c>
      <c r="L49" s="22">
        <v>0</v>
      </c>
      <c r="M49" s="25">
        <f t="shared" si="5"/>
        <v>0</v>
      </c>
      <c r="N49" s="25">
        <f t="shared" si="1"/>
        <v>121.55</v>
      </c>
      <c r="O49" s="25">
        <f t="shared" si="2"/>
        <v>0.41000000000000003</v>
      </c>
      <c r="P49" s="25">
        <f t="shared" si="3"/>
        <v>121.14</v>
      </c>
      <c r="Q49" s="22"/>
      <c r="R49" s="22"/>
      <c r="S49" s="22"/>
      <c r="T49" s="168"/>
      <c r="U49" s="171">
        <f t="shared" si="4"/>
        <v>0</v>
      </c>
      <c r="V49" s="169"/>
      <c r="W49" s="28"/>
      <c r="X49" s="25" t="str">
        <f>+IF(AND('GRADING PACKING'!L$5=INWARDDATA!J49,'GRADING PACKING'!L$6=INWARDDATA!I49,AB49=0),"TRUE","FALSE")</f>
        <v>FALSE</v>
      </c>
      <c r="Y49" s="29">
        <v>46118</v>
      </c>
      <c r="Z49" s="22" t="s">
        <v>183</v>
      </c>
      <c r="AA49" s="30" t="s">
        <v>143</v>
      </c>
      <c r="AB49" s="30">
        <v>423.2</v>
      </c>
      <c r="AC49" s="30">
        <v>710</v>
      </c>
      <c r="AD49" s="30">
        <v>55</v>
      </c>
      <c r="AE49" s="30">
        <v>390.5</v>
      </c>
      <c r="AF49" s="30">
        <v>0</v>
      </c>
      <c r="AG49" s="30">
        <v>390.5</v>
      </c>
      <c r="AH49" s="30">
        <v>34.950000000000003</v>
      </c>
      <c r="AI49" s="30">
        <v>70</v>
      </c>
      <c r="AJ49" s="31">
        <v>8.2585066162570904</v>
      </c>
      <c r="AK49" s="31">
        <v>425.45</v>
      </c>
      <c r="AL49" s="31" t="s">
        <v>187</v>
      </c>
      <c r="AM49" s="31">
        <v>2.25</v>
      </c>
      <c r="AN49" s="32" t="str">
        <f>+IF(AND('GRADING PACKING'!L$5=INWARDDATA!J49,'GRADING PACKING'!L$6=INWARDDATA!I49,AR49=0),"good","bad")</f>
        <v>bad</v>
      </c>
      <c r="AO49" s="33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86"/>
      <c r="BC49" s="86"/>
      <c r="BD49" s="97">
        <f>Table_15[[#This Row],[Wgt-Bag]]-Table_15[[#This Row],[Total Graded]]-Table_15[[#This Row],[UNDERSIZE]]+0.0011</f>
        <v>-303.89889999999997</v>
      </c>
      <c r="BE49" s="86">
        <f>Table_15[[#This Row],[Total Graded]]-Table_15[[#This Row],[Packing Quantity]]+Table_15[[#This Row],[PACKING LOOSE]]</f>
        <v>390.5</v>
      </c>
      <c r="BF49" s="34">
        <f>IF(Table_15[[#This Row],[GRADED BAGS]]&gt;0,Table_15[[#This Row],[GRADED BAGS]],Table_15[[#This Row],[Bags]])</f>
        <v>710</v>
      </c>
    </row>
    <row r="50" spans="1:58" ht="15" hidden="1" customHeight="1" x14ac:dyDescent="0.35">
      <c r="A50" s="22">
        <v>47</v>
      </c>
      <c r="B50" s="22">
        <v>1367</v>
      </c>
      <c r="C50" s="23" t="s">
        <v>184</v>
      </c>
      <c r="D50" s="23">
        <v>11000</v>
      </c>
      <c r="E50" s="24">
        <v>46116.464525462965</v>
      </c>
      <c r="F50" s="23">
        <v>4115</v>
      </c>
      <c r="G50" s="100">
        <v>46116.501967592594</v>
      </c>
      <c r="H50" s="101">
        <v>6885</v>
      </c>
      <c r="I50" s="102">
        <v>3385</v>
      </c>
      <c r="J50" s="102" t="s">
        <v>185</v>
      </c>
      <c r="K50" s="102">
        <v>112</v>
      </c>
      <c r="L50" s="22">
        <v>0.6</v>
      </c>
      <c r="M50" s="25">
        <f t="shared" si="5"/>
        <v>68</v>
      </c>
      <c r="N50" s="25">
        <f t="shared" si="1"/>
        <v>68.17</v>
      </c>
      <c r="O50" s="25">
        <f t="shared" si="2"/>
        <v>0.23</v>
      </c>
      <c r="P50" s="25">
        <f t="shared" si="3"/>
        <v>67.94</v>
      </c>
      <c r="Q50" s="22"/>
      <c r="R50" s="22"/>
      <c r="S50" s="22"/>
      <c r="T50" s="168">
        <v>2750</v>
      </c>
      <c r="U50" s="171">
        <f t="shared" si="4"/>
        <v>186835</v>
      </c>
      <c r="V50" s="169"/>
      <c r="W50" s="28"/>
      <c r="X50" s="25" t="str">
        <f>+IF(AND('GRADING PACKING'!L$5=INWARDDATA!J50,'GRADING PACKING'!L$6=INWARDDATA!I50,AB50=0),"TRUE","FALSE")</f>
        <v>FALSE</v>
      </c>
      <c r="Y50" s="29"/>
      <c r="Z50" s="22"/>
      <c r="AA50" s="30"/>
      <c r="AB50" s="30"/>
      <c r="AC50" s="30"/>
      <c r="AD50" s="30"/>
      <c r="AE50" s="30"/>
      <c r="AF50" s="30"/>
      <c r="AG50" s="30"/>
      <c r="AH50" s="30"/>
      <c r="AI50" s="30"/>
      <c r="AJ50" s="31"/>
      <c r="AK50" s="31"/>
      <c r="AL50" s="31"/>
      <c r="AM50" s="31"/>
      <c r="AN50" s="32" t="str">
        <f>+IF(AND('GRADING PACKING'!L$5=INWARDDATA!J50,'GRADING PACKING'!L$6=INWARDDATA!I50,AR50=0),"good","bad")</f>
        <v>bad</v>
      </c>
      <c r="AO50" s="33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86"/>
      <c r="BC50" s="86"/>
      <c r="BD50" s="97">
        <f>Table_15[[#This Row],[Wgt-Bag]]-Table_15[[#This Row],[Total Graded]]-Table_15[[#This Row],[UNDERSIZE]]+0.0011</f>
        <v>68.171099999999996</v>
      </c>
      <c r="BE50" s="86">
        <f>Table_15[[#This Row],[Total Graded]]-Table_15[[#This Row],[Packing Quantity]]+Table_15[[#This Row],[PACKING LOOSE]]</f>
        <v>0</v>
      </c>
      <c r="BF50" s="34">
        <f>IF(Table_15[[#This Row],[GRADED BAGS]]&gt;0,Table_15[[#This Row],[GRADED BAGS]],Table_15[[#This Row],[Bags]])</f>
        <v>112</v>
      </c>
    </row>
    <row r="51" spans="1:58" ht="15" hidden="1" customHeight="1" x14ac:dyDescent="0.35">
      <c r="A51" s="22">
        <v>48</v>
      </c>
      <c r="B51" s="22">
        <v>1368</v>
      </c>
      <c r="C51" s="23" t="s">
        <v>175</v>
      </c>
      <c r="D51" s="23">
        <v>7835</v>
      </c>
      <c r="E51" s="24">
        <v>46116.501006944447</v>
      </c>
      <c r="F51" s="23">
        <v>3720</v>
      </c>
      <c r="G51" s="100">
        <v>46116.524328703701</v>
      </c>
      <c r="H51" s="101">
        <v>4115</v>
      </c>
      <c r="I51" s="102" t="s">
        <v>143</v>
      </c>
      <c r="J51" s="102" t="s">
        <v>183</v>
      </c>
      <c r="K51" s="102">
        <v>0</v>
      </c>
      <c r="L51" s="22">
        <v>0</v>
      </c>
      <c r="M51" s="25">
        <f t="shared" si="5"/>
        <v>0</v>
      </c>
      <c r="N51" s="25">
        <f t="shared" si="1"/>
        <v>41.15</v>
      </c>
      <c r="O51" s="25">
        <f t="shared" si="2"/>
        <v>0.14000000000000001</v>
      </c>
      <c r="P51" s="25">
        <f t="shared" si="3"/>
        <v>41.01</v>
      </c>
      <c r="Q51" s="22"/>
      <c r="R51" s="22"/>
      <c r="S51" s="22"/>
      <c r="T51" s="168"/>
      <c r="U51" s="171">
        <f t="shared" si="4"/>
        <v>0</v>
      </c>
      <c r="V51" s="169"/>
      <c r="W51" s="28"/>
      <c r="X51" s="25" t="str">
        <f>+IF(AND('GRADING PACKING'!L$5=INWARDDATA!J51,'GRADING PACKING'!L$6=INWARDDATA!I51,AB51=0),"TRUE","FALSE")</f>
        <v>FALSE</v>
      </c>
      <c r="Y51" s="29"/>
      <c r="Z51" s="22"/>
      <c r="AA51" s="30"/>
      <c r="AB51" s="30"/>
      <c r="AC51" s="30"/>
      <c r="AD51" s="30"/>
      <c r="AE51" s="30"/>
      <c r="AF51" s="30"/>
      <c r="AG51" s="30"/>
      <c r="AH51" s="30"/>
      <c r="AI51" s="30"/>
      <c r="AJ51" s="31"/>
      <c r="AK51" s="31"/>
      <c r="AL51" s="31"/>
      <c r="AM51" s="31"/>
      <c r="AN51" s="32" t="str">
        <f>+IF(AND('GRADING PACKING'!L$5=INWARDDATA!J51,'GRADING PACKING'!L$6=INWARDDATA!I51,AR51=0),"good","bad")</f>
        <v>bad</v>
      </c>
      <c r="AO51" s="33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86"/>
      <c r="BC51" s="86"/>
      <c r="BD51" s="97">
        <f>Table_15[[#This Row],[Wgt-Bag]]-Table_15[[#This Row],[Total Graded]]-Table_15[[#This Row],[UNDERSIZE]]+0.0011</f>
        <v>41.1511</v>
      </c>
      <c r="BE51" s="86">
        <f>Table_15[[#This Row],[Total Graded]]-Table_15[[#This Row],[Packing Quantity]]+Table_15[[#This Row],[PACKING LOOSE]]</f>
        <v>0</v>
      </c>
      <c r="BF51" s="34">
        <f>IF(Table_15[[#This Row],[GRADED BAGS]]&gt;0,Table_15[[#This Row],[GRADED BAGS]],Table_15[[#This Row],[Bags]])</f>
        <v>0</v>
      </c>
    </row>
    <row r="52" spans="1:58" ht="14.25" hidden="1" customHeight="1" x14ac:dyDescent="0.35">
      <c r="A52" s="22">
        <v>49</v>
      </c>
      <c r="B52" s="22">
        <v>1369</v>
      </c>
      <c r="C52" s="23" t="s">
        <v>186</v>
      </c>
      <c r="D52" s="23">
        <v>6940</v>
      </c>
      <c r="E52" s="24">
        <v>46116.503750000003</v>
      </c>
      <c r="F52" s="23">
        <v>3780</v>
      </c>
      <c r="G52" s="100">
        <v>46116.522476851853</v>
      </c>
      <c r="H52" s="101">
        <v>3160</v>
      </c>
      <c r="I52" s="102" t="s">
        <v>176</v>
      </c>
      <c r="J52" s="102" t="s">
        <v>177</v>
      </c>
      <c r="K52" s="102">
        <v>50</v>
      </c>
      <c r="L52" s="22">
        <v>0.6</v>
      </c>
      <c r="M52" s="25">
        <f t="shared" si="5"/>
        <v>30</v>
      </c>
      <c r="N52" s="25">
        <f t="shared" si="1"/>
        <v>31.3</v>
      </c>
      <c r="O52" s="25">
        <f t="shared" si="2"/>
        <v>0.11</v>
      </c>
      <c r="P52" s="25">
        <f t="shared" si="3"/>
        <v>31.19</v>
      </c>
      <c r="Q52" s="22"/>
      <c r="R52" s="22"/>
      <c r="S52" s="22"/>
      <c r="T52" s="168"/>
      <c r="U52" s="171">
        <f t="shared" si="4"/>
        <v>0</v>
      </c>
      <c r="V52" s="169"/>
      <c r="W52" s="28"/>
      <c r="X52" s="25" t="str">
        <f>+IF(AND('GRADING PACKING'!L$5=INWARDDATA!J52,'GRADING PACKING'!L$6=INWARDDATA!I52,AB52=0),"TRUE","FALSE")</f>
        <v>FALSE</v>
      </c>
      <c r="Y52" s="29"/>
      <c r="Z52" s="22"/>
      <c r="AA52" s="30"/>
      <c r="AB52" s="30"/>
      <c r="AC52" s="30"/>
      <c r="AD52" s="30"/>
      <c r="AE52" s="30"/>
      <c r="AF52" s="30"/>
      <c r="AG52" s="30"/>
      <c r="AH52" s="30"/>
      <c r="AI52" s="30"/>
      <c r="AJ52" s="31"/>
      <c r="AK52" s="31"/>
      <c r="AL52" s="31"/>
      <c r="AM52" s="31"/>
      <c r="AN52" s="32" t="str">
        <f>+IF(AND('GRADING PACKING'!L$5=INWARDDATA!J52,'GRADING PACKING'!L$6=INWARDDATA!I52,AR52=0),"good","bad")</f>
        <v>bad</v>
      </c>
      <c r="AO52" s="33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86"/>
      <c r="BC52" s="86"/>
      <c r="BD52" s="97">
        <f>Table_15[[#This Row],[Wgt-Bag]]-Table_15[[#This Row],[Total Graded]]-Table_15[[#This Row],[UNDERSIZE]]+0.0011</f>
        <v>31.301100000000002</v>
      </c>
      <c r="BE52" s="86">
        <f>Table_15[[#This Row],[Total Graded]]-Table_15[[#This Row],[Packing Quantity]]+Table_15[[#This Row],[PACKING LOOSE]]</f>
        <v>0</v>
      </c>
      <c r="BF52" s="34">
        <f>IF(Table_15[[#This Row],[GRADED BAGS]]&gt;0,Table_15[[#This Row],[GRADED BAGS]],Table_15[[#This Row],[Bags]])</f>
        <v>50</v>
      </c>
    </row>
    <row r="53" spans="1:58" ht="14.25" hidden="1" customHeight="1" x14ac:dyDescent="0.35">
      <c r="A53" s="22">
        <v>50</v>
      </c>
      <c r="B53" s="22">
        <v>1370</v>
      </c>
      <c r="C53" s="23" t="s">
        <v>175</v>
      </c>
      <c r="D53" s="23">
        <v>7475</v>
      </c>
      <c r="E53" s="24">
        <v>46116.629340277781</v>
      </c>
      <c r="F53" s="23">
        <v>3480</v>
      </c>
      <c r="G53" s="100">
        <v>46116.643877314818</v>
      </c>
      <c r="H53" s="101">
        <v>3995</v>
      </c>
      <c r="I53" s="102" t="s">
        <v>143</v>
      </c>
      <c r="J53" s="102" t="s">
        <v>183</v>
      </c>
      <c r="K53" s="102">
        <v>0</v>
      </c>
      <c r="L53" s="22">
        <v>0</v>
      </c>
      <c r="M53" s="25">
        <f t="shared" si="5"/>
        <v>0</v>
      </c>
      <c r="N53" s="25">
        <f t="shared" si="1"/>
        <v>39.950000000000003</v>
      </c>
      <c r="O53" s="25">
        <f t="shared" si="2"/>
        <v>0.14000000000000001</v>
      </c>
      <c r="P53" s="25">
        <f t="shared" si="3"/>
        <v>39.81</v>
      </c>
      <c r="Q53" s="22"/>
      <c r="R53" s="22"/>
      <c r="S53" s="22"/>
      <c r="T53" s="168"/>
      <c r="U53" s="171">
        <f t="shared" si="4"/>
        <v>0</v>
      </c>
      <c r="V53" s="169"/>
      <c r="W53" s="28"/>
      <c r="X53" s="25" t="str">
        <f>+IF(AND('GRADING PACKING'!L$5=INWARDDATA!J53,'GRADING PACKING'!L$6=INWARDDATA!I53,AB53=0),"TRUE","FALSE")</f>
        <v>FALSE</v>
      </c>
      <c r="Y53" s="29"/>
      <c r="Z53" s="22"/>
      <c r="AA53" s="30"/>
      <c r="AB53" s="30"/>
      <c r="AC53" s="30"/>
      <c r="AD53" s="30"/>
      <c r="AE53" s="30"/>
      <c r="AF53" s="30"/>
      <c r="AG53" s="30"/>
      <c r="AH53" s="30"/>
      <c r="AI53" s="30"/>
      <c r="AJ53" s="31"/>
      <c r="AK53" s="31"/>
      <c r="AL53" s="31"/>
      <c r="AM53" s="31"/>
      <c r="AN53" s="32" t="str">
        <f>+IF(AND('GRADING PACKING'!L$5=INWARDDATA!J53,'GRADING PACKING'!L$6=INWARDDATA!I53,AR53=0),"good","bad")</f>
        <v>bad</v>
      </c>
      <c r="AO53" s="33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86"/>
      <c r="BC53" s="86"/>
      <c r="BD53" s="97">
        <f>Table_15[[#This Row],[Wgt-Bag]]-Table_15[[#This Row],[Total Graded]]-Table_15[[#This Row],[UNDERSIZE]]+0.0011</f>
        <v>39.951100000000004</v>
      </c>
      <c r="BE53" s="86">
        <f>Table_15[[#This Row],[Total Graded]]-Table_15[[#This Row],[Packing Quantity]]+Table_15[[#This Row],[PACKING LOOSE]]</f>
        <v>0</v>
      </c>
      <c r="BF53" s="34">
        <f>IF(Table_15[[#This Row],[GRADED BAGS]]&gt;0,Table_15[[#This Row],[GRADED BAGS]],Table_15[[#This Row],[Bags]])</f>
        <v>0</v>
      </c>
    </row>
    <row r="54" spans="1:58" ht="15" hidden="1" customHeight="1" x14ac:dyDescent="0.35">
      <c r="A54" s="22">
        <v>51</v>
      </c>
      <c r="B54" s="22">
        <v>1371</v>
      </c>
      <c r="C54" s="23" t="s">
        <v>178</v>
      </c>
      <c r="D54" s="23">
        <v>16845</v>
      </c>
      <c r="E54" s="24">
        <v>46117.427766203706</v>
      </c>
      <c r="F54" s="23">
        <v>4670</v>
      </c>
      <c r="G54" s="100">
        <v>46117.464988425927</v>
      </c>
      <c r="H54" s="101">
        <v>12175</v>
      </c>
      <c r="I54" s="102" t="s">
        <v>143</v>
      </c>
      <c r="J54" s="102" t="s">
        <v>183</v>
      </c>
      <c r="K54" s="102">
        <v>0</v>
      </c>
      <c r="L54" s="22">
        <v>0</v>
      </c>
      <c r="M54" s="25">
        <f t="shared" si="5"/>
        <v>0</v>
      </c>
      <c r="N54" s="25">
        <f t="shared" si="1"/>
        <v>121.75</v>
      </c>
      <c r="O54" s="25">
        <f t="shared" si="2"/>
        <v>0.41000000000000003</v>
      </c>
      <c r="P54" s="25">
        <f t="shared" si="3"/>
        <v>121.34</v>
      </c>
      <c r="Q54" s="22"/>
      <c r="R54" s="22"/>
      <c r="S54" s="22"/>
      <c r="T54" s="168"/>
      <c r="U54" s="171">
        <f t="shared" si="4"/>
        <v>0</v>
      </c>
      <c r="V54" s="169"/>
      <c r="W54" s="28"/>
      <c r="X54" s="25" t="str">
        <f>+IF(AND('GRADING PACKING'!L$5=INWARDDATA!J54,'GRADING PACKING'!L$6=INWARDDATA!I54,AB54=0),"TRUE","FALSE")</f>
        <v>FALSE</v>
      </c>
      <c r="Y54" s="29"/>
      <c r="Z54" s="22"/>
      <c r="AA54" s="30"/>
      <c r="AB54" s="30"/>
      <c r="AC54" s="30"/>
      <c r="AD54" s="30"/>
      <c r="AE54" s="30"/>
      <c r="AF54" s="30"/>
      <c r="AG54" s="30"/>
      <c r="AH54" s="30"/>
      <c r="AI54" s="30"/>
      <c r="AJ54" s="31"/>
      <c r="AK54" s="31"/>
      <c r="AL54" s="31"/>
      <c r="AM54" s="31"/>
      <c r="AN54" s="32" t="str">
        <f>+IF(AND('GRADING PACKING'!L$5=INWARDDATA!J54,'GRADING PACKING'!L$6=INWARDDATA!I54,AR54=0),"good","bad")</f>
        <v>bad</v>
      </c>
      <c r="AO54" s="33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86"/>
      <c r="BC54" s="86"/>
      <c r="BD54" s="97">
        <f>Table_15[[#This Row],[Wgt-Bag]]-Table_15[[#This Row],[Total Graded]]-Table_15[[#This Row],[UNDERSIZE]]+0.0011</f>
        <v>121.75109999999999</v>
      </c>
      <c r="BE54" s="86">
        <f>Table_15[[#This Row],[Total Graded]]-Table_15[[#This Row],[Packing Quantity]]+Table_15[[#This Row],[PACKING LOOSE]]</f>
        <v>0</v>
      </c>
      <c r="BF54" s="34">
        <f>IF(Table_15[[#This Row],[GRADED BAGS]]&gt;0,Table_15[[#This Row],[GRADED BAGS]],Table_15[[#This Row],[Bags]])</f>
        <v>0</v>
      </c>
    </row>
    <row r="55" spans="1:58" ht="14.25" hidden="1" customHeight="1" x14ac:dyDescent="0.35">
      <c r="A55" s="22">
        <v>52</v>
      </c>
      <c r="B55" s="22">
        <v>1372</v>
      </c>
      <c r="C55" s="23" t="s">
        <v>178</v>
      </c>
      <c r="D55" s="23">
        <v>14540</v>
      </c>
      <c r="E55" s="24">
        <v>46117.690578703703</v>
      </c>
      <c r="F55" s="23">
        <v>4660</v>
      </c>
      <c r="G55" s="100">
        <v>46117.738298611112</v>
      </c>
      <c r="H55" s="101">
        <v>9880</v>
      </c>
      <c r="I55" s="102" t="s">
        <v>143</v>
      </c>
      <c r="J55" s="102" t="s">
        <v>183</v>
      </c>
      <c r="K55" s="102">
        <v>0</v>
      </c>
      <c r="L55" s="22">
        <v>0</v>
      </c>
      <c r="M55" s="25">
        <f t="shared" si="5"/>
        <v>0</v>
      </c>
      <c r="N55" s="25">
        <f t="shared" si="1"/>
        <v>98.8</v>
      </c>
      <c r="O55" s="25">
        <f t="shared" si="2"/>
        <v>0.33</v>
      </c>
      <c r="P55" s="25">
        <f t="shared" si="3"/>
        <v>98.47</v>
      </c>
      <c r="Q55" s="22"/>
      <c r="R55" s="22"/>
      <c r="S55" s="22"/>
      <c r="T55" s="168"/>
      <c r="U55" s="171">
        <f t="shared" si="4"/>
        <v>0</v>
      </c>
      <c r="V55" s="169"/>
      <c r="W55" s="28"/>
      <c r="X55" s="25" t="str">
        <f>+IF(AND('GRADING PACKING'!L$5=INWARDDATA!J55,'GRADING PACKING'!L$6=INWARDDATA!I55,AB55=0),"TRUE","FALSE")</f>
        <v>FALSE</v>
      </c>
      <c r="Y55" s="29"/>
      <c r="Z55" s="22"/>
      <c r="AA55" s="30"/>
      <c r="AB55" s="30"/>
      <c r="AC55" s="30"/>
      <c r="AD55" s="30"/>
      <c r="AE55" s="30"/>
      <c r="AF55" s="30"/>
      <c r="AG55" s="30"/>
      <c r="AH55" s="30"/>
      <c r="AI55" s="30"/>
      <c r="AJ55" s="31"/>
      <c r="AK55" s="31"/>
      <c r="AL55" s="31"/>
      <c r="AM55" s="31"/>
      <c r="AN55" s="32" t="str">
        <f>+IF(AND('GRADING PACKING'!L$5=INWARDDATA!J55,'GRADING PACKING'!L$6=INWARDDATA!I55,AR55=0),"good","bad")</f>
        <v>bad</v>
      </c>
      <c r="AO55" s="33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86"/>
      <c r="BC55" s="86"/>
      <c r="BD55" s="97">
        <f>Table_15[[#This Row],[Wgt-Bag]]-Table_15[[#This Row],[Total Graded]]-Table_15[[#This Row],[UNDERSIZE]]+0.0011</f>
        <v>98.801099999999991</v>
      </c>
      <c r="BE55" s="86">
        <f>Table_15[[#This Row],[Total Graded]]-Table_15[[#This Row],[Packing Quantity]]+Table_15[[#This Row],[PACKING LOOSE]]</f>
        <v>0</v>
      </c>
      <c r="BF55" s="34">
        <f>IF(Table_15[[#This Row],[GRADED BAGS]]&gt;0,Table_15[[#This Row],[GRADED BAGS]],Table_15[[#This Row],[Bags]])</f>
        <v>0</v>
      </c>
    </row>
    <row r="56" spans="1:58" ht="15" hidden="1" customHeight="1" x14ac:dyDescent="0.35">
      <c r="A56" s="22">
        <v>53</v>
      </c>
      <c r="B56" s="22">
        <v>1373</v>
      </c>
      <c r="C56" s="23">
        <v>485</v>
      </c>
      <c r="D56" s="23">
        <v>11280</v>
      </c>
      <c r="E56" s="24">
        <v>46118.415451388886</v>
      </c>
      <c r="F56" s="23">
        <v>4210</v>
      </c>
      <c r="G56" s="100">
        <v>46118.462604166663</v>
      </c>
      <c r="H56" s="101">
        <v>7070</v>
      </c>
      <c r="I56" s="102">
        <v>3385</v>
      </c>
      <c r="J56" s="102" t="s">
        <v>185</v>
      </c>
      <c r="K56" s="102">
        <v>120</v>
      </c>
      <c r="L56" s="22">
        <v>0.6</v>
      </c>
      <c r="M56" s="25">
        <f t="shared" si="5"/>
        <v>72</v>
      </c>
      <c r="N56" s="25">
        <f t="shared" si="1"/>
        <v>69.98</v>
      </c>
      <c r="O56" s="25">
        <f t="shared" si="2"/>
        <v>0.24000000000000002</v>
      </c>
      <c r="P56" s="25">
        <f t="shared" si="3"/>
        <v>69.740000000000009</v>
      </c>
      <c r="Q56" s="22"/>
      <c r="R56" s="22"/>
      <c r="S56" s="22"/>
      <c r="T56" s="168">
        <v>2750</v>
      </c>
      <c r="U56" s="171">
        <f t="shared" si="4"/>
        <v>191785.00000000003</v>
      </c>
      <c r="V56" s="169"/>
      <c r="W56" s="28"/>
      <c r="X56" s="25" t="str">
        <f>+IF(AND('GRADING PACKING'!L$5=INWARDDATA!J56,'GRADING PACKING'!L$6=INWARDDATA!I56,AB56=0),"TRUE","FALSE")</f>
        <v>FALSE</v>
      </c>
      <c r="Y56" s="29"/>
      <c r="Z56" s="22"/>
      <c r="AA56" s="30"/>
      <c r="AB56" s="30"/>
      <c r="AC56" s="30"/>
      <c r="AD56" s="30"/>
      <c r="AE56" s="30"/>
      <c r="AF56" s="30"/>
      <c r="AG56" s="30"/>
      <c r="AH56" s="30"/>
      <c r="AI56" s="30"/>
      <c r="AJ56" s="31"/>
      <c r="AK56" s="31"/>
      <c r="AL56" s="31"/>
      <c r="AM56" s="31"/>
      <c r="AN56" s="32" t="str">
        <f>+IF(AND('GRADING PACKING'!L$5=INWARDDATA!J56,'GRADING PACKING'!L$6=INWARDDATA!I56,AR56=0),"good","bad")</f>
        <v>bad</v>
      </c>
      <c r="AO56" s="33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86"/>
      <c r="BC56" s="86"/>
      <c r="BD56" s="97">
        <f>Table_15[[#This Row],[Wgt-Bag]]-Table_15[[#This Row],[Total Graded]]-Table_15[[#This Row],[UNDERSIZE]]+0.0011</f>
        <v>69.981099999999998</v>
      </c>
      <c r="BE56" s="86">
        <f>Table_15[[#This Row],[Total Graded]]-Table_15[[#This Row],[Packing Quantity]]+Table_15[[#This Row],[PACKING LOOSE]]</f>
        <v>0</v>
      </c>
      <c r="BF56" s="34">
        <f>IF(Table_15[[#This Row],[GRADED BAGS]]&gt;0,Table_15[[#This Row],[GRADED BAGS]],Table_15[[#This Row],[Bags]])</f>
        <v>120</v>
      </c>
    </row>
    <row r="57" spans="1:58" ht="14.25" hidden="1" customHeight="1" x14ac:dyDescent="0.35">
      <c r="A57" s="22">
        <v>54</v>
      </c>
      <c r="B57" s="22">
        <v>1374</v>
      </c>
      <c r="C57" s="23" t="s">
        <v>184</v>
      </c>
      <c r="D57" s="23">
        <v>11280</v>
      </c>
      <c r="E57" s="24">
        <v>46118.463703703703</v>
      </c>
      <c r="F57" s="23">
        <v>4130</v>
      </c>
      <c r="G57" s="100">
        <v>46118.510358796295</v>
      </c>
      <c r="H57" s="101">
        <v>7150</v>
      </c>
      <c r="I57" s="102">
        <v>3385</v>
      </c>
      <c r="J57" s="102" t="s">
        <v>185</v>
      </c>
      <c r="K57" s="102">
        <v>114</v>
      </c>
      <c r="L57" s="22">
        <v>0.6</v>
      </c>
      <c r="M57" s="25">
        <f t="shared" si="5"/>
        <v>69</v>
      </c>
      <c r="N57" s="25">
        <f t="shared" si="1"/>
        <v>70.81</v>
      </c>
      <c r="O57" s="25">
        <f t="shared" si="2"/>
        <v>0.24000000000000002</v>
      </c>
      <c r="P57" s="25">
        <f t="shared" si="3"/>
        <v>70.570000000000007</v>
      </c>
      <c r="Q57" s="22"/>
      <c r="R57" s="22"/>
      <c r="S57" s="22"/>
      <c r="T57" s="168">
        <v>2750</v>
      </c>
      <c r="U57" s="171">
        <f t="shared" si="4"/>
        <v>194067.50000000003</v>
      </c>
      <c r="V57" s="169"/>
      <c r="W57" s="28"/>
      <c r="X57" s="25" t="str">
        <f>+IF(AND('GRADING PACKING'!L$5=INWARDDATA!J57,'GRADING PACKING'!L$6=INWARDDATA!I57,AB57=0),"TRUE","FALSE")</f>
        <v>FALSE</v>
      </c>
      <c r="Y57" s="29"/>
      <c r="Z57" s="22"/>
      <c r="AA57" s="30"/>
      <c r="AB57" s="30"/>
      <c r="AC57" s="30"/>
      <c r="AD57" s="30"/>
      <c r="AE57" s="30"/>
      <c r="AF57" s="30"/>
      <c r="AG57" s="30"/>
      <c r="AH57" s="30"/>
      <c r="AI57" s="30"/>
      <c r="AJ57" s="31"/>
      <c r="AK57" s="31"/>
      <c r="AL57" s="31"/>
      <c r="AM57" s="31"/>
      <c r="AN57" s="32" t="str">
        <f>+IF(AND('GRADING PACKING'!L$5=INWARDDATA!J57,'GRADING PACKING'!L$6=INWARDDATA!I57,AR57=0),"good","bad")</f>
        <v>bad</v>
      </c>
      <c r="AO57" s="33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86"/>
      <c r="BC57" s="86"/>
      <c r="BD57" s="97">
        <f>Table_15[[#This Row],[Wgt-Bag]]-Table_15[[#This Row],[Total Graded]]-Table_15[[#This Row],[UNDERSIZE]]+0.0011</f>
        <v>70.811099999999996</v>
      </c>
      <c r="BE57" s="86">
        <f>Table_15[[#This Row],[Total Graded]]-Table_15[[#This Row],[Packing Quantity]]+Table_15[[#This Row],[PACKING LOOSE]]</f>
        <v>0</v>
      </c>
      <c r="BF57" s="34">
        <f>IF(Table_15[[#This Row],[GRADED BAGS]]&gt;0,Table_15[[#This Row],[GRADED BAGS]],Table_15[[#This Row],[Bags]])</f>
        <v>114</v>
      </c>
    </row>
    <row r="58" spans="1:58" ht="14.25" hidden="1" customHeight="1" x14ac:dyDescent="0.35">
      <c r="A58" s="22">
        <v>55</v>
      </c>
      <c r="B58" s="22">
        <v>1375</v>
      </c>
      <c r="C58" s="23" t="s">
        <v>189</v>
      </c>
      <c r="D58" s="23">
        <v>16760</v>
      </c>
      <c r="E58" s="24">
        <v>46118.582372685189</v>
      </c>
      <c r="F58" s="23">
        <v>4325</v>
      </c>
      <c r="G58" s="100">
        <v>46118.643217592595</v>
      </c>
      <c r="H58" s="101">
        <v>12435</v>
      </c>
      <c r="I58" s="102" t="s">
        <v>190</v>
      </c>
      <c r="J58" s="102" t="s">
        <v>191</v>
      </c>
      <c r="K58" s="102">
        <v>0</v>
      </c>
      <c r="L58" s="22">
        <v>0</v>
      </c>
      <c r="M58" s="25">
        <f t="shared" si="5"/>
        <v>0</v>
      </c>
      <c r="N58" s="25">
        <f t="shared" si="1"/>
        <v>124.35</v>
      </c>
      <c r="O58" s="25">
        <f t="shared" si="2"/>
        <v>0.42</v>
      </c>
      <c r="P58" s="25">
        <f t="shared" si="3"/>
        <v>123.92999999999999</v>
      </c>
      <c r="Q58" s="22"/>
      <c r="R58" s="22"/>
      <c r="S58" s="22"/>
      <c r="T58" s="168"/>
      <c r="U58" s="171">
        <f t="shared" si="4"/>
        <v>0</v>
      </c>
      <c r="V58" s="169"/>
      <c r="W58" s="28"/>
      <c r="X58" s="25" t="str">
        <f>+IF(AND('GRADING PACKING'!L$5=INWARDDATA!J58,'GRADING PACKING'!L$6=INWARDDATA!I58,AB58=0),"TRUE","FALSE")</f>
        <v>FALSE</v>
      </c>
      <c r="Y58" s="29">
        <v>46119</v>
      </c>
      <c r="Z58" s="22" t="s">
        <v>191</v>
      </c>
      <c r="AA58" s="30" t="s">
        <v>190</v>
      </c>
      <c r="AB58" s="30">
        <v>124.35</v>
      </c>
      <c r="AC58" s="30">
        <v>193</v>
      </c>
      <c r="AD58" s="30">
        <v>55</v>
      </c>
      <c r="AE58" s="30">
        <v>106.15</v>
      </c>
      <c r="AF58" s="30">
        <v>0</v>
      </c>
      <c r="AG58" s="30">
        <v>106.15</v>
      </c>
      <c r="AH58" s="30">
        <v>16.28</v>
      </c>
      <c r="AI58" s="30">
        <v>33</v>
      </c>
      <c r="AJ58" s="31">
        <v>13.092078809811019</v>
      </c>
      <c r="AK58" s="31">
        <v>122.43</v>
      </c>
      <c r="AL58" s="31" t="s">
        <v>192</v>
      </c>
      <c r="AM58" s="31">
        <v>-1.9199999999999875</v>
      </c>
      <c r="AN58" s="32" t="str">
        <f>+IF(AND('GRADING PACKING'!L$5=INWARDDATA!J58,'GRADING PACKING'!L$6=INWARDDATA!I58,AR58=0),"good","bad")</f>
        <v>bad</v>
      </c>
      <c r="AO58" s="33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86"/>
      <c r="BC58" s="86"/>
      <c r="BD58" s="97">
        <f>Table_15[[#This Row],[Wgt-Bag]]-Table_15[[#This Row],[Total Graded]]-Table_15[[#This Row],[UNDERSIZE]]+0.0011</f>
        <v>1.9210999999999876</v>
      </c>
      <c r="BE58" s="86">
        <f>Table_15[[#This Row],[Total Graded]]-Table_15[[#This Row],[Packing Quantity]]+Table_15[[#This Row],[PACKING LOOSE]]</f>
        <v>106.15</v>
      </c>
      <c r="BF58" s="34">
        <f>IF(Table_15[[#This Row],[GRADED BAGS]]&gt;0,Table_15[[#This Row],[GRADED BAGS]],Table_15[[#This Row],[Bags]])</f>
        <v>193</v>
      </c>
    </row>
    <row r="59" spans="1:58" ht="14.25" hidden="1" customHeight="1" x14ac:dyDescent="0.35">
      <c r="A59" s="22">
        <v>56</v>
      </c>
      <c r="B59" s="22">
        <v>1376</v>
      </c>
      <c r="C59" s="23" t="s">
        <v>178</v>
      </c>
      <c r="D59" s="23">
        <v>16985</v>
      </c>
      <c r="E59" s="24">
        <v>46118.67769675926</v>
      </c>
      <c r="F59" s="23">
        <v>4650</v>
      </c>
      <c r="G59" s="100">
        <v>46118.745312500003</v>
      </c>
      <c r="H59" s="101">
        <v>12335</v>
      </c>
      <c r="I59" s="102" t="s">
        <v>190</v>
      </c>
      <c r="J59" s="102" t="s">
        <v>179</v>
      </c>
      <c r="K59" s="102">
        <v>0</v>
      </c>
      <c r="L59" s="22">
        <v>0</v>
      </c>
      <c r="M59" s="25">
        <f t="shared" si="5"/>
        <v>0</v>
      </c>
      <c r="N59" s="25">
        <f t="shared" si="1"/>
        <v>123.35</v>
      </c>
      <c r="O59" s="25">
        <f t="shared" si="2"/>
        <v>0.42</v>
      </c>
      <c r="P59" s="25">
        <f t="shared" si="3"/>
        <v>122.92999999999999</v>
      </c>
      <c r="Q59" s="22"/>
      <c r="R59" s="22"/>
      <c r="S59" s="22"/>
      <c r="T59" s="168"/>
      <c r="U59" s="171">
        <f t="shared" si="4"/>
        <v>0</v>
      </c>
      <c r="V59" s="169"/>
      <c r="W59" s="28"/>
      <c r="X59" s="25" t="str">
        <f>+IF(AND('GRADING PACKING'!L$5=INWARDDATA!J59,'GRADING PACKING'!L$6=INWARDDATA!I59,AB59=0),"TRUE","FALSE")</f>
        <v>FALSE</v>
      </c>
      <c r="Y59" s="29">
        <v>46120</v>
      </c>
      <c r="Z59" s="22" t="s">
        <v>179</v>
      </c>
      <c r="AA59" s="30" t="s">
        <v>190</v>
      </c>
      <c r="AB59" s="30">
        <v>314.5</v>
      </c>
      <c r="AC59" s="30">
        <v>505</v>
      </c>
      <c r="AD59" s="30">
        <v>55</v>
      </c>
      <c r="AE59" s="30">
        <v>277.75</v>
      </c>
      <c r="AF59" s="30">
        <v>0.24</v>
      </c>
      <c r="AG59" s="30">
        <v>277.99</v>
      </c>
      <c r="AH59" s="30">
        <v>36.26</v>
      </c>
      <c r="AI59" s="30">
        <v>71</v>
      </c>
      <c r="AJ59" s="31">
        <v>11.52941176470588</v>
      </c>
      <c r="AK59" s="31">
        <v>314.25</v>
      </c>
      <c r="AL59" s="31">
        <v>0</v>
      </c>
      <c r="AM59" s="31">
        <v>-0.25</v>
      </c>
      <c r="AN59" s="32" t="str">
        <f>+IF(AND('GRADING PACKING'!L$5=INWARDDATA!J59,'GRADING PACKING'!L$6=INWARDDATA!I59,AR59=0),"good","bad")</f>
        <v>bad</v>
      </c>
      <c r="AO59" s="33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86"/>
      <c r="BC59" s="86"/>
      <c r="BD59" s="97">
        <f>Table_15[[#This Row],[Wgt-Bag]]-Table_15[[#This Row],[Total Graded]]-Table_15[[#This Row],[UNDERSIZE]]+0.0011</f>
        <v>-190.8989</v>
      </c>
      <c r="BE59" s="86">
        <f>Table_15[[#This Row],[Total Graded]]-Table_15[[#This Row],[Packing Quantity]]+Table_15[[#This Row],[PACKING LOOSE]]</f>
        <v>277.99</v>
      </c>
      <c r="BF59" s="34">
        <f>IF(Table_15[[#This Row],[GRADED BAGS]]&gt;0,Table_15[[#This Row],[GRADED BAGS]],Table_15[[#This Row],[Bags]])</f>
        <v>505</v>
      </c>
    </row>
    <row r="60" spans="1:58" ht="14.25" hidden="1" customHeight="1" x14ac:dyDescent="0.35">
      <c r="A60" s="22">
        <v>57</v>
      </c>
      <c r="B60" s="22">
        <v>1377</v>
      </c>
      <c r="C60" s="23" t="s">
        <v>178</v>
      </c>
      <c r="D60" s="23">
        <v>12970</v>
      </c>
      <c r="E60" s="24">
        <v>46119.468460648146</v>
      </c>
      <c r="F60" s="23">
        <v>4675</v>
      </c>
      <c r="G60" s="100">
        <v>46119.506412037037</v>
      </c>
      <c r="H60" s="101">
        <v>8295</v>
      </c>
      <c r="I60" s="102" t="s">
        <v>190</v>
      </c>
      <c r="J60" s="102" t="s">
        <v>179</v>
      </c>
      <c r="K60" s="102">
        <v>0</v>
      </c>
      <c r="L60" s="22">
        <v>0</v>
      </c>
      <c r="M60" s="25">
        <f t="shared" si="5"/>
        <v>0</v>
      </c>
      <c r="N60" s="25">
        <f t="shared" si="1"/>
        <v>82.95</v>
      </c>
      <c r="O60" s="25">
        <f t="shared" si="2"/>
        <v>0.28000000000000003</v>
      </c>
      <c r="P60" s="25">
        <f t="shared" si="3"/>
        <v>82.67</v>
      </c>
      <c r="Q60" s="22"/>
      <c r="R60" s="22"/>
      <c r="S60" s="22"/>
      <c r="T60" s="168"/>
      <c r="U60" s="171">
        <f t="shared" si="4"/>
        <v>0</v>
      </c>
      <c r="V60" s="169"/>
      <c r="W60" s="28"/>
      <c r="X60" s="25" t="str">
        <f>+IF(AND('GRADING PACKING'!L$5=INWARDDATA!J60,'GRADING PACKING'!L$6=INWARDDATA!I60,AB60=0),"TRUE","FALSE")</f>
        <v>FALSE</v>
      </c>
      <c r="Y60" s="29"/>
      <c r="Z60" s="22"/>
      <c r="AA60" s="30"/>
      <c r="AB60" s="30"/>
      <c r="AC60" s="30"/>
      <c r="AD60" s="30"/>
      <c r="AE60" s="30"/>
      <c r="AF60" s="30"/>
      <c r="AG60" s="30"/>
      <c r="AH60" s="30"/>
      <c r="AI60" s="30"/>
      <c r="AJ60" s="31"/>
      <c r="AK60" s="31"/>
      <c r="AL60" s="31"/>
      <c r="AM60" s="31"/>
      <c r="AN60" s="32" t="str">
        <f>+IF(AND('GRADING PACKING'!L$5=INWARDDATA!J60,'GRADING PACKING'!L$6=INWARDDATA!I60,AR60=0),"good","bad")</f>
        <v>bad</v>
      </c>
      <c r="AO60" s="33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86"/>
      <c r="BC60" s="86"/>
      <c r="BD60" s="97">
        <f>Table_15[[#This Row],[Wgt-Bag]]-Table_15[[#This Row],[Total Graded]]-Table_15[[#This Row],[UNDERSIZE]]+0.0011</f>
        <v>82.951099999999997</v>
      </c>
      <c r="BE60" s="86">
        <f>Table_15[[#This Row],[Total Graded]]-Table_15[[#This Row],[Packing Quantity]]+Table_15[[#This Row],[PACKING LOOSE]]</f>
        <v>0</v>
      </c>
      <c r="BF60" s="34">
        <f>IF(Table_15[[#This Row],[GRADED BAGS]]&gt;0,Table_15[[#This Row],[GRADED BAGS]],Table_15[[#This Row],[Bags]])</f>
        <v>0</v>
      </c>
    </row>
    <row r="61" spans="1:58" ht="15" hidden="1" customHeight="1" x14ac:dyDescent="0.35">
      <c r="A61" s="22">
        <v>58</v>
      </c>
      <c r="B61" s="22">
        <v>1378</v>
      </c>
      <c r="C61" s="23" t="s">
        <v>184</v>
      </c>
      <c r="D61" s="23">
        <v>11400</v>
      </c>
      <c r="E61" s="24">
        <v>46119.524201388886</v>
      </c>
      <c r="F61" s="23">
        <v>4190</v>
      </c>
      <c r="G61" s="100">
        <v>46119.566365740742</v>
      </c>
      <c r="H61" s="101">
        <v>7210</v>
      </c>
      <c r="I61" s="102">
        <v>3385</v>
      </c>
      <c r="J61" s="102" t="s">
        <v>185</v>
      </c>
      <c r="K61" s="102">
        <v>123</v>
      </c>
      <c r="L61" s="22">
        <v>0.6</v>
      </c>
      <c r="M61" s="25">
        <f t="shared" si="5"/>
        <v>74</v>
      </c>
      <c r="N61" s="25">
        <f t="shared" si="1"/>
        <v>71.36</v>
      </c>
      <c r="O61" s="25">
        <f t="shared" si="2"/>
        <v>0.25</v>
      </c>
      <c r="P61" s="25">
        <f t="shared" si="3"/>
        <v>71.11</v>
      </c>
      <c r="Q61" s="22"/>
      <c r="R61" s="22"/>
      <c r="S61" s="22"/>
      <c r="T61" s="168">
        <v>2750</v>
      </c>
      <c r="U61" s="171">
        <f t="shared" si="4"/>
        <v>195552.5</v>
      </c>
      <c r="V61" s="169"/>
      <c r="W61" s="28"/>
      <c r="X61" s="25" t="str">
        <f>+IF(AND('GRADING PACKING'!L$5=INWARDDATA!J61,'GRADING PACKING'!L$6=INWARDDATA!I61,AB61=0),"TRUE","FALSE")</f>
        <v>FALSE</v>
      </c>
      <c r="Y61" s="29"/>
      <c r="Z61" s="22"/>
      <c r="AA61" s="30"/>
      <c r="AB61" s="30"/>
      <c r="AC61" s="30"/>
      <c r="AD61" s="30"/>
      <c r="AE61" s="30"/>
      <c r="AF61" s="30"/>
      <c r="AG61" s="30"/>
      <c r="AH61" s="30"/>
      <c r="AI61" s="30"/>
      <c r="AJ61" s="31"/>
      <c r="AK61" s="31"/>
      <c r="AL61" s="31"/>
      <c r="AM61" s="31"/>
      <c r="AN61" s="32" t="str">
        <f>+IF(AND('GRADING PACKING'!L$5=INWARDDATA!J61,'GRADING PACKING'!L$6=INWARDDATA!I61,AR61=0),"good","bad")</f>
        <v>bad</v>
      </c>
      <c r="AO61" s="33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86"/>
      <c r="BC61" s="86"/>
      <c r="BD61" s="97">
        <f>Table_15[[#This Row],[Wgt-Bag]]-Table_15[[#This Row],[Total Graded]]-Table_15[[#This Row],[UNDERSIZE]]+0.0011</f>
        <v>71.361099999999993</v>
      </c>
      <c r="BE61" s="86">
        <f>Table_15[[#This Row],[Total Graded]]-Table_15[[#This Row],[Packing Quantity]]+Table_15[[#This Row],[PACKING LOOSE]]</f>
        <v>0</v>
      </c>
      <c r="BF61" s="34">
        <f>IF(Table_15[[#This Row],[GRADED BAGS]]&gt;0,Table_15[[#This Row],[GRADED BAGS]],Table_15[[#This Row],[Bags]])</f>
        <v>123</v>
      </c>
    </row>
    <row r="62" spans="1:58" ht="14.25" hidden="1" customHeight="1" x14ac:dyDescent="0.35">
      <c r="A62" s="22">
        <v>59</v>
      </c>
      <c r="B62" s="22">
        <v>1379</v>
      </c>
      <c r="C62" s="23" t="s">
        <v>184</v>
      </c>
      <c r="D62" s="23">
        <v>11360</v>
      </c>
      <c r="E62" s="24">
        <v>46119.569212962961</v>
      </c>
      <c r="F62" s="23">
        <v>4105</v>
      </c>
      <c r="G62" s="100">
        <v>46119.590902777774</v>
      </c>
      <c r="H62" s="101">
        <v>7255</v>
      </c>
      <c r="I62" s="102">
        <v>3385</v>
      </c>
      <c r="J62" s="102" t="s">
        <v>185</v>
      </c>
      <c r="K62" s="102">
        <v>122</v>
      </c>
      <c r="L62" s="22">
        <v>0.6</v>
      </c>
      <c r="M62" s="25">
        <f t="shared" si="5"/>
        <v>74</v>
      </c>
      <c r="N62" s="25">
        <f t="shared" si="1"/>
        <v>71.81</v>
      </c>
      <c r="O62" s="25">
        <f t="shared" si="2"/>
        <v>0.25</v>
      </c>
      <c r="P62" s="25">
        <f t="shared" si="3"/>
        <v>71.56</v>
      </c>
      <c r="Q62" s="22"/>
      <c r="R62" s="22"/>
      <c r="S62" s="22"/>
      <c r="T62" s="168">
        <v>2750</v>
      </c>
      <c r="U62" s="171">
        <f t="shared" si="4"/>
        <v>196790</v>
      </c>
      <c r="V62" s="169"/>
      <c r="W62" s="28"/>
      <c r="X62" s="25" t="str">
        <f>+IF(AND('GRADING PACKING'!L$5=INWARDDATA!J62,'GRADING PACKING'!L$6=INWARDDATA!I62,AB62=0),"TRUE","FALSE")</f>
        <v>FALSE</v>
      </c>
      <c r="Y62" s="29"/>
      <c r="Z62" s="22"/>
      <c r="AA62" s="30"/>
      <c r="AB62" s="30"/>
      <c r="AC62" s="30"/>
      <c r="AD62" s="30"/>
      <c r="AE62" s="30"/>
      <c r="AF62" s="30"/>
      <c r="AG62" s="30"/>
      <c r="AH62" s="30"/>
      <c r="AI62" s="30"/>
      <c r="AJ62" s="31"/>
      <c r="AK62" s="31"/>
      <c r="AL62" s="31"/>
      <c r="AM62" s="31"/>
      <c r="AN62" s="32" t="str">
        <f>+IF(AND('GRADING PACKING'!L$5=INWARDDATA!J62,'GRADING PACKING'!L$6=INWARDDATA!I62,AR62=0),"good","bad")</f>
        <v>bad</v>
      </c>
      <c r="AO62" s="33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86"/>
      <c r="BC62" s="86"/>
      <c r="BD62" s="97">
        <f>Table_15[[#This Row],[Wgt-Bag]]-Table_15[[#This Row],[Total Graded]]-Table_15[[#This Row],[UNDERSIZE]]+0.0011</f>
        <v>71.811099999999996</v>
      </c>
      <c r="BE62" s="86">
        <f>Table_15[[#This Row],[Total Graded]]-Table_15[[#This Row],[Packing Quantity]]+Table_15[[#This Row],[PACKING LOOSE]]</f>
        <v>0</v>
      </c>
      <c r="BF62" s="34">
        <f>IF(Table_15[[#This Row],[GRADED BAGS]]&gt;0,Table_15[[#This Row],[GRADED BAGS]],Table_15[[#This Row],[Bags]])</f>
        <v>122</v>
      </c>
    </row>
    <row r="63" spans="1:58" ht="14.25" hidden="1" customHeight="1" x14ac:dyDescent="0.35">
      <c r="A63" s="22">
        <v>60</v>
      </c>
      <c r="B63" s="22">
        <v>1380</v>
      </c>
      <c r="C63" s="23" t="s">
        <v>178</v>
      </c>
      <c r="D63" s="23">
        <v>15475</v>
      </c>
      <c r="E63" s="24">
        <v>46119.740995370368</v>
      </c>
      <c r="F63" s="23">
        <v>4655</v>
      </c>
      <c r="G63" s="100">
        <v>46119.811759259261</v>
      </c>
      <c r="H63" s="101">
        <v>10820</v>
      </c>
      <c r="I63" s="102" t="s">
        <v>190</v>
      </c>
      <c r="J63" s="102" t="s">
        <v>179</v>
      </c>
      <c r="K63" s="102">
        <v>0</v>
      </c>
      <c r="L63" s="22">
        <v>0</v>
      </c>
      <c r="M63" s="25">
        <f t="shared" si="5"/>
        <v>0</v>
      </c>
      <c r="N63" s="25">
        <f t="shared" si="1"/>
        <v>108.2</v>
      </c>
      <c r="O63" s="25">
        <f t="shared" si="2"/>
        <v>0.37</v>
      </c>
      <c r="P63" s="25">
        <f t="shared" si="3"/>
        <v>107.83</v>
      </c>
      <c r="Q63" s="22"/>
      <c r="R63" s="22"/>
      <c r="S63" s="22"/>
      <c r="T63" s="168"/>
      <c r="U63" s="171">
        <f t="shared" si="4"/>
        <v>0</v>
      </c>
      <c r="V63" s="169"/>
      <c r="W63" s="28"/>
      <c r="X63" s="25" t="str">
        <f>+IF(AND('GRADING PACKING'!L$5=INWARDDATA!J63,'GRADING PACKING'!L$6=INWARDDATA!I63,AB63=0),"TRUE","FALSE")</f>
        <v>FALSE</v>
      </c>
      <c r="Y63" s="29"/>
      <c r="Z63" s="22"/>
      <c r="AA63" s="30"/>
      <c r="AB63" s="30"/>
      <c r="AC63" s="30"/>
      <c r="AD63" s="30"/>
      <c r="AE63" s="30"/>
      <c r="AF63" s="30"/>
      <c r="AG63" s="30"/>
      <c r="AH63" s="30"/>
      <c r="AI63" s="30"/>
      <c r="AJ63" s="31"/>
      <c r="AK63" s="31"/>
      <c r="AL63" s="31"/>
      <c r="AM63" s="31"/>
      <c r="AN63" s="32" t="str">
        <f>+IF(AND('GRADING PACKING'!L$5=INWARDDATA!J63,'GRADING PACKING'!L$6=INWARDDATA!I63,AR63=0),"good","bad")</f>
        <v>bad</v>
      </c>
      <c r="AO63" s="33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86"/>
      <c r="BC63" s="86"/>
      <c r="BD63" s="97">
        <f>Table_15[[#This Row],[Wgt-Bag]]-Table_15[[#This Row],[Total Graded]]-Table_15[[#This Row],[UNDERSIZE]]+0.0011</f>
        <v>108.2011</v>
      </c>
      <c r="BE63" s="86">
        <f>Table_15[[#This Row],[Total Graded]]-Table_15[[#This Row],[Packing Quantity]]+Table_15[[#This Row],[PACKING LOOSE]]</f>
        <v>0</v>
      </c>
      <c r="BF63" s="34">
        <f>IF(Table_15[[#This Row],[GRADED BAGS]]&gt;0,Table_15[[#This Row],[GRADED BAGS]],Table_15[[#This Row],[Bags]])</f>
        <v>0</v>
      </c>
    </row>
    <row r="64" spans="1:58" ht="14.25" hidden="1" customHeight="1" x14ac:dyDescent="0.35">
      <c r="A64" s="22">
        <v>61</v>
      </c>
      <c r="B64" s="22">
        <v>1381</v>
      </c>
      <c r="C64" s="23">
        <v>485</v>
      </c>
      <c r="D64" s="23">
        <v>11590</v>
      </c>
      <c r="E64" s="24">
        <v>46120.472696759258</v>
      </c>
      <c r="F64" s="23">
        <v>4135</v>
      </c>
      <c r="G64" s="100">
        <v>46120.510462962964</v>
      </c>
      <c r="H64" s="101">
        <v>7455</v>
      </c>
      <c r="I64" s="102">
        <v>3385</v>
      </c>
      <c r="J64" s="102" t="s">
        <v>185</v>
      </c>
      <c r="K64" s="102">
        <v>124</v>
      </c>
      <c r="L64" s="22">
        <v>0.6</v>
      </c>
      <c r="M64" s="25">
        <f t="shared" si="5"/>
        <v>75</v>
      </c>
      <c r="N64" s="25">
        <f t="shared" si="1"/>
        <v>73.8</v>
      </c>
      <c r="O64" s="25">
        <f t="shared" si="2"/>
        <v>0.25</v>
      </c>
      <c r="P64" s="25">
        <f t="shared" si="3"/>
        <v>73.55</v>
      </c>
      <c r="Q64" s="22"/>
      <c r="R64" s="22"/>
      <c r="S64" s="22"/>
      <c r="T64" s="168">
        <v>2750</v>
      </c>
      <c r="U64" s="171">
        <f t="shared" si="4"/>
        <v>202262.5</v>
      </c>
      <c r="V64" s="169"/>
      <c r="W64" s="28"/>
      <c r="X64" s="25" t="str">
        <f>+IF(AND('GRADING PACKING'!L$5=INWARDDATA!J64,'GRADING PACKING'!L$6=INWARDDATA!I64,AB64=0),"TRUE","FALSE")</f>
        <v>FALSE</v>
      </c>
      <c r="Y64" s="29"/>
      <c r="Z64" s="22"/>
      <c r="AA64" s="30"/>
      <c r="AB64" s="30"/>
      <c r="AC64" s="30"/>
      <c r="AD64" s="30"/>
      <c r="AE64" s="30"/>
      <c r="AF64" s="30"/>
      <c r="AG64" s="30"/>
      <c r="AH64" s="30"/>
      <c r="AI64" s="30"/>
      <c r="AJ64" s="31"/>
      <c r="AK64" s="31"/>
      <c r="AL64" s="31"/>
      <c r="AM64" s="31"/>
      <c r="AN64" s="32" t="str">
        <f>+IF(AND('GRADING PACKING'!L$5=INWARDDATA!J64,'GRADING PACKING'!L$6=INWARDDATA!I64,AR64=0),"good","bad")</f>
        <v>bad</v>
      </c>
      <c r="AO64" s="33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86"/>
      <c r="BC64" s="86"/>
      <c r="BD64" s="97">
        <f>Table_15[[#This Row],[Wgt-Bag]]-Table_15[[#This Row],[Total Graded]]-Table_15[[#This Row],[UNDERSIZE]]+0.0011</f>
        <v>73.801099999999991</v>
      </c>
      <c r="BE64" s="86">
        <f>Table_15[[#This Row],[Total Graded]]-Table_15[[#This Row],[Packing Quantity]]+Table_15[[#This Row],[PACKING LOOSE]]</f>
        <v>0</v>
      </c>
      <c r="BF64" s="34">
        <f>IF(Table_15[[#This Row],[GRADED BAGS]]&gt;0,Table_15[[#This Row],[GRADED BAGS]],Table_15[[#This Row],[Bags]])</f>
        <v>124</v>
      </c>
    </row>
    <row r="65" spans="1:58" ht="14.25" hidden="1" customHeight="1" x14ac:dyDescent="0.35">
      <c r="A65" s="22">
        <v>62</v>
      </c>
      <c r="B65" s="22">
        <v>1382</v>
      </c>
      <c r="C65" s="23" t="s">
        <v>171</v>
      </c>
      <c r="D65" s="23">
        <v>11615</v>
      </c>
      <c r="E65" s="24">
        <v>46120.497499999998</v>
      </c>
      <c r="F65" s="23">
        <v>4195</v>
      </c>
      <c r="G65" s="100">
        <v>46120.531909722224</v>
      </c>
      <c r="H65" s="101">
        <v>7420</v>
      </c>
      <c r="I65" s="102">
        <v>3385</v>
      </c>
      <c r="J65" s="102" t="s">
        <v>185</v>
      </c>
      <c r="K65" s="102">
        <v>124</v>
      </c>
      <c r="L65" s="22">
        <v>0.6</v>
      </c>
      <c r="M65" s="25">
        <f t="shared" si="5"/>
        <v>75</v>
      </c>
      <c r="N65" s="25">
        <f t="shared" si="1"/>
        <v>73.45</v>
      </c>
      <c r="O65" s="25">
        <f t="shared" si="2"/>
        <v>0.25</v>
      </c>
      <c r="P65" s="25">
        <f t="shared" si="3"/>
        <v>73.2</v>
      </c>
      <c r="Q65" s="22"/>
      <c r="R65" s="22"/>
      <c r="S65" s="22"/>
      <c r="T65" s="168">
        <v>2750</v>
      </c>
      <c r="U65" s="171">
        <f t="shared" si="4"/>
        <v>201300</v>
      </c>
      <c r="V65" s="169"/>
      <c r="W65" s="28"/>
      <c r="X65" s="25" t="str">
        <f>+IF(AND('GRADING PACKING'!L$5=INWARDDATA!J65,'GRADING PACKING'!L$6=INWARDDATA!I65,AB65=0),"TRUE","FALSE")</f>
        <v>FALSE</v>
      </c>
      <c r="Y65" s="29"/>
      <c r="Z65" s="22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K65" s="31"/>
      <c r="AL65" s="31"/>
      <c r="AM65" s="31"/>
      <c r="AN65" s="32" t="str">
        <f>+IF(AND('GRADING PACKING'!L$5=INWARDDATA!J65,'GRADING PACKING'!L$6=INWARDDATA!I65,AR65=0),"good","bad")</f>
        <v>bad</v>
      </c>
      <c r="AO65" s="33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86"/>
      <c r="BC65" s="86"/>
      <c r="BD65" s="97">
        <f>Table_15[[#This Row],[Wgt-Bag]]-Table_15[[#This Row],[Total Graded]]-Table_15[[#This Row],[UNDERSIZE]]+0.0011</f>
        <v>73.451099999999997</v>
      </c>
      <c r="BE65" s="86">
        <f>Table_15[[#This Row],[Total Graded]]-Table_15[[#This Row],[Packing Quantity]]+Table_15[[#This Row],[PACKING LOOSE]]</f>
        <v>0</v>
      </c>
      <c r="BF65" s="34">
        <f>IF(Table_15[[#This Row],[GRADED BAGS]]&gt;0,Table_15[[#This Row],[GRADED BAGS]],Table_15[[#This Row],[Bags]])</f>
        <v>124</v>
      </c>
    </row>
    <row r="66" spans="1:58" ht="14.25" customHeight="1" x14ac:dyDescent="0.35">
      <c r="A66" s="22">
        <v>63</v>
      </c>
      <c r="B66" s="22">
        <v>1383</v>
      </c>
      <c r="C66" s="23" t="s">
        <v>195</v>
      </c>
      <c r="D66" s="23">
        <v>15810</v>
      </c>
      <c r="E66" s="24">
        <v>46120.608680555553</v>
      </c>
      <c r="F66" s="23">
        <v>4370</v>
      </c>
      <c r="G66" s="100">
        <v>46120.665775462963</v>
      </c>
      <c r="H66" s="101">
        <v>11440</v>
      </c>
      <c r="I66" s="102" t="s">
        <v>196</v>
      </c>
      <c r="J66" s="102" t="s">
        <v>197</v>
      </c>
      <c r="K66" s="102">
        <v>0</v>
      </c>
      <c r="L66" s="22">
        <v>0</v>
      </c>
      <c r="M66" s="25">
        <f t="shared" si="5"/>
        <v>0</v>
      </c>
      <c r="N66" s="25">
        <f t="shared" si="1"/>
        <v>114.4</v>
      </c>
      <c r="O66" s="25">
        <f t="shared" si="2"/>
        <v>0.39</v>
      </c>
      <c r="P66" s="25">
        <f t="shared" si="3"/>
        <v>114.01</v>
      </c>
      <c r="Q66" s="22"/>
      <c r="R66" s="22"/>
      <c r="S66" s="22"/>
      <c r="T66" s="168"/>
      <c r="U66" s="171">
        <f t="shared" si="4"/>
        <v>0</v>
      </c>
      <c r="V66" s="169"/>
      <c r="W66" s="28"/>
      <c r="X66" s="25" t="str">
        <f>+IF(AND('GRADING PACKING'!L$5=INWARDDATA!J66,'GRADING PACKING'!L$6=INWARDDATA!I66,AB66=0),"TRUE","FALSE")</f>
        <v>FALSE</v>
      </c>
      <c r="Y66" s="29">
        <v>46122</v>
      </c>
      <c r="Z66" s="22" t="s">
        <v>197</v>
      </c>
      <c r="AA66" s="30" t="s">
        <v>196</v>
      </c>
      <c r="AB66" s="30">
        <v>466.25</v>
      </c>
      <c r="AC66" s="30">
        <v>774</v>
      </c>
      <c r="AD66" s="30">
        <v>55</v>
      </c>
      <c r="AE66" s="30">
        <v>425.7</v>
      </c>
      <c r="AF66" s="30">
        <v>0</v>
      </c>
      <c r="AG66" s="30">
        <v>425.7</v>
      </c>
      <c r="AH66" s="30">
        <v>39.67</v>
      </c>
      <c r="AI66" s="30">
        <v>11</v>
      </c>
      <c r="AJ66" s="31">
        <v>8.5083109919571047</v>
      </c>
      <c r="AK66" s="31">
        <v>465.37</v>
      </c>
      <c r="AL66" s="31" t="s">
        <v>198</v>
      </c>
      <c r="AM66" s="31">
        <v>-0.87999999999999545</v>
      </c>
      <c r="AN66" s="32" t="str">
        <f>+IF(AND('GRADING PACKING'!L$5=INWARDDATA!J66,'GRADING PACKING'!L$6=INWARDDATA!I66,AR66=0),"good","bad")</f>
        <v>bad</v>
      </c>
      <c r="AO66" s="33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86"/>
      <c r="BC66" s="86"/>
      <c r="BD66" s="97">
        <f>Table_15[[#This Row],[Wgt-Bag]]-Table_15[[#This Row],[Total Graded]]-Table_15[[#This Row],[UNDERSIZE]]+0.0011</f>
        <v>-350.96889999999996</v>
      </c>
      <c r="BE66" s="86">
        <f>Table_15[[#This Row],[Total Graded]]-Table_15[[#This Row],[Packing Quantity]]+Table_15[[#This Row],[PACKING LOOSE]]</f>
        <v>425.7</v>
      </c>
      <c r="BF66" s="34">
        <f>IF(Table_15[[#This Row],[GRADED BAGS]]&gt;0,Table_15[[#This Row],[GRADED BAGS]],Table_15[[#This Row],[Bags]])</f>
        <v>774</v>
      </c>
    </row>
    <row r="67" spans="1:58" ht="14.25" customHeight="1" x14ac:dyDescent="0.35">
      <c r="A67" s="22">
        <v>64</v>
      </c>
      <c r="B67" s="22">
        <v>1384</v>
      </c>
      <c r="C67" s="23" t="s">
        <v>178</v>
      </c>
      <c r="D67" s="23">
        <v>16875</v>
      </c>
      <c r="E67" s="24">
        <v>46120.667314814818</v>
      </c>
      <c r="F67" s="23">
        <v>4660</v>
      </c>
      <c r="G67" s="100">
        <v>46120.770694444444</v>
      </c>
      <c r="H67" s="101">
        <v>12215</v>
      </c>
      <c r="I67" s="102" t="s">
        <v>196</v>
      </c>
      <c r="J67" s="102" t="s">
        <v>197</v>
      </c>
      <c r="K67" s="233">
        <v>0</v>
      </c>
      <c r="L67" s="22">
        <v>0</v>
      </c>
      <c r="M67" s="25">
        <f t="shared" si="5"/>
        <v>0</v>
      </c>
      <c r="N67" s="25">
        <f t="shared" si="1"/>
        <v>122.15</v>
      </c>
      <c r="O67" s="25">
        <f t="shared" si="2"/>
        <v>0.41000000000000003</v>
      </c>
      <c r="P67" s="25">
        <f t="shared" si="3"/>
        <v>121.74000000000001</v>
      </c>
      <c r="Q67" s="22"/>
      <c r="R67" s="22"/>
      <c r="S67" s="22"/>
      <c r="T67" s="168"/>
      <c r="U67" s="171">
        <f t="shared" si="4"/>
        <v>0</v>
      </c>
      <c r="V67" s="169"/>
      <c r="W67" s="28"/>
      <c r="X67" s="25" t="str">
        <f>+IF(AND('GRADING PACKING'!L$5=INWARDDATA!J67,'GRADING PACKING'!L$6=INWARDDATA!I67,AB67=0),"TRUE","FALSE")</f>
        <v>FALSE</v>
      </c>
      <c r="Y67" s="29"/>
      <c r="Z67" s="22"/>
      <c r="AA67" s="30"/>
      <c r="AB67" s="30"/>
      <c r="AC67" s="30"/>
      <c r="AD67" s="30"/>
      <c r="AE67" s="30"/>
      <c r="AF67" s="30"/>
      <c r="AG67" s="30"/>
      <c r="AH67" s="30"/>
      <c r="AI67" s="30"/>
      <c r="AJ67" s="31"/>
      <c r="AK67" s="31"/>
      <c r="AL67" s="31"/>
      <c r="AM67" s="31"/>
      <c r="AN67" s="32" t="str">
        <f>+IF(AND('GRADING PACKING'!L$5=INWARDDATA!J67,'GRADING PACKING'!L$6=INWARDDATA!I67,AR67=0),"good","bad")</f>
        <v>bad</v>
      </c>
      <c r="AO67" s="33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86"/>
      <c r="BC67" s="86"/>
      <c r="BD67" s="97">
        <f>Table_15[[#This Row],[Wgt-Bag]]-Table_15[[#This Row],[Total Graded]]-Table_15[[#This Row],[UNDERSIZE]]+0.0011</f>
        <v>122.1511</v>
      </c>
      <c r="BE67" s="86">
        <f>Table_15[[#This Row],[Total Graded]]-Table_15[[#This Row],[Packing Quantity]]+Table_15[[#This Row],[PACKING LOOSE]]</f>
        <v>0</v>
      </c>
      <c r="BF67" s="34">
        <f>IF(Table_15[[#This Row],[GRADED BAGS]]&gt;0,Table_15[[#This Row],[GRADED BAGS]],Table_15[[#This Row],[Bags]])</f>
        <v>0</v>
      </c>
    </row>
    <row r="68" spans="1:58" ht="14.25" customHeight="1" x14ac:dyDescent="0.35">
      <c r="A68" s="22">
        <v>65</v>
      </c>
      <c r="B68" s="22">
        <v>1385</v>
      </c>
      <c r="C68" s="23" t="s">
        <v>181</v>
      </c>
      <c r="D68" s="23">
        <v>15240</v>
      </c>
      <c r="E68" s="24">
        <v>46121.605520833335</v>
      </c>
      <c r="F68" s="23">
        <v>4380</v>
      </c>
      <c r="G68" s="100">
        <v>46121.680266203701</v>
      </c>
      <c r="H68" s="101">
        <v>10860</v>
      </c>
      <c r="I68" s="102" t="s">
        <v>196</v>
      </c>
      <c r="J68" s="102" t="s">
        <v>197</v>
      </c>
      <c r="K68" s="233">
        <v>0</v>
      </c>
      <c r="L68" s="22">
        <v>0</v>
      </c>
      <c r="M68" s="25">
        <f t="shared" ref="M68:M130" si="6">ROUNDUP((K68*L68),0)</f>
        <v>0</v>
      </c>
      <c r="N68" s="25">
        <f t="shared" ref="N68:N130" si="7">(H68-M68)/100</f>
        <v>108.6</v>
      </c>
      <c r="O68" s="25">
        <f t="shared" ref="O68:O130" si="8">ROUNDUP((H68/90)*0.003,2)</f>
        <v>0.37</v>
      </c>
      <c r="P68" s="25">
        <f t="shared" ref="P68:P130" si="9">(N68)-O68</f>
        <v>108.22999999999999</v>
      </c>
      <c r="Q68" s="22"/>
      <c r="R68" s="22"/>
      <c r="S68" s="22"/>
      <c r="T68" s="168"/>
      <c r="U68" s="171">
        <f t="shared" ref="U68:U130" si="10">T68*P68</f>
        <v>0</v>
      </c>
      <c r="V68" s="169"/>
      <c r="W68" s="28"/>
      <c r="X68" s="25" t="str">
        <f>+IF(AND('GRADING PACKING'!L$5=INWARDDATA!J68,'GRADING PACKING'!L$6=INWARDDATA!I68,AB68=0),"TRUE","FALSE")</f>
        <v>FALSE</v>
      </c>
      <c r="Y68" s="29"/>
      <c r="Z68" s="22"/>
      <c r="AA68" s="30"/>
      <c r="AB68" s="30"/>
      <c r="AC68" s="30"/>
      <c r="AD68" s="30"/>
      <c r="AE68" s="30"/>
      <c r="AF68" s="30"/>
      <c r="AG68" s="30"/>
      <c r="AH68" s="30"/>
      <c r="AI68" s="30"/>
      <c r="AJ68" s="31"/>
      <c r="AK68" s="31"/>
      <c r="AL68" s="31"/>
      <c r="AM68" s="31"/>
      <c r="AN68" s="32" t="str">
        <f>+IF(AND('GRADING PACKING'!L$5=INWARDDATA!J68,'GRADING PACKING'!L$6=INWARDDATA!I68,AR68=0),"good","bad")</f>
        <v>bad</v>
      </c>
      <c r="AO68" s="33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86"/>
      <c r="BC68" s="86"/>
      <c r="BD68" s="97">
        <f>Table_15[[#This Row],[Wgt-Bag]]-Table_15[[#This Row],[Total Graded]]-Table_15[[#This Row],[UNDERSIZE]]+0.0011</f>
        <v>108.60109999999999</v>
      </c>
      <c r="BE68" s="86">
        <f>Table_15[[#This Row],[Total Graded]]-Table_15[[#This Row],[Packing Quantity]]+Table_15[[#This Row],[PACKING LOOSE]]</f>
        <v>0</v>
      </c>
      <c r="BF68" s="34">
        <f>IF(Table_15[[#This Row],[GRADED BAGS]]&gt;0,Table_15[[#This Row],[GRADED BAGS]],Table_15[[#This Row],[Bags]])</f>
        <v>0</v>
      </c>
    </row>
    <row r="69" spans="1:58" ht="15" customHeight="1" x14ac:dyDescent="0.35">
      <c r="A69" s="22">
        <v>66</v>
      </c>
      <c r="B69" s="22">
        <v>1386</v>
      </c>
      <c r="C69" s="23" t="s">
        <v>178</v>
      </c>
      <c r="D69" s="23">
        <v>16795</v>
      </c>
      <c r="E69" s="24">
        <v>46121.681921296295</v>
      </c>
      <c r="F69" s="23">
        <v>4685</v>
      </c>
      <c r="G69" s="100">
        <v>46121.768379629626</v>
      </c>
      <c r="H69" s="101">
        <v>12110</v>
      </c>
      <c r="I69" s="102" t="s">
        <v>196</v>
      </c>
      <c r="J69" s="102" t="s">
        <v>197</v>
      </c>
      <c r="K69" s="233">
        <v>0</v>
      </c>
      <c r="L69" s="22">
        <v>0</v>
      </c>
      <c r="M69" s="25">
        <f t="shared" si="6"/>
        <v>0</v>
      </c>
      <c r="N69" s="25">
        <f t="shared" si="7"/>
        <v>121.1</v>
      </c>
      <c r="O69" s="25">
        <f t="shared" si="8"/>
        <v>0.41000000000000003</v>
      </c>
      <c r="P69" s="25">
        <f t="shared" si="9"/>
        <v>120.69</v>
      </c>
      <c r="Q69" s="22"/>
      <c r="R69" s="22"/>
      <c r="S69" s="22"/>
      <c r="T69" s="168"/>
      <c r="U69" s="171">
        <f t="shared" si="10"/>
        <v>0</v>
      </c>
      <c r="V69" s="169"/>
      <c r="W69" s="28"/>
      <c r="X69" s="25" t="str">
        <f>+IF(AND('GRADING PACKING'!L$5=INWARDDATA!J69,'GRADING PACKING'!L$6=INWARDDATA!I69,AB69=0),"TRUE","FALSE")</f>
        <v>FALSE</v>
      </c>
      <c r="Y69" s="29"/>
      <c r="Z69" s="22"/>
      <c r="AA69" s="30"/>
      <c r="AB69" s="30"/>
      <c r="AC69" s="30"/>
      <c r="AD69" s="30"/>
      <c r="AE69" s="30"/>
      <c r="AF69" s="30"/>
      <c r="AG69" s="30"/>
      <c r="AH69" s="30"/>
      <c r="AI69" s="30"/>
      <c r="AJ69" s="31"/>
      <c r="AK69" s="31"/>
      <c r="AL69" s="31"/>
      <c r="AM69" s="31"/>
      <c r="AN69" s="32" t="str">
        <f>+IF(AND('GRADING PACKING'!L$5=INWARDDATA!J69,'GRADING PACKING'!L$6=INWARDDATA!I69,AR69=0),"good","bad")</f>
        <v>bad</v>
      </c>
      <c r="AO69" s="33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86"/>
      <c r="BC69" s="86"/>
      <c r="BD69" s="97">
        <f>Table_15[[#This Row],[Wgt-Bag]]-Table_15[[#This Row],[Total Graded]]-Table_15[[#This Row],[UNDERSIZE]]+0.0011</f>
        <v>121.10109999999999</v>
      </c>
      <c r="BE69" s="86">
        <f>Table_15[[#This Row],[Total Graded]]-Table_15[[#This Row],[Packing Quantity]]+Table_15[[#This Row],[PACKING LOOSE]]</f>
        <v>0</v>
      </c>
      <c r="BF69" s="34">
        <f>IF(Table_15[[#This Row],[GRADED BAGS]]&gt;0,Table_15[[#This Row],[GRADED BAGS]],Table_15[[#This Row],[Bags]])</f>
        <v>0</v>
      </c>
    </row>
    <row r="70" spans="1:58" ht="14.25" hidden="1" customHeight="1" x14ac:dyDescent="0.35">
      <c r="A70" s="22">
        <v>67</v>
      </c>
      <c r="B70" s="22">
        <v>1387</v>
      </c>
      <c r="C70" s="23" t="s">
        <v>184</v>
      </c>
      <c r="D70" s="23">
        <v>11730</v>
      </c>
      <c r="E70" s="24">
        <v>46121.758657407408</v>
      </c>
      <c r="F70" s="23">
        <v>4165</v>
      </c>
      <c r="G70" s="100">
        <v>46121.794722222221</v>
      </c>
      <c r="H70" s="101">
        <v>7565</v>
      </c>
      <c r="I70" s="102">
        <v>3385</v>
      </c>
      <c r="J70" s="102" t="s">
        <v>185</v>
      </c>
      <c r="K70" s="233">
        <v>124</v>
      </c>
      <c r="L70" s="22">
        <v>0.6</v>
      </c>
      <c r="M70" s="25">
        <f t="shared" si="6"/>
        <v>75</v>
      </c>
      <c r="N70" s="25">
        <f t="shared" si="7"/>
        <v>74.900000000000006</v>
      </c>
      <c r="O70" s="25">
        <f t="shared" si="8"/>
        <v>0.26</v>
      </c>
      <c r="P70" s="25">
        <f t="shared" si="9"/>
        <v>74.64</v>
      </c>
      <c r="Q70" s="22"/>
      <c r="R70" s="22"/>
      <c r="S70" s="22"/>
      <c r="T70" s="168">
        <v>2750</v>
      </c>
      <c r="U70" s="171">
        <f t="shared" si="10"/>
        <v>205260</v>
      </c>
      <c r="V70" s="169"/>
      <c r="W70" s="28"/>
      <c r="X70" s="25" t="str">
        <f>+IF(AND('GRADING PACKING'!L$5=INWARDDATA!J70,'GRADING PACKING'!L$6=INWARDDATA!I70,AB70=0),"TRUE","FALSE")</f>
        <v>FALSE</v>
      </c>
      <c r="Y70" s="29"/>
      <c r="Z70" s="22"/>
      <c r="AA70" s="30"/>
      <c r="AB70" s="30"/>
      <c r="AC70" s="30"/>
      <c r="AD70" s="30"/>
      <c r="AE70" s="30"/>
      <c r="AF70" s="30"/>
      <c r="AG70" s="30"/>
      <c r="AH70" s="30"/>
      <c r="AI70" s="30"/>
      <c r="AJ70" s="31"/>
      <c r="AK70" s="31"/>
      <c r="AL70" s="31"/>
      <c r="AM70" s="31"/>
      <c r="AN70" s="32" t="str">
        <f>+IF(AND('GRADING PACKING'!L$5=INWARDDATA!J70,'GRADING PACKING'!L$6=INWARDDATA!I70,AR70=0),"good","bad")</f>
        <v>bad</v>
      </c>
      <c r="AO70" s="33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86"/>
      <c r="BC70" s="86"/>
      <c r="BD70" s="97">
        <f>Table_15[[#This Row],[Wgt-Bag]]-Table_15[[#This Row],[Total Graded]]-Table_15[[#This Row],[UNDERSIZE]]+0.0011</f>
        <v>74.9011</v>
      </c>
      <c r="BE70" s="86">
        <f>Table_15[[#This Row],[Total Graded]]-Table_15[[#This Row],[Packing Quantity]]+Table_15[[#This Row],[PACKING LOOSE]]</f>
        <v>0</v>
      </c>
      <c r="BF70" s="34">
        <f>IF(Table_15[[#This Row],[GRADED BAGS]]&gt;0,Table_15[[#This Row],[GRADED BAGS]],Table_15[[#This Row],[Bags]])</f>
        <v>124</v>
      </c>
    </row>
    <row r="71" spans="1:58" ht="14.25" hidden="1" customHeight="1" x14ac:dyDescent="0.35">
      <c r="A71" s="22">
        <v>68</v>
      </c>
      <c r="B71" s="22">
        <v>1388</v>
      </c>
      <c r="C71" s="23" t="s">
        <v>181</v>
      </c>
      <c r="D71" s="23">
        <v>15160</v>
      </c>
      <c r="E71" s="24">
        <v>46122.569189814814</v>
      </c>
      <c r="F71" s="23">
        <v>4375</v>
      </c>
      <c r="G71" s="100">
        <v>46122.621655092589</v>
      </c>
      <c r="H71" s="101">
        <v>10785</v>
      </c>
      <c r="I71" s="102" t="s">
        <v>199</v>
      </c>
      <c r="J71" s="102" t="s">
        <v>200</v>
      </c>
      <c r="K71" s="233">
        <v>0</v>
      </c>
      <c r="L71" s="22">
        <v>0</v>
      </c>
      <c r="M71" s="25">
        <f t="shared" si="6"/>
        <v>0</v>
      </c>
      <c r="N71" s="25">
        <f t="shared" si="7"/>
        <v>107.85</v>
      </c>
      <c r="O71" s="25">
        <f t="shared" si="8"/>
        <v>0.36</v>
      </c>
      <c r="P71" s="25">
        <f t="shared" si="9"/>
        <v>107.49</v>
      </c>
      <c r="Q71" s="22"/>
      <c r="R71" s="22"/>
      <c r="S71" s="22"/>
      <c r="T71" s="168"/>
      <c r="U71" s="171">
        <f t="shared" si="10"/>
        <v>0</v>
      </c>
      <c r="V71" s="169"/>
      <c r="W71" s="28"/>
      <c r="X71" s="25" t="str">
        <f>+IF(AND('GRADING PACKING'!L$5=INWARDDATA!J71,'GRADING PACKING'!L$6=INWARDDATA!I71,AB71=0),"TRUE","FALSE")</f>
        <v>FALSE</v>
      </c>
      <c r="Y71" s="29"/>
      <c r="Z71" s="22"/>
      <c r="AA71" s="30"/>
      <c r="AB71" s="30"/>
      <c r="AC71" s="30"/>
      <c r="AD71" s="30"/>
      <c r="AE71" s="30"/>
      <c r="AF71" s="30"/>
      <c r="AG71" s="30"/>
      <c r="AH71" s="30"/>
      <c r="AI71" s="30"/>
      <c r="AJ71" s="31"/>
      <c r="AK71" s="31"/>
      <c r="AL71" s="31"/>
      <c r="AM71" s="31"/>
      <c r="AN71" s="32" t="str">
        <f>+IF(AND('GRADING PACKING'!L$5=INWARDDATA!J71,'GRADING PACKING'!L$6=INWARDDATA!I71,AR71=0),"good","bad")</f>
        <v>bad</v>
      </c>
      <c r="AO71" s="33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86"/>
      <c r="BC71" s="86"/>
      <c r="BD71" s="97">
        <f>Table_15[[#This Row],[Wgt-Bag]]-Table_15[[#This Row],[Total Graded]]-Table_15[[#This Row],[UNDERSIZE]]+0.0011</f>
        <v>107.85109999999999</v>
      </c>
      <c r="BE71" s="86">
        <f>Table_15[[#This Row],[Total Graded]]-Table_15[[#This Row],[Packing Quantity]]+Table_15[[#This Row],[PACKING LOOSE]]</f>
        <v>0</v>
      </c>
      <c r="BF71" s="34">
        <f>IF(Table_15[[#This Row],[GRADED BAGS]]&gt;0,Table_15[[#This Row],[GRADED BAGS]],Table_15[[#This Row],[Bags]])</f>
        <v>0</v>
      </c>
    </row>
    <row r="72" spans="1:58" ht="14.25" hidden="1" customHeight="1" x14ac:dyDescent="0.35">
      <c r="A72" s="22">
        <v>69</v>
      </c>
      <c r="B72" s="22">
        <v>1389</v>
      </c>
      <c r="C72" s="23" t="s">
        <v>201</v>
      </c>
      <c r="D72" s="23">
        <v>14880</v>
      </c>
      <c r="E72" s="24">
        <v>46122.59574074074</v>
      </c>
      <c r="F72" s="23">
        <v>5270</v>
      </c>
      <c r="G72" s="100">
        <v>46122.666898148149</v>
      </c>
      <c r="H72" s="101">
        <v>9610</v>
      </c>
      <c r="I72" s="102" t="s">
        <v>202</v>
      </c>
      <c r="J72" s="102" t="s">
        <v>203</v>
      </c>
      <c r="K72" s="233">
        <v>190</v>
      </c>
      <c r="L72" s="22">
        <v>0.6</v>
      </c>
      <c r="M72" s="25">
        <f t="shared" si="6"/>
        <v>114</v>
      </c>
      <c r="N72" s="25">
        <f t="shared" si="7"/>
        <v>94.96</v>
      </c>
      <c r="O72" s="25">
        <f t="shared" si="8"/>
        <v>0.33</v>
      </c>
      <c r="P72" s="25">
        <f t="shared" si="9"/>
        <v>94.63</v>
      </c>
      <c r="Q72" s="22"/>
      <c r="R72" s="22"/>
      <c r="S72" s="22"/>
      <c r="T72" s="168"/>
      <c r="U72" s="171">
        <f t="shared" si="10"/>
        <v>0</v>
      </c>
      <c r="V72" s="169"/>
      <c r="W72" s="28"/>
      <c r="X72" s="25" t="str">
        <f>+IF(AND('GRADING PACKING'!L$5=INWARDDATA!J72,'GRADING PACKING'!L$6=INWARDDATA!I72,AB72=0),"TRUE","FALSE")</f>
        <v>FALSE</v>
      </c>
      <c r="Y72" s="29"/>
      <c r="Z72" s="22"/>
      <c r="AA72" s="30"/>
      <c r="AB72" s="30"/>
      <c r="AC72" s="30"/>
      <c r="AD72" s="30"/>
      <c r="AE72" s="30"/>
      <c r="AF72" s="30"/>
      <c r="AG72" s="30"/>
      <c r="AH72" s="30"/>
      <c r="AI72" s="30"/>
      <c r="AJ72" s="31"/>
      <c r="AK72" s="31"/>
      <c r="AL72" s="31"/>
      <c r="AM72" s="31"/>
      <c r="AN72" s="32" t="str">
        <f>+IF(AND('GRADING PACKING'!L$5=INWARDDATA!J72,'GRADING PACKING'!L$6=INWARDDATA!I72,AR72=0),"good","bad")</f>
        <v>bad</v>
      </c>
      <c r="AO72" s="33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86"/>
      <c r="BC72" s="86"/>
      <c r="BD72" s="97">
        <f>Table_15[[#This Row],[Wgt-Bag]]-Table_15[[#This Row],[Total Graded]]-Table_15[[#This Row],[UNDERSIZE]]+0.0011</f>
        <v>94.961099999999988</v>
      </c>
      <c r="BE72" s="86">
        <f>Table_15[[#This Row],[Total Graded]]-Table_15[[#This Row],[Packing Quantity]]+Table_15[[#This Row],[PACKING LOOSE]]</f>
        <v>0</v>
      </c>
      <c r="BF72" s="34">
        <f>IF(Table_15[[#This Row],[GRADED BAGS]]&gt;0,Table_15[[#This Row],[GRADED BAGS]],Table_15[[#This Row],[Bags]])</f>
        <v>190</v>
      </c>
    </row>
    <row r="73" spans="1:58" ht="14.25" hidden="1" customHeight="1" x14ac:dyDescent="0.35">
      <c r="A73" s="22">
        <v>70</v>
      </c>
      <c r="B73" s="22">
        <v>1390</v>
      </c>
      <c r="C73" s="23" t="s">
        <v>204</v>
      </c>
      <c r="D73" s="23">
        <v>9640</v>
      </c>
      <c r="E73" s="24">
        <v>46122.597650462965</v>
      </c>
      <c r="F73" s="23">
        <v>4090</v>
      </c>
      <c r="G73" s="100">
        <v>46122.668020833335</v>
      </c>
      <c r="H73" s="101">
        <v>5550</v>
      </c>
      <c r="I73" s="102" t="s">
        <v>202</v>
      </c>
      <c r="J73" s="102" t="s">
        <v>203</v>
      </c>
      <c r="K73" s="233">
        <v>110</v>
      </c>
      <c r="L73" s="22">
        <v>0.6</v>
      </c>
      <c r="M73" s="25">
        <f t="shared" si="6"/>
        <v>66</v>
      </c>
      <c r="N73" s="25">
        <f t="shared" si="7"/>
        <v>54.84</v>
      </c>
      <c r="O73" s="25">
        <f t="shared" si="8"/>
        <v>0.19</v>
      </c>
      <c r="P73" s="25">
        <f t="shared" si="9"/>
        <v>54.650000000000006</v>
      </c>
      <c r="Q73" s="22"/>
      <c r="R73" s="22"/>
      <c r="S73" s="22"/>
      <c r="T73" s="168"/>
      <c r="U73" s="171">
        <f t="shared" si="10"/>
        <v>0</v>
      </c>
      <c r="V73" s="169"/>
      <c r="W73" s="28"/>
      <c r="X73" s="25" t="str">
        <f>+IF(AND('GRADING PACKING'!L$5=INWARDDATA!J73,'GRADING PACKING'!L$6=INWARDDATA!I73,AB73=0),"TRUE","FALSE")</f>
        <v>FALSE</v>
      </c>
      <c r="Y73" s="29"/>
      <c r="Z73" s="22"/>
      <c r="AA73" s="30"/>
      <c r="AB73" s="30"/>
      <c r="AC73" s="30"/>
      <c r="AD73" s="30"/>
      <c r="AE73" s="30"/>
      <c r="AF73" s="30"/>
      <c r="AG73" s="30"/>
      <c r="AH73" s="30"/>
      <c r="AI73" s="30"/>
      <c r="AJ73" s="31"/>
      <c r="AK73" s="31"/>
      <c r="AL73" s="31"/>
      <c r="AM73" s="31"/>
      <c r="AN73" s="32" t="str">
        <f>+IF(AND('GRADING PACKING'!L$5=INWARDDATA!J73,'GRADING PACKING'!L$6=INWARDDATA!I73,AR73=0),"good","bad")</f>
        <v>bad</v>
      </c>
      <c r="AO73" s="33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86"/>
      <c r="BC73" s="86"/>
      <c r="BD73" s="97">
        <f>Table_15[[#This Row],[Wgt-Bag]]-Table_15[[#This Row],[Total Graded]]-Table_15[[#This Row],[UNDERSIZE]]+0.0011</f>
        <v>54.841100000000004</v>
      </c>
      <c r="BE73" s="86">
        <f>Table_15[[#This Row],[Total Graded]]-Table_15[[#This Row],[Packing Quantity]]+Table_15[[#This Row],[PACKING LOOSE]]</f>
        <v>0</v>
      </c>
      <c r="BF73" s="34">
        <f>IF(Table_15[[#This Row],[GRADED BAGS]]&gt;0,Table_15[[#This Row],[GRADED BAGS]],Table_15[[#This Row],[Bags]])</f>
        <v>110</v>
      </c>
    </row>
    <row r="74" spans="1:58" ht="15" hidden="1" customHeight="1" x14ac:dyDescent="0.35">
      <c r="A74" s="22">
        <v>71</v>
      </c>
      <c r="B74" s="22">
        <v>1391</v>
      </c>
      <c r="C74" s="23" t="s">
        <v>205</v>
      </c>
      <c r="D74" s="23">
        <v>9785</v>
      </c>
      <c r="E74" s="24">
        <v>46122.622615740744</v>
      </c>
      <c r="F74" s="23">
        <v>4235</v>
      </c>
      <c r="G74" s="100">
        <v>46122.642337962963</v>
      </c>
      <c r="H74" s="101">
        <v>5550</v>
      </c>
      <c r="I74" s="102" t="s">
        <v>199</v>
      </c>
      <c r="J74" s="102" t="s">
        <v>200</v>
      </c>
      <c r="K74" s="233">
        <v>0</v>
      </c>
      <c r="L74" s="22">
        <v>0</v>
      </c>
      <c r="M74" s="25">
        <f t="shared" si="6"/>
        <v>0</v>
      </c>
      <c r="N74" s="25">
        <f t="shared" si="7"/>
        <v>55.5</v>
      </c>
      <c r="O74" s="25">
        <f t="shared" si="8"/>
        <v>0.19</v>
      </c>
      <c r="P74" s="25">
        <f t="shared" si="9"/>
        <v>55.31</v>
      </c>
      <c r="Q74" s="22"/>
      <c r="R74" s="22"/>
      <c r="S74" s="22"/>
      <c r="T74" s="168"/>
      <c r="U74" s="171">
        <f t="shared" si="10"/>
        <v>0</v>
      </c>
      <c r="V74" s="169"/>
      <c r="W74" s="28"/>
      <c r="X74" s="25" t="str">
        <f>+IF(AND('GRADING PACKING'!L$5=INWARDDATA!J74,'GRADING PACKING'!L$6=INWARDDATA!I74,AB74=0),"TRUE","FALSE")</f>
        <v>FALSE</v>
      </c>
      <c r="Y74" s="29">
        <v>46123</v>
      </c>
      <c r="Z74" s="22" t="s">
        <v>200</v>
      </c>
      <c r="AA74" s="30" t="s">
        <v>199</v>
      </c>
      <c r="AB74" s="30">
        <v>284.39999999999998</v>
      </c>
      <c r="AC74" s="30">
        <v>464</v>
      </c>
      <c r="AD74" s="30">
        <v>55</v>
      </c>
      <c r="AE74" s="30">
        <v>255.2</v>
      </c>
      <c r="AF74" s="30">
        <v>0</v>
      </c>
      <c r="AG74" s="30">
        <v>255.2</v>
      </c>
      <c r="AH74" s="30">
        <v>26.79</v>
      </c>
      <c r="AI74" s="30">
        <v>0</v>
      </c>
      <c r="AJ74" s="31">
        <v>9.4198312236286927</v>
      </c>
      <c r="AK74" s="31">
        <v>281.99</v>
      </c>
      <c r="AL74" s="31">
        <v>0</v>
      </c>
      <c r="AM74" s="31">
        <v>-2.4099999999999682</v>
      </c>
      <c r="AN74" s="32" t="str">
        <f>+IF(AND('GRADING PACKING'!L$5=INWARDDATA!J74,'GRADING PACKING'!L$6=INWARDDATA!I74,AR74=0),"good","bad")</f>
        <v>bad</v>
      </c>
      <c r="AO74" s="33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86"/>
      <c r="BC74" s="86"/>
      <c r="BD74" s="97">
        <f>Table_15[[#This Row],[Wgt-Bag]]-Table_15[[#This Row],[Total Graded]]-Table_15[[#This Row],[UNDERSIZE]]+0.0011</f>
        <v>-226.48889999999997</v>
      </c>
      <c r="BE74" s="86">
        <f>Table_15[[#This Row],[Total Graded]]-Table_15[[#This Row],[Packing Quantity]]+Table_15[[#This Row],[PACKING LOOSE]]</f>
        <v>255.2</v>
      </c>
      <c r="BF74" s="34">
        <f>IF(Table_15[[#This Row],[GRADED BAGS]]&gt;0,Table_15[[#This Row],[GRADED BAGS]],Table_15[[#This Row],[Bags]])</f>
        <v>464</v>
      </c>
    </row>
    <row r="75" spans="1:58" ht="15" hidden="1" customHeight="1" x14ac:dyDescent="0.35">
      <c r="A75" s="22">
        <v>72</v>
      </c>
      <c r="B75" s="22">
        <v>1392</v>
      </c>
      <c r="C75" s="23" t="s">
        <v>178</v>
      </c>
      <c r="D75" s="23">
        <v>16775</v>
      </c>
      <c r="E75" s="24">
        <v>46122.643703703703</v>
      </c>
      <c r="F75" s="23">
        <v>4670</v>
      </c>
      <c r="G75" s="100">
        <v>46122.718414351853</v>
      </c>
      <c r="H75" s="101">
        <v>12105</v>
      </c>
      <c r="I75" s="102" t="s">
        <v>199</v>
      </c>
      <c r="J75" s="102" t="s">
        <v>200</v>
      </c>
      <c r="K75" s="233">
        <v>0</v>
      </c>
      <c r="L75" s="22">
        <v>0</v>
      </c>
      <c r="M75" s="25">
        <f t="shared" si="6"/>
        <v>0</v>
      </c>
      <c r="N75" s="25">
        <f t="shared" si="7"/>
        <v>121.05</v>
      </c>
      <c r="O75" s="25">
        <f t="shared" si="8"/>
        <v>0.41000000000000003</v>
      </c>
      <c r="P75" s="25">
        <f t="shared" si="9"/>
        <v>120.64</v>
      </c>
      <c r="Q75" s="22"/>
      <c r="R75" s="22"/>
      <c r="S75" s="22"/>
      <c r="T75" s="168"/>
      <c r="U75" s="171">
        <f t="shared" si="10"/>
        <v>0</v>
      </c>
      <c r="V75" s="169"/>
      <c r="W75" s="28"/>
      <c r="X75" s="25" t="str">
        <f>+IF(AND('GRADING PACKING'!L$5=INWARDDATA!J75,'GRADING PACKING'!L$6=INWARDDATA!I75,AB75=0),"TRUE","FALSE")</f>
        <v>FALSE</v>
      </c>
      <c r="Y75" s="29"/>
      <c r="Z75" s="22"/>
      <c r="AA75" s="30"/>
      <c r="AB75" s="30"/>
      <c r="AC75" s="30"/>
      <c r="AD75" s="30"/>
      <c r="AE75" s="30"/>
      <c r="AF75" s="30"/>
      <c r="AG75" s="30"/>
      <c r="AH75" s="30"/>
      <c r="AI75" s="30"/>
      <c r="AJ75" s="31"/>
      <c r="AK75" s="31"/>
      <c r="AL75" s="31"/>
      <c r="AM75" s="31"/>
      <c r="AN75" s="32" t="str">
        <f>+IF(AND('GRADING PACKING'!L$5=INWARDDATA!J75,'GRADING PACKING'!L$6=INWARDDATA!I75,AR75=0),"good","bad")</f>
        <v>bad</v>
      </c>
      <c r="AO75" s="33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86"/>
      <c r="BC75" s="86"/>
      <c r="BD75" s="97">
        <f>Table_15[[#This Row],[Wgt-Bag]]-Table_15[[#This Row],[Total Graded]]-Table_15[[#This Row],[UNDERSIZE]]+0.0011</f>
        <v>121.05109999999999</v>
      </c>
      <c r="BE75" s="86">
        <f>Table_15[[#This Row],[Total Graded]]-Table_15[[#This Row],[Packing Quantity]]+Table_15[[#This Row],[PACKING LOOSE]]</f>
        <v>0</v>
      </c>
      <c r="BF75" s="34">
        <f>IF(Table_15[[#This Row],[GRADED BAGS]]&gt;0,Table_15[[#This Row],[GRADED BAGS]],Table_15[[#This Row],[Bags]])</f>
        <v>0</v>
      </c>
    </row>
    <row r="76" spans="1:58" ht="15" hidden="1" customHeight="1" x14ac:dyDescent="0.35">
      <c r="A76" s="22">
        <v>73</v>
      </c>
      <c r="B76" s="22">
        <v>1394</v>
      </c>
      <c r="C76" s="23" t="s">
        <v>206</v>
      </c>
      <c r="D76" s="23">
        <v>15520</v>
      </c>
      <c r="E76" s="24">
        <v>46123.500821759262</v>
      </c>
      <c r="F76" s="23">
        <v>5180</v>
      </c>
      <c r="G76" s="100">
        <v>46123.566863425927</v>
      </c>
      <c r="H76" s="101">
        <v>10340</v>
      </c>
      <c r="I76" s="102" t="s">
        <v>199</v>
      </c>
      <c r="J76" s="102" t="s">
        <v>207</v>
      </c>
      <c r="K76" s="233">
        <v>0</v>
      </c>
      <c r="L76" s="22">
        <v>0</v>
      </c>
      <c r="M76" s="25">
        <f t="shared" si="6"/>
        <v>0</v>
      </c>
      <c r="N76" s="25">
        <f t="shared" si="7"/>
        <v>103.4</v>
      </c>
      <c r="O76" s="25">
        <f t="shared" si="8"/>
        <v>0.35000000000000003</v>
      </c>
      <c r="P76" s="25">
        <f t="shared" si="9"/>
        <v>103.05000000000001</v>
      </c>
      <c r="Q76" s="22"/>
      <c r="R76" s="22"/>
      <c r="S76" s="22"/>
      <c r="T76" s="168"/>
      <c r="U76" s="171">
        <f t="shared" si="10"/>
        <v>0</v>
      </c>
      <c r="V76" s="169"/>
      <c r="W76" s="28"/>
      <c r="X76" s="25" t="str">
        <f>+IF(AND('GRADING PACKING'!L$5=INWARDDATA!J76,'GRADING PACKING'!L$6=INWARDDATA!I76,AB76=0),"TRUE","FALSE")</f>
        <v>FALSE</v>
      </c>
      <c r="Y76" s="29"/>
      <c r="Z76" s="22"/>
      <c r="AA76" s="30"/>
      <c r="AB76" s="30"/>
      <c r="AC76" s="30"/>
      <c r="AD76" s="30"/>
      <c r="AE76" s="30"/>
      <c r="AF76" s="30"/>
      <c r="AG76" s="30"/>
      <c r="AH76" s="30"/>
      <c r="AI76" s="30"/>
      <c r="AJ76" s="31"/>
      <c r="AK76" s="31"/>
      <c r="AL76" s="31"/>
      <c r="AM76" s="31"/>
      <c r="AN76" s="32" t="str">
        <f>+IF(AND('GRADING PACKING'!L$5=INWARDDATA!J76,'GRADING PACKING'!L$6=INWARDDATA!I76,AR76=0),"good","bad")</f>
        <v>bad</v>
      </c>
      <c r="AO76" s="33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86"/>
      <c r="BC76" s="86"/>
      <c r="BD76" s="97">
        <f>Table_15[[#This Row],[Wgt-Bag]]-Table_15[[#This Row],[Total Graded]]-Table_15[[#This Row],[UNDERSIZE]]+0.0011</f>
        <v>103.4011</v>
      </c>
      <c r="BE76" s="86">
        <f>Table_15[[#This Row],[Total Graded]]-Table_15[[#This Row],[Packing Quantity]]+Table_15[[#This Row],[PACKING LOOSE]]</f>
        <v>0</v>
      </c>
      <c r="BF76" s="34">
        <f>IF(Table_15[[#This Row],[GRADED BAGS]]&gt;0,Table_15[[#This Row],[GRADED BAGS]],Table_15[[#This Row],[Bags]])</f>
        <v>0</v>
      </c>
    </row>
    <row r="77" spans="1:58" ht="15" hidden="1" customHeight="1" x14ac:dyDescent="0.35">
      <c r="A77" s="22">
        <v>74</v>
      </c>
      <c r="B77" s="22">
        <v>1395</v>
      </c>
      <c r="C77" s="23" t="s">
        <v>208</v>
      </c>
      <c r="D77" s="23">
        <v>9045</v>
      </c>
      <c r="E77" s="24">
        <v>46123.568923611114</v>
      </c>
      <c r="F77" s="23">
        <v>3925</v>
      </c>
      <c r="G77" s="100">
        <v>46123.629641203705</v>
      </c>
      <c r="H77" s="101">
        <v>5120</v>
      </c>
      <c r="I77" s="102" t="s">
        <v>199</v>
      </c>
      <c r="J77" s="102" t="s">
        <v>207</v>
      </c>
      <c r="K77" s="233">
        <v>0</v>
      </c>
      <c r="L77" s="22">
        <v>0</v>
      </c>
      <c r="M77" s="25">
        <f t="shared" si="6"/>
        <v>0</v>
      </c>
      <c r="N77" s="25">
        <f t="shared" si="7"/>
        <v>51.2</v>
      </c>
      <c r="O77" s="25">
        <f t="shared" si="8"/>
        <v>0.18000000000000002</v>
      </c>
      <c r="P77" s="25">
        <f t="shared" si="9"/>
        <v>51.02</v>
      </c>
      <c r="Q77" s="22"/>
      <c r="R77" s="22"/>
      <c r="S77" s="22"/>
      <c r="T77" s="168"/>
      <c r="U77" s="171">
        <f t="shared" si="10"/>
        <v>0</v>
      </c>
      <c r="V77" s="169"/>
      <c r="W77" s="28"/>
      <c r="X77" s="25" t="str">
        <f>+IF(AND('GRADING PACKING'!L$5=INWARDDATA!J77,'GRADING PACKING'!L$6=INWARDDATA!I77,AB77=0),"TRUE","FALSE")</f>
        <v>FALSE</v>
      </c>
      <c r="Y77" s="29">
        <v>46125</v>
      </c>
      <c r="Z77" s="22" t="s">
        <v>207</v>
      </c>
      <c r="AA77" s="30" t="s">
        <v>199</v>
      </c>
      <c r="AB77" s="30">
        <v>261.60000000000002</v>
      </c>
      <c r="AC77" s="30">
        <v>423</v>
      </c>
      <c r="AD77" s="30">
        <v>55</v>
      </c>
      <c r="AE77" s="30">
        <v>232.65</v>
      </c>
      <c r="AF77" s="30">
        <v>0.13</v>
      </c>
      <c r="AG77" s="30">
        <v>232.78</v>
      </c>
      <c r="AH77" s="30">
        <v>28.16</v>
      </c>
      <c r="AI77" s="30">
        <v>51</v>
      </c>
      <c r="AJ77" s="31">
        <v>10.764525993883792</v>
      </c>
      <c r="AK77" s="31">
        <v>260.94</v>
      </c>
      <c r="AL77" s="31">
        <v>0</v>
      </c>
      <c r="AM77" s="31">
        <v>-0.66000000000002501</v>
      </c>
      <c r="AN77" s="32" t="str">
        <f>+IF(AND('GRADING PACKING'!L$5=INWARDDATA!J77,'GRADING PACKING'!L$6=INWARDDATA!I77,AR77=0),"good","bad")</f>
        <v>bad</v>
      </c>
      <c r="AO77" s="33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86"/>
      <c r="BC77" s="86"/>
      <c r="BD77" s="97">
        <f>Table_15[[#This Row],[Wgt-Bag]]-Table_15[[#This Row],[Total Graded]]-Table_15[[#This Row],[UNDERSIZE]]+0.0011</f>
        <v>-209.73889999999997</v>
      </c>
      <c r="BE77" s="86">
        <f>Table_15[[#This Row],[Total Graded]]-Table_15[[#This Row],[Packing Quantity]]+Table_15[[#This Row],[PACKING LOOSE]]</f>
        <v>232.78</v>
      </c>
      <c r="BF77" s="34">
        <f>IF(Table_15[[#This Row],[GRADED BAGS]]&gt;0,Table_15[[#This Row],[GRADED BAGS]],Table_15[[#This Row],[Bags]])</f>
        <v>423</v>
      </c>
    </row>
    <row r="78" spans="1:58" ht="14.25" hidden="1" customHeight="1" x14ac:dyDescent="0.35">
      <c r="A78" s="22">
        <v>75</v>
      </c>
      <c r="B78" s="22">
        <v>1397</v>
      </c>
      <c r="C78" s="23" t="s">
        <v>209</v>
      </c>
      <c r="D78" s="23">
        <v>14765</v>
      </c>
      <c r="E78" s="24">
        <v>46123.631388888891</v>
      </c>
      <c r="F78" s="23">
        <v>4065</v>
      </c>
      <c r="G78" s="100">
        <v>46123.695173611108</v>
      </c>
      <c r="H78" s="101">
        <v>10700</v>
      </c>
      <c r="I78" s="102" t="s">
        <v>199</v>
      </c>
      <c r="J78" s="102" t="s">
        <v>207</v>
      </c>
      <c r="K78" s="233">
        <v>0</v>
      </c>
      <c r="L78" s="22">
        <v>0</v>
      </c>
      <c r="M78" s="25">
        <f t="shared" si="6"/>
        <v>0</v>
      </c>
      <c r="N78" s="25">
        <f t="shared" si="7"/>
        <v>107</v>
      </c>
      <c r="O78" s="25">
        <f t="shared" si="8"/>
        <v>0.36</v>
      </c>
      <c r="P78" s="25">
        <f t="shared" si="9"/>
        <v>106.64</v>
      </c>
      <c r="Q78" s="22"/>
      <c r="R78" s="22"/>
      <c r="S78" s="22"/>
      <c r="T78" s="168"/>
      <c r="U78" s="171">
        <f t="shared" si="10"/>
        <v>0</v>
      </c>
      <c r="V78" s="169"/>
      <c r="W78" s="28"/>
      <c r="X78" s="25" t="str">
        <f>+IF(AND('GRADING PACKING'!L$5=INWARDDATA!J78,'GRADING PACKING'!L$6=INWARDDATA!I78,AB78=0),"TRUE","FALSE")</f>
        <v>FALSE</v>
      </c>
      <c r="Y78" s="29"/>
      <c r="Z78" s="22"/>
      <c r="AA78" s="30"/>
      <c r="AB78" s="30"/>
      <c r="AC78" s="30"/>
      <c r="AD78" s="30"/>
      <c r="AE78" s="30"/>
      <c r="AF78" s="30"/>
      <c r="AG78" s="30"/>
      <c r="AH78" s="30"/>
      <c r="AI78" s="30"/>
      <c r="AJ78" s="31"/>
      <c r="AK78" s="31"/>
      <c r="AL78" s="31"/>
      <c r="AM78" s="31"/>
      <c r="AN78" s="32" t="str">
        <f>+IF(AND('GRADING PACKING'!L$5=INWARDDATA!J78,'GRADING PACKING'!L$6=INWARDDATA!I78,AR78=0),"good","bad")</f>
        <v>bad</v>
      </c>
      <c r="AO78" s="33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86"/>
      <c r="BC78" s="86"/>
      <c r="BD78" s="97">
        <f>Table_15[[#This Row],[Wgt-Bag]]-Table_15[[#This Row],[Total Graded]]-Table_15[[#This Row],[UNDERSIZE]]+0.0011</f>
        <v>107.00109999999999</v>
      </c>
      <c r="BE78" s="86">
        <f>Table_15[[#This Row],[Total Graded]]-Table_15[[#This Row],[Packing Quantity]]+Table_15[[#This Row],[PACKING LOOSE]]</f>
        <v>0</v>
      </c>
      <c r="BF78" s="34">
        <f>IF(Table_15[[#This Row],[GRADED BAGS]]&gt;0,Table_15[[#This Row],[GRADED BAGS]],Table_15[[#This Row],[Bags]])</f>
        <v>0</v>
      </c>
    </row>
    <row r="79" spans="1:58" ht="14.25" hidden="1" customHeight="1" x14ac:dyDescent="0.35">
      <c r="A79" s="22">
        <v>76</v>
      </c>
      <c r="B79" s="22">
        <v>1398</v>
      </c>
      <c r="C79" s="23" t="s">
        <v>210</v>
      </c>
      <c r="D79" s="23">
        <v>15730</v>
      </c>
      <c r="E79" s="24">
        <v>46125.465057870373</v>
      </c>
      <c r="F79" s="23">
        <v>5120</v>
      </c>
      <c r="G79" s="100">
        <v>46125.500752314816</v>
      </c>
      <c r="H79" s="101">
        <v>10610</v>
      </c>
      <c r="I79" s="102" t="s">
        <v>199</v>
      </c>
      <c r="J79" s="102" t="s">
        <v>211</v>
      </c>
      <c r="K79" s="233">
        <v>0</v>
      </c>
      <c r="L79" s="22">
        <v>0</v>
      </c>
      <c r="M79" s="25">
        <f t="shared" si="6"/>
        <v>0</v>
      </c>
      <c r="N79" s="25">
        <f t="shared" si="7"/>
        <v>106.1</v>
      </c>
      <c r="O79" s="25">
        <f t="shared" si="8"/>
        <v>0.36</v>
      </c>
      <c r="P79" s="25">
        <f t="shared" si="9"/>
        <v>105.74</v>
      </c>
      <c r="Q79" s="22"/>
      <c r="R79" s="22"/>
      <c r="S79" s="22"/>
      <c r="T79" s="168"/>
      <c r="U79" s="171">
        <f t="shared" si="10"/>
        <v>0</v>
      </c>
      <c r="V79" s="169"/>
      <c r="W79" s="28"/>
      <c r="X79" s="25" t="str">
        <f>+IF(AND('GRADING PACKING'!L$5=INWARDDATA!J79,'GRADING PACKING'!L$6=INWARDDATA!I79,AB79=0),"TRUE","FALSE")</f>
        <v>FALSE</v>
      </c>
      <c r="Y79" s="29">
        <v>46126</v>
      </c>
      <c r="Z79" s="22" t="s">
        <v>211</v>
      </c>
      <c r="AA79" s="30" t="s">
        <v>199</v>
      </c>
      <c r="AB79" s="30">
        <v>385.05</v>
      </c>
      <c r="AC79" s="30">
        <v>654</v>
      </c>
      <c r="AD79" s="30">
        <v>55</v>
      </c>
      <c r="AE79" s="30">
        <v>359.7</v>
      </c>
      <c r="AF79" s="30">
        <v>0.18</v>
      </c>
      <c r="AG79" s="30">
        <v>359.88</v>
      </c>
      <c r="AH79" s="30">
        <v>25.12</v>
      </c>
      <c r="AI79" s="30">
        <v>51</v>
      </c>
      <c r="AJ79" s="31">
        <v>6.5238280742760679</v>
      </c>
      <c r="AK79" s="31">
        <v>385</v>
      </c>
      <c r="AL79" s="31">
        <v>0</v>
      </c>
      <c r="AM79" s="31">
        <v>-5.0000000000011369E-2</v>
      </c>
      <c r="AN79" s="32" t="str">
        <f>+IF(AND('GRADING PACKING'!L$5=INWARDDATA!J79,'GRADING PACKING'!L$6=INWARDDATA!I79,AR79=0),"good","bad")</f>
        <v>bad</v>
      </c>
      <c r="AO79" s="33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86"/>
      <c r="BC79" s="86"/>
      <c r="BD79" s="97">
        <f>Table_15[[#This Row],[Wgt-Bag]]-Table_15[[#This Row],[Total Graded]]-Table_15[[#This Row],[UNDERSIZE]]+0.0011</f>
        <v>-278.89889999999997</v>
      </c>
      <c r="BE79" s="86">
        <f>Table_15[[#This Row],[Total Graded]]-Table_15[[#This Row],[Packing Quantity]]+Table_15[[#This Row],[PACKING LOOSE]]</f>
        <v>359.88</v>
      </c>
      <c r="BF79" s="34">
        <f>IF(Table_15[[#This Row],[GRADED BAGS]]&gt;0,Table_15[[#This Row],[GRADED BAGS]],Table_15[[#This Row],[Bags]])</f>
        <v>654</v>
      </c>
    </row>
    <row r="80" spans="1:58" ht="14.25" hidden="1" customHeight="1" x14ac:dyDescent="0.35">
      <c r="A80" s="22">
        <v>77</v>
      </c>
      <c r="B80" s="22">
        <v>1399</v>
      </c>
      <c r="C80" s="23" t="s">
        <v>212</v>
      </c>
      <c r="D80" s="23">
        <v>17210</v>
      </c>
      <c r="E80" s="24">
        <v>46125.46597222222</v>
      </c>
      <c r="F80" s="23">
        <v>4990</v>
      </c>
      <c r="G80" s="100">
        <v>46125.608854166669</v>
      </c>
      <c r="H80" s="101">
        <v>12220</v>
      </c>
      <c r="I80" s="102" t="s">
        <v>199</v>
      </c>
      <c r="J80" s="102" t="s">
        <v>211</v>
      </c>
      <c r="K80" s="233">
        <v>0</v>
      </c>
      <c r="L80" s="22">
        <v>0</v>
      </c>
      <c r="M80" s="25">
        <f t="shared" si="6"/>
        <v>0</v>
      </c>
      <c r="N80" s="25">
        <f t="shared" si="7"/>
        <v>122.2</v>
      </c>
      <c r="O80" s="25">
        <f t="shared" si="8"/>
        <v>0.41000000000000003</v>
      </c>
      <c r="P80" s="25">
        <f t="shared" si="9"/>
        <v>121.79</v>
      </c>
      <c r="Q80" s="22"/>
      <c r="R80" s="22"/>
      <c r="S80" s="22"/>
      <c r="T80" s="168"/>
      <c r="U80" s="171">
        <f t="shared" si="10"/>
        <v>0</v>
      </c>
      <c r="V80" s="169"/>
      <c r="W80" s="28"/>
      <c r="X80" s="25" t="str">
        <f>+IF(AND('GRADING PACKING'!L$5=INWARDDATA!J80,'GRADING PACKING'!L$6=INWARDDATA!I80,AB80=0),"TRUE","FALSE")</f>
        <v>FALSE</v>
      </c>
      <c r="Y80" s="29"/>
      <c r="Z80" s="22"/>
      <c r="AA80" s="30"/>
      <c r="AB80" s="30"/>
      <c r="AC80" s="30"/>
      <c r="AD80" s="30"/>
      <c r="AE80" s="30"/>
      <c r="AF80" s="30"/>
      <c r="AG80" s="30"/>
      <c r="AH80" s="30"/>
      <c r="AI80" s="30"/>
      <c r="AJ80" s="31"/>
      <c r="AK80" s="31"/>
      <c r="AL80" s="31"/>
      <c r="AM80" s="31"/>
      <c r="AN80" s="32" t="str">
        <f>+IF(AND('GRADING PACKING'!L$5=INWARDDATA!J80,'GRADING PACKING'!L$6=INWARDDATA!I80,AR80=0),"good","bad")</f>
        <v>bad</v>
      </c>
      <c r="AO80" s="33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86"/>
      <c r="BC80" s="86"/>
      <c r="BD80" s="97">
        <f>Table_15[[#This Row],[Wgt-Bag]]-Table_15[[#This Row],[Total Graded]]-Table_15[[#This Row],[UNDERSIZE]]+0.0011</f>
        <v>122.2011</v>
      </c>
      <c r="BE80" s="86">
        <f>Table_15[[#This Row],[Total Graded]]-Table_15[[#This Row],[Packing Quantity]]+Table_15[[#This Row],[PACKING LOOSE]]</f>
        <v>0</v>
      </c>
      <c r="BF80" s="34">
        <f>IF(Table_15[[#This Row],[GRADED BAGS]]&gt;0,Table_15[[#This Row],[GRADED BAGS]],Table_15[[#This Row],[Bags]])</f>
        <v>0</v>
      </c>
    </row>
    <row r="81" spans="1:58" ht="15" hidden="1" customHeight="1" x14ac:dyDescent="0.35">
      <c r="A81" s="22">
        <v>78</v>
      </c>
      <c r="B81" s="22">
        <v>1400</v>
      </c>
      <c r="C81" s="23" t="s">
        <v>178</v>
      </c>
      <c r="D81" s="23">
        <v>17440</v>
      </c>
      <c r="E81" s="24">
        <v>46125.607719907406</v>
      </c>
      <c r="F81" s="23">
        <v>4660</v>
      </c>
      <c r="G81" s="100">
        <v>46125.688460648147</v>
      </c>
      <c r="H81" s="101">
        <v>12780</v>
      </c>
      <c r="I81" s="102" t="s">
        <v>215</v>
      </c>
      <c r="J81" s="102" t="s">
        <v>179</v>
      </c>
      <c r="K81" s="233">
        <v>220</v>
      </c>
      <c r="L81" s="22">
        <v>0.6</v>
      </c>
      <c r="M81" s="25">
        <f t="shared" si="6"/>
        <v>132</v>
      </c>
      <c r="N81" s="25">
        <f t="shared" si="7"/>
        <v>126.48</v>
      </c>
      <c r="O81" s="25">
        <f t="shared" si="8"/>
        <v>0.43</v>
      </c>
      <c r="P81" s="25">
        <f t="shared" si="9"/>
        <v>126.05</v>
      </c>
      <c r="Q81" s="22"/>
      <c r="R81" s="22"/>
      <c r="S81" s="22"/>
      <c r="T81" s="168"/>
      <c r="U81" s="171">
        <f t="shared" si="10"/>
        <v>0</v>
      </c>
      <c r="V81" s="169"/>
      <c r="W81" s="28"/>
      <c r="X81" s="25" t="str">
        <f>+IF(AND('GRADING PACKING'!L$5=INWARDDATA!J81,'GRADING PACKING'!L$6=INWARDDATA!I81,AB81=0),"TRUE","FALSE")</f>
        <v>FALSE</v>
      </c>
      <c r="Y81" s="29"/>
      <c r="Z81" s="22"/>
      <c r="AA81" s="30"/>
      <c r="AB81" s="30"/>
      <c r="AC81" s="30"/>
      <c r="AD81" s="30"/>
      <c r="AE81" s="30"/>
      <c r="AF81" s="30"/>
      <c r="AG81" s="30"/>
      <c r="AH81" s="30"/>
      <c r="AI81" s="30"/>
      <c r="AJ81" s="31"/>
      <c r="AK81" s="31"/>
      <c r="AL81" s="31"/>
      <c r="AM81" s="31"/>
      <c r="AN81" s="32" t="str">
        <f>+IF(AND('GRADING PACKING'!L$5=INWARDDATA!J81,'GRADING PACKING'!L$6=INWARDDATA!I81,AR81=0),"good","bad")</f>
        <v>bad</v>
      </c>
      <c r="AO81" s="33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86"/>
      <c r="BC81" s="86"/>
      <c r="BD81" s="97">
        <f>Table_15[[#This Row],[Wgt-Bag]]-Table_15[[#This Row],[Total Graded]]-Table_15[[#This Row],[UNDERSIZE]]+0.0011</f>
        <v>126.4811</v>
      </c>
      <c r="BE81" s="86">
        <f>Table_15[[#This Row],[Total Graded]]-Table_15[[#This Row],[Packing Quantity]]+Table_15[[#This Row],[PACKING LOOSE]]</f>
        <v>0</v>
      </c>
      <c r="BF81" s="34">
        <f>IF(Table_15[[#This Row],[GRADED BAGS]]&gt;0,Table_15[[#This Row],[GRADED BAGS]],Table_15[[#This Row],[Bags]])</f>
        <v>220</v>
      </c>
    </row>
    <row r="82" spans="1:58" ht="14.25" hidden="1" customHeight="1" x14ac:dyDescent="0.35">
      <c r="A82" s="22">
        <v>79</v>
      </c>
      <c r="B82" s="22">
        <v>1401</v>
      </c>
      <c r="C82" s="23" t="s">
        <v>214</v>
      </c>
      <c r="D82" s="23">
        <v>22260</v>
      </c>
      <c r="E82" s="24">
        <v>46125.611122685186</v>
      </c>
      <c r="F82" s="23">
        <v>6585</v>
      </c>
      <c r="G82" s="100">
        <v>46125.707696759258</v>
      </c>
      <c r="H82" s="101">
        <v>15675</v>
      </c>
      <c r="I82" s="102" t="s">
        <v>199</v>
      </c>
      <c r="J82" s="102" t="s">
        <v>211</v>
      </c>
      <c r="K82" s="233">
        <v>0</v>
      </c>
      <c r="L82" s="22">
        <v>0</v>
      </c>
      <c r="M82" s="25">
        <f t="shared" si="6"/>
        <v>0</v>
      </c>
      <c r="N82" s="25">
        <f t="shared" si="7"/>
        <v>156.75</v>
      </c>
      <c r="O82" s="25">
        <f t="shared" si="8"/>
        <v>0.53</v>
      </c>
      <c r="P82" s="25">
        <f t="shared" si="9"/>
        <v>156.22</v>
      </c>
      <c r="Q82" s="22"/>
      <c r="R82" s="22"/>
      <c r="S82" s="22"/>
      <c r="T82" s="168"/>
      <c r="U82" s="171">
        <f t="shared" si="10"/>
        <v>0</v>
      </c>
      <c r="V82" s="169"/>
      <c r="W82" s="28"/>
      <c r="X82" s="25" t="str">
        <f>+IF(AND('GRADING PACKING'!L$5=INWARDDATA!J82,'GRADING PACKING'!L$6=INWARDDATA!I82,AB82=0),"TRUE","FALSE")</f>
        <v>FALSE</v>
      </c>
      <c r="Y82" s="29"/>
      <c r="Z82" s="22"/>
      <c r="AA82" s="30"/>
      <c r="AB82" s="30"/>
      <c r="AC82" s="30"/>
      <c r="AD82" s="30"/>
      <c r="AE82" s="30"/>
      <c r="AF82" s="30"/>
      <c r="AG82" s="30"/>
      <c r="AH82" s="30"/>
      <c r="AI82" s="30"/>
      <c r="AJ82" s="31"/>
      <c r="AK82" s="31"/>
      <c r="AL82" s="31"/>
      <c r="AM82" s="31"/>
      <c r="AN82" s="32" t="str">
        <f>+IF(AND('GRADING PACKING'!L$5=INWARDDATA!J82,'GRADING PACKING'!L$6=INWARDDATA!I82,AR82=0),"good","bad")</f>
        <v>bad</v>
      </c>
      <c r="AO82" s="33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86"/>
      <c r="BC82" s="86"/>
      <c r="BD82" s="97">
        <f>Table_15[[#This Row],[Wgt-Bag]]-Table_15[[#This Row],[Total Graded]]-Table_15[[#This Row],[UNDERSIZE]]+0.0011</f>
        <v>156.75110000000001</v>
      </c>
      <c r="BE82" s="86">
        <f>Table_15[[#This Row],[Total Graded]]-Table_15[[#This Row],[Packing Quantity]]+Table_15[[#This Row],[PACKING LOOSE]]</f>
        <v>0</v>
      </c>
      <c r="BF82" s="34">
        <f>IF(Table_15[[#This Row],[GRADED BAGS]]&gt;0,Table_15[[#This Row],[GRADED BAGS]],Table_15[[#This Row],[Bags]])</f>
        <v>0</v>
      </c>
    </row>
    <row r="83" spans="1:58" ht="14.25" hidden="1" customHeight="1" x14ac:dyDescent="0.35">
      <c r="A83" s="22">
        <v>80</v>
      </c>
      <c r="B83" s="22">
        <v>1402</v>
      </c>
      <c r="C83" s="23" t="s">
        <v>181</v>
      </c>
      <c r="D83" s="23">
        <v>16970</v>
      </c>
      <c r="E83" s="24">
        <v>46125.719513888886</v>
      </c>
      <c r="F83" s="23">
        <v>4375</v>
      </c>
      <c r="G83" s="100">
        <v>46125.781157407408</v>
      </c>
      <c r="H83" s="101">
        <v>12595</v>
      </c>
      <c r="I83" s="102" t="s">
        <v>215</v>
      </c>
      <c r="J83" s="102" t="s">
        <v>179</v>
      </c>
      <c r="K83" s="233">
        <v>220</v>
      </c>
      <c r="L83" s="22">
        <v>0.6</v>
      </c>
      <c r="M83" s="25">
        <f t="shared" si="6"/>
        <v>132</v>
      </c>
      <c r="N83" s="25">
        <f t="shared" si="7"/>
        <v>124.63</v>
      </c>
      <c r="O83" s="25">
        <f t="shared" si="8"/>
        <v>0.42</v>
      </c>
      <c r="P83" s="25">
        <f t="shared" si="9"/>
        <v>124.21</v>
      </c>
      <c r="Q83" s="22"/>
      <c r="R83" s="22"/>
      <c r="S83" s="22"/>
      <c r="T83" s="168"/>
      <c r="U83" s="171">
        <f t="shared" si="10"/>
        <v>0</v>
      </c>
      <c r="V83" s="169"/>
      <c r="W83" s="28"/>
      <c r="X83" s="25" t="str">
        <f>+IF(AND('GRADING PACKING'!L$5=INWARDDATA!J83,'GRADING PACKING'!L$6=INWARDDATA!I83,AB83=0),"TRUE","FALSE")</f>
        <v>FALSE</v>
      </c>
      <c r="Y83" s="29"/>
      <c r="Z83" s="22"/>
      <c r="AA83" s="30"/>
      <c r="AB83" s="30"/>
      <c r="AC83" s="30"/>
      <c r="AD83" s="30"/>
      <c r="AE83" s="30"/>
      <c r="AF83" s="30"/>
      <c r="AG83" s="30"/>
      <c r="AH83" s="30"/>
      <c r="AI83" s="30"/>
      <c r="AJ83" s="31"/>
      <c r="AK83" s="31"/>
      <c r="AL83" s="31"/>
      <c r="AM83" s="31"/>
      <c r="AN83" s="32" t="str">
        <f>+IF(AND('GRADING PACKING'!L$5=INWARDDATA!J83,'GRADING PACKING'!L$6=INWARDDATA!I83,AR83=0),"good","bad")</f>
        <v>bad</v>
      </c>
      <c r="AO83" s="33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86"/>
      <c r="BC83" s="86"/>
      <c r="BD83" s="97">
        <f>Table_15[[#This Row],[Wgt-Bag]]-Table_15[[#This Row],[Total Graded]]-Table_15[[#This Row],[UNDERSIZE]]+0.0011</f>
        <v>124.63109999999999</v>
      </c>
      <c r="BE83" s="86">
        <f>Table_15[[#This Row],[Total Graded]]-Table_15[[#This Row],[Packing Quantity]]+Table_15[[#This Row],[PACKING LOOSE]]</f>
        <v>0</v>
      </c>
      <c r="BF83" s="34">
        <f>IF(Table_15[[#This Row],[GRADED BAGS]]&gt;0,Table_15[[#This Row],[GRADED BAGS]],Table_15[[#This Row],[Bags]])</f>
        <v>220</v>
      </c>
    </row>
    <row r="84" spans="1:58" ht="14.25" hidden="1" customHeight="1" x14ac:dyDescent="0.35">
      <c r="A84" s="22">
        <v>81</v>
      </c>
      <c r="B84" s="22">
        <v>1403</v>
      </c>
      <c r="C84" s="23" t="s">
        <v>216</v>
      </c>
      <c r="D84" s="23">
        <v>8755</v>
      </c>
      <c r="E84" s="24">
        <v>46125.764837962961</v>
      </c>
      <c r="F84" s="23">
        <v>4215</v>
      </c>
      <c r="G84" s="100">
        <v>46125.787743055553</v>
      </c>
      <c r="H84" s="101">
        <v>4540</v>
      </c>
      <c r="I84" s="102" t="s">
        <v>199</v>
      </c>
      <c r="J84" s="102" t="s">
        <v>217</v>
      </c>
      <c r="K84" s="233">
        <v>0</v>
      </c>
      <c r="L84" s="22">
        <v>0</v>
      </c>
      <c r="M84" s="25">
        <f t="shared" si="6"/>
        <v>0</v>
      </c>
      <c r="N84" s="25">
        <f t="shared" si="7"/>
        <v>45.4</v>
      </c>
      <c r="O84" s="25">
        <f t="shared" si="8"/>
        <v>0.16</v>
      </c>
      <c r="P84" s="25">
        <f t="shared" si="9"/>
        <v>45.24</v>
      </c>
      <c r="Q84" s="22"/>
      <c r="R84" s="22"/>
      <c r="S84" s="22"/>
      <c r="T84" s="168"/>
      <c r="U84" s="171">
        <f t="shared" si="10"/>
        <v>0</v>
      </c>
      <c r="V84" s="169"/>
      <c r="W84" s="28"/>
      <c r="X84" s="25" t="str">
        <f>+IF(AND('GRADING PACKING'!L$5=INWARDDATA!J84,'GRADING PACKING'!L$6=INWARDDATA!I84,AB84=0),"TRUE","FALSE")</f>
        <v>FALSE</v>
      </c>
      <c r="Y84" s="29">
        <v>46126</v>
      </c>
      <c r="Z84" s="22" t="s">
        <v>217</v>
      </c>
      <c r="AA84" s="30" t="s">
        <v>199</v>
      </c>
      <c r="AB84" s="30">
        <v>180.55</v>
      </c>
      <c r="AC84" s="30">
        <v>297</v>
      </c>
      <c r="AD84" s="30">
        <v>55</v>
      </c>
      <c r="AE84" s="30">
        <v>163.35</v>
      </c>
      <c r="AF84" s="30">
        <v>0</v>
      </c>
      <c r="AG84" s="30">
        <v>163.35</v>
      </c>
      <c r="AH84" s="30">
        <v>16.32</v>
      </c>
      <c r="AI84" s="30">
        <v>32</v>
      </c>
      <c r="AJ84" s="31">
        <v>9.0390473553032393</v>
      </c>
      <c r="AK84" s="31">
        <v>179.67</v>
      </c>
      <c r="AL84" s="31" t="s">
        <v>180</v>
      </c>
      <c r="AM84" s="31">
        <v>-0.88000000000002387</v>
      </c>
      <c r="AN84" s="32" t="str">
        <f>+IF(AND('GRADING PACKING'!L$5=INWARDDATA!J84,'GRADING PACKING'!L$6=INWARDDATA!I84,AR84=0),"good","bad")</f>
        <v>bad</v>
      </c>
      <c r="AO84" s="33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86"/>
      <c r="BC84" s="86"/>
      <c r="BD84" s="97">
        <f>Table_15[[#This Row],[Wgt-Bag]]-Table_15[[#This Row],[Total Graded]]-Table_15[[#This Row],[UNDERSIZE]]+0.0011</f>
        <v>-134.26889999999997</v>
      </c>
      <c r="BE84" s="86">
        <f>Table_15[[#This Row],[Total Graded]]-Table_15[[#This Row],[Packing Quantity]]+Table_15[[#This Row],[PACKING LOOSE]]</f>
        <v>163.35</v>
      </c>
      <c r="BF84" s="34">
        <f>IF(Table_15[[#This Row],[GRADED BAGS]]&gt;0,Table_15[[#This Row],[GRADED BAGS]],Table_15[[#This Row],[Bags]])</f>
        <v>297</v>
      </c>
    </row>
    <row r="85" spans="1:58" ht="14.25" hidden="1" customHeight="1" x14ac:dyDescent="0.35">
      <c r="A85" s="22">
        <v>82</v>
      </c>
      <c r="B85" s="22">
        <v>1404</v>
      </c>
      <c r="C85" s="23" t="s">
        <v>218</v>
      </c>
      <c r="D85" s="23">
        <v>8180</v>
      </c>
      <c r="E85" s="24">
        <v>46125.7893287037</v>
      </c>
      <c r="F85" s="23">
        <v>4030</v>
      </c>
      <c r="G85" s="100">
        <v>46125.804780092592</v>
      </c>
      <c r="H85" s="101">
        <v>4150</v>
      </c>
      <c r="I85" s="102" t="s">
        <v>199</v>
      </c>
      <c r="J85" s="102" t="s">
        <v>217</v>
      </c>
      <c r="K85" s="233">
        <v>0</v>
      </c>
      <c r="L85" s="22">
        <v>0</v>
      </c>
      <c r="M85" s="25">
        <f t="shared" si="6"/>
        <v>0</v>
      </c>
      <c r="N85" s="25">
        <f t="shared" si="7"/>
        <v>41.5</v>
      </c>
      <c r="O85" s="25">
        <f t="shared" si="8"/>
        <v>0.14000000000000001</v>
      </c>
      <c r="P85" s="25">
        <f t="shared" si="9"/>
        <v>41.36</v>
      </c>
      <c r="Q85" s="22"/>
      <c r="R85" s="22"/>
      <c r="S85" s="22"/>
      <c r="T85" s="168"/>
      <c r="U85" s="171">
        <f t="shared" si="10"/>
        <v>0</v>
      </c>
      <c r="V85" s="169"/>
      <c r="W85" s="28"/>
      <c r="X85" s="25" t="str">
        <f>+IF(AND('GRADING PACKING'!L$5=INWARDDATA!J85,'GRADING PACKING'!L$6=INWARDDATA!I85,AB85=0),"TRUE","FALSE")</f>
        <v>FALSE</v>
      </c>
      <c r="Y85" s="29"/>
      <c r="Z85" s="22"/>
      <c r="AA85" s="30"/>
      <c r="AB85" s="30"/>
      <c r="AC85" s="30"/>
      <c r="AD85" s="30"/>
      <c r="AE85" s="30"/>
      <c r="AF85" s="30"/>
      <c r="AG85" s="30"/>
      <c r="AH85" s="30"/>
      <c r="AI85" s="30"/>
      <c r="AJ85" s="31"/>
      <c r="AK85" s="31"/>
      <c r="AL85" s="31"/>
      <c r="AM85" s="31"/>
      <c r="AN85" s="32" t="str">
        <f>+IF(AND('GRADING PACKING'!L$5=INWARDDATA!J85,'GRADING PACKING'!L$6=INWARDDATA!I85,AR85=0),"good","bad")</f>
        <v>bad</v>
      </c>
      <c r="AO85" s="33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86"/>
      <c r="BC85" s="86"/>
      <c r="BD85" s="97">
        <f>Table_15[[#This Row],[Wgt-Bag]]-Table_15[[#This Row],[Total Graded]]-Table_15[[#This Row],[UNDERSIZE]]+0.0011</f>
        <v>41.501100000000001</v>
      </c>
      <c r="BE85" s="86">
        <f>Table_15[[#This Row],[Total Graded]]-Table_15[[#This Row],[Packing Quantity]]+Table_15[[#This Row],[PACKING LOOSE]]</f>
        <v>0</v>
      </c>
      <c r="BF85" s="34">
        <f>IF(Table_15[[#This Row],[GRADED BAGS]]&gt;0,Table_15[[#This Row],[GRADED BAGS]],Table_15[[#This Row],[Bags]])</f>
        <v>0</v>
      </c>
    </row>
    <row r="86" spans="1:58" ht="14.25" hidden="1" customHeight="1" x14ac:dyDescent="0.35">
      <c r="A86" s="22">
        <v>84</v>
      </c>
      <c r="B86" s="22">
        <v>1405</v>
      </c>
      <c r="C86" s="23" t="s">
        <v>212</v>
      </c>
      <c r="D86" s="23">
        <v>14330</v>
      </c>
      <c r="E86" s="24">
        <v>46126.452314814815</v>
      </c>
      <c r="F86" s="23">
        <v>4965</v>
      </c>
      <c r="G86" s="100">
        <v>46126.512928240743</v>
      </c>
      <c r="H86" s="101">
        <v>9365</v>
      </c>
      <c r="I86" s="102" t="s">
        <v>199</v>
      </c>
      <c r="J86" s="102" t="s">
        <v>217</v>
      </c>
      <c r="K86" s="233">
        <v>0</v>
      </c>
      <c r="L86" s="22">
        <v>0</v>
      </c>
      <c r="M86" s="25">
        <f t="shared" si="6"/>
        <v>0</v>
      </c>
      <c r="N86" s="25">
        <f t="shared" si="7"/>
        <v>93.65</v>
      </c>
      <c r="O86" s="25">
        <f t="shared" si="8"/>
        <v>0.32</v>
      </c>
      <c r="P86" s="25">
        <f t="shared" si="9"/>
        <v>93.330000000000013</v>
      </c>
      <c r="Q86" s="22"/>
      <c r="R86" s="22"/>
      <c r="S86" s="22"/>
      <c r="T86" s="168"/>
      <c r="U86" s="171">
        <f t="shared" si="10"/>
        <v>0</v>
      </c>
      <c r="V86" s="169"/>
      <c r="W86" s="28"/>
      <c r="X86" s="25" t="str">
        <f>+IF(AND('GRADING PACKING'!L$5=INWARDDATA!J86,'GRADING PACKING'!L$6=INWARDDATA!I86,AB86=0),"TRUE","FALSE")</f>
        <v>FALSE</v>
      </c>
      <c r="Y86" s="29"/>
      <c r="Z86" s="22"/>
      <c r="AA86" s="30"/>
      <c r="AB86" s="30"/>
      <c r="AC86" s="30"/>
      <c r="AD86" s="30"/>
      <c r="AE86" s="30"/>
      <c r="AF86" s="30"/>
      <c r="AG86" s="30"/>
      <c r="AH86" s="30"/>
      <c r="AI86" s="30"/>
      <c r="AJ86" s="31"/>
      <c r="AK86" s="31"/>
      <c r="AL86" s="31"/>
      <c r="AM86" s="31"/>
      <c r="AN86" s="32" t="str">
        <f>+IF(AND('GRADING PACKING'!L$5=INWARDDATA!J86,'GRADING PACKING'!L$6=INWARDDATA!I86,AR86=0),"good","bad")</f>
        <v>bad</v>
      </c>
      <c r="AO86" s="33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86"/>
      <c r="BC86" s="86"/>
      <c r="BD86" s="97">
        <f>Table_15[[#This Row],[Wgt-Bag]]-Table_15[[#This Row],[Total Graded]]-Table_15[[#This Row],[UNDERSIZE]]+0.0011</f>
        <v>93.6511</v>
      </c>
      <c r="BE86" s="86">
        <f>Table_15[[#This Row],[Total Graded]]-Table_15[[#This Row],[Packing Quantity]]+Table_15[[#This Row],[PACKING LOOSE]]</f>
        <v>0</v>
      </c>
      <c r="BF86" s="34">
        <f>IF(Table_15[[#This Row],[GRADED BAGS]]&gt;0,Table_15[[#This Row],[GRADED BAGS]],Table_15[[#This Row],[Bags]])</f>
        <v>0</v>
      </c>
    </row>
    <row r="87" spans="1:58" ht="14.25" hidden="1" customHeight="1" x14ac:dyDescent="0.35">
      <c r="A87" s="22">
        <v>85</v>
      </c>
      <c r="B87" s="22">
        <v>1406</v>
      </c>
      <c r="C87" s="23" t="s">
        <v>178</v>
      </c>
      <c r="D87" s="23">
        <v>17200</v>
      </c>
      <c r="E87" s="24">
        <v>46126.460439814815</v>
      </c>
      <c r="F87" s="23">
        <v>10380</v>
      </c>
      <c r="G87" s="100">
        <v>46126.498796296299</v>
      </c>
      <c r="H87" s="101">
        <v>6820</v>
      </c>
      <c r="I87" s="102" t="s">
        <v>215</v>
      </c>
      <c r="J87" s="102" t="s">
        <v>179</v>
      </c>
      <c r="K87" s="233">
        <v>118</v>
      </c>
      <c r="L87" s="22">
        <v>0.6</v>
      </c>
      <c r="M87" s="25">
        <f t="shared" si="6"/>
        <v>71</v>
      </c>
      <c r="N87" s="25">
        <f t="shared" si="7"/>
        <v>67.489999999999995</v>
      </c>
      <c r="O87" s="25">
        <f t="shared" si="8"/>
        <v>0.23</v>
      </c>
      <c r="P87" s="25">
        <f t="shared" si="9"/>
        <v>67.259999999999991</v>
      </c>
      <c r="Q87" s="22"/>
      <c r="R87" s="22"/>
      <c r="S87" s="22"/>
      <c r="T87" s="168"/>
      <c r="U87" s="171">
        <f t="shared" si="10"/>
        <v>0</v>
      </c>
      <c r="V87" s="169"/>
      <c r="W87" s="28"/>
      <c r="X87" s="25" t="str">
        <f>+IF(AND('GRADING PACKING'!L$5=INWARDDATA!J87,'GRADING PACKING'!L$6=INWARDDATA!I87,AB87=0),"TRUE","FALSE")</f>
        <v>FALSE</v>
      </c>
      <c r="Y87" s="29"/>
      <c r="Z87" s="22"/>
      <c r="AA87" s="30"/>
      <c r="AB87" s="30"/>
      <c r="AC87" s="30"/>
      <c r="AD87" s="30"/>
      <c r="AE87" s="30"/>
      <c r="AF87" s="30"/>
      <c r="AG87" s="30"/>
      <c r="AH87" s="30"/>
      <c r="AI87" s="30"/>
      <c r="AJ87" s="31"/>
      <c r="AK87" s="31"/>
      <c r="AL87" s="31"/>
      <c r="AM87" s="31"/>
      <c r="AN87" s="32" t="str">
        <f>+IF(AND('GRADING PACKING'!L$5=INWARDDATA!J87,'GRADING PACKING'!L$6=INWARDDATA!I87,AR87=0),"good","bad")</f>
        <v>bad</v>
      </c>
      <c r="AO87" s="33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86"/>
      <c r="BC87" s="86"/>
      <c r="BD87" s="97">
        <f>Table_15[[#This Row],[Wgt-Bag]]-Table_15[[#This Row],[Total Graded]]-Table_15[[#This Row],[UNDERSIZE]]+0.0011</f>
        <v>67.491099999999989</v>
      </c>
      <c r="BE87" s="86">
        <f>Table_15[[#This Row],[Total Graded]]-Table_15[[#This Row],[Packing Quantity]]+Table_15[[#This Row],[PACKING LOOSE]]</f>
        <v>0</v>
      </c>
      <c r="BF87" s="34">
        <f>IF(Table_15[[#This Row],[GRADED BAGS]]&gt;0,Table_15[[#This Row],[GRADED BAGS]],Table_15[[#This Row],[Bags]])</f>
        <v>118</v>
      </c>
    </row>
    <row r="88" spans="1:58" ht="14.25" hidden="1" customHeight="1" x14ac:dyDescent="0.35">
      <c r="A88" s="22">
        <v>86</v>
      </c>
      <c r="B88" s="22">
        <v>1407</v>
      </c>
      <c r="C88" s="23" t="s">
        <v>178</v>
      </c>
      <c r="D88" s="23">
        <v>10380</v>
      </c>
      <c r="E88" s="24">
        <v>46126.49927083333</v>
      </c>
      <c r="F88" s="23">
        <v>4670</v>
      </c>
      <c r="G88" s="100">
        <v>46126.532523148147</v>
      </c>
      <c r="H88" s="101">
        <v>5710</v>
      </c>
      <c r="I88" s="102" t="s">
        <v>219</v>
      </c>
      <c r="J88" s="102" t="s">
        <v>179</v>
      </c>
      <c r="K88" s="233">
        <v>102</v>
      </c>
      <c r="L88" s="22">
        <v>0.6</v>
      </c>
      <c r="M88" s="25">
        <f t="shared" si="6"/>
        <v>62</v>
      </c>
      <c r="N88" s="25">
        <f t="shared" si="7"/>
        <v>56.48</v>
      </c>
      <c r="O88" s="25">
        <f t="shared" si="8"/>
        <v>0.2</v>
      </c>
      <c r="P88" s="25">
        <f t="shared" si="9"/>
        <v>56.279999999999994</v>
      </c>
      <c r="Q88" s="22"/>
      <c r="R88" s="22"/>
      <c r="S88" s="22"/>
      <c r="T88" s="168"/>
      <c r="U88" s="171">
        <f t="shared" si="10"/>
        <v>0</v>
      </c>
      <c r="V88" s="169"/>
      <c r="W88" s="28"/>
      <c r="X88" s="25" t="str">
        <f>+IF(AND('GRADING PACKING'!L$5=INWARDDATA!J88,'GRADING PACKING'!L$6=INWARDDATA!I88,AB88=0),"TRUE","FALSE")</f>
        <v>FALSE</v>
      </c>
      <c r="Y88" s="29"/>
      <c r="Z88" s="22"/>
      <c r="AA88" s="30"/>
      <c r="AB88" s="30"/>
      <c r="AC88" s="30"/>
      <c r="AD88" s="30"/>
      <c r="AE88" s="30"/>
      <c r="AF88" s="30"/>
      <c r="AG88" s="30"/>
      <c r="AH88" s="30"/>
      <c r="AI88" s="30"/>
      <c r="AJ88" s="31"/>
      <c r="AK88" s="31"/>
      <c r="AL88" s="31"/>
      <c r="AM88" s="31"/>
      <c r="AN88" s="32" t="str">
        <f>+IF(AND('GRADING PACKING'!L$5=INWARDDATA!J88,'GRADING PACKING'!L$6=INWARDDATA!I88,AR88=0),"good","bad")</f>
        <v>bad</v>
      </c>
      <c r="AO88" s="33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86"/>
      <c r="BC88" s="86"/>
      <c r="BD88" s="97">
        <f>Table_15[[#This Row],[Wgt-Bag]]-Table_15[[#This Row],[Total Graded]]-Table_15[[#This Row],[UNDERSIZE]]+0.0011</f>
        <v>56.481099999999998</v>
      </c>
      <c r="BE88" s="86">
        <f>Table_15[[#This Row],[Total Graded]]-Table_15[[#This Row],[Packing Quantity]]+Table_15[[#This Row],[PACKING LOOSE]]</f>
        <v>0</v>
      </c>
      <c r="BF88" s="34">
        <f>IF(Table_15[[#This Row],[GRADED BAGS]]&gt;0,Table_15[[#This Row],[GRADED BAGS]],Table_15[[#This Row],[Bags]])</f>
        <v>102</v>
      </c>
    </row>
    <row r="89" spans="1:58" ht="15" hidden="1" customHeight="1" x14ac:dyDescent="0.35">
      <c r="A89" s="22">
        <v>87</v>
      </c>
      <c r="B89" s="22">
        <v>1408</v>
      </c>
      <c r="C89" s="23" t="s">
        <v>181</v>
      </c>
      <c r="D89" s="23">
        <v>16580</v>
      </c>
      <c r="E89" s="24">
        <v>46126.543796296297</v>
      </c>
      <c r="F89" s="23">
        <v>4380</v>
      </c>
      <c r="G89" s="100">
        <v>46126.60423611111</v>
      </c>
      <c r="H89" s="101">
        <v>12200</v>
      </c>
      <c r="I89" s="102" t="s">
        <v>219</v>
      </c>
      <c r="J89" s="102" t="s">
        <v>179</v>
      </c>
      <c r="K89" s="233">
        <v>220</v>
      </c>
      <c r="L89" s="22">
        <v>0.6</v>
      </c>
      <c r="M89" s="25">
        <f t="shared" si="6"/>
        <v>132</v>
      </c>
      <c r="N89" s="25">
        <f t="shared" si="7"/>
        <v>120.68</v>
      </c>
      <c r="O89" s="25">
        <f t="shared" si="8"/>
        <v>0.41000000000000003</v>
      </c>
      <c r="P89" s="25">
        <f t="shared" si="9"/>
        <v>120.27000000000001</v>
      </c>
      <c r="Q89" s="22"/>
      <c r="R89" s="22"/>
      <c r="S89" s="22"/>
      <c r="T89" s="168"/>
      <c r="U89" s="171">
        <f t="shared" si="10"/>
        <v>0</v>
      </c>
      <c r="V89" s="169"/>
      <c r="W89" s="28"/>
      <c r="X89" s="25" t="str">
        <f>+IF(AND('GRADING PACKING'!L$5=INWARDDATA!J89,'GRADING PACKING'!L$6=INWARDDATA!I89,AB89=0),"TRUE","FALSE")</f>
        <v>FALSE</v>
      </c>
      <c r="Y89" s="29"/>
      <c r="Z89" s="22"/>
      <c r="AA89" s="30"/>
      <c r="AB89" s="30"/>
      <c r="AC89" s="30"/>
      <c r="AD89" s="30"/>
      <c r="AE89" s="30"/>
      <c r="AF89" s="30"/>
      <c r="AG89" s="30"/>
      <c r="AH89" s="30"/>
      <c r="AI89" s="30"/>
      <c r="AJ89" s="31"/>
      <c r="AK89" s="31"/>
      <c r="AL89" s="31"/>
      <c r="AM89" s="31"/>
      <c r="AN89" s="32" t="str">
        <f>+IF(AND('GRADING PACKING'!L$5=INWARDDATA!J89,'GRADING PACKING'!L$6=INWARDDATA!I89,AR89=0),"good","bad")</f>
        <v>bad</v>
      </c>
      <c r="AO89" s="33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86"/>
      <c r="BC89" s="86"/>
      <c r="BD89" s="97">
        <f>Table_15[[#This Row],[Wgt-Bag]]-Table_15[[#This Row],[Total Graded]]-Table_15[[#This Row],[UNDERSIZE]]+0.0011</f>
        <v>120.6811</v>
      </c>
      <c r="BE89" s="86">
        <f>Table_15[[#This Row],[Total Graded]]-Table_15[[#This Row],[Packing Quantity]]+Table_15[[#This Row],[PACKING LOOSE]]</f>
        <v>0</v>
      </c>
      <c r="BF89" s="34">
        <f>IF(Table_15[[#This Row],[GRADED BAGS]]&gt;0,Table_15[[#This Row],[GRADED BAGS]],Table_15[[#This Row],[Bags]])</f>
        <v>220</v>
      </c>
    </row>
    <row r="90" spans="1:58" ht="14.25" hidden="1" customHeight="1" x14ac:dyDescent="0.35">
      <c r="A90" s="22">
        <v>88</v>
      </c>
      <c r="B90" s="22">
        <v>1409</v>
      </c>
      <c r="C90" s="23">
        <v>0</v>
      </c>
      <c r="D90" s="23">
        <v>0</v>
      </c>
      <c r="E90" s="24">
        <v>0</v>
      </c>
      <c r="F90" s="23">
        <v>0</v>
      </c>
      <c r="G90" s="100">
        <v>0</v>
      </c>
      <c r="H90" s="101">
        <v>0</v>
      </c>
      <c r="I90" s="102">
        <v>0</v>
      </c>
      <c r="J90" s="102">
        <v>0</v>
      </c>
      <c r="K90" s="233">
        <v>0</v>
      </c>
      <c r="L90" s="22">
        <v>0</v>
      </c>
      <c r="M90" s="25">
        <f t="shared" si="6"/>
        <v>0</v>
      </c>
      <c r="N90" s="25">
        <f t="shared" si="7"/>
        <v>0</v>
      </c>
      <c r="O90" s="25">
        <f t="shared" si="8"/>
        <v>0</v>
      </c>
      <c r="P90" s="25">
        <f t="shared" si="9"/>
        <v>0</v>
      </c>
      <c r="Q90" s="22"/>
      <c r="R90" s="22"/>
      <c r="S90" s="22"/>
      <c r="T90" s="168"/>
      <c r="U90" s="171">
        <f t="shared" si="10"/>
        <v>0</v>
      </c>
      <c r="V90" s="169"/>
      <c r="W90" s="28"/>
      <c r="X90" s="25" t="str">
        <f>+IF(AND('GRADING PACKING'!L$5=INWARDDATA!J90,'GRADING PACKING'!L$6=INWARDDATA!I90,AB90=0),"TRUE","FALSE")</f>
        <v>FALSE</v>
      </c>
      <c r="Y90" s="29"/>
      <c r="Z90" s="22"/>
      <c r="AA90" s="30"/>
      <c r="AB90" s="30"/>
      <c r="AC90" s="30"/>
      <c r="AD90" s="30"/>
      <c r="AE90" s="30"/>
      <c r="AF90" s="30"/>
      <c r="AG90" s="30"/>
      <c r="AH90" s="30"/>
      <c r="AI90" s="30"/>
      <c r="AJ90" s="31"/>
      <c r="AK90" s="31"/>
      <c r="AL90" s="31"/>
      <c r="AM90" s="31"/>
      <c r="AN90" s="32" t="str">
        <f>+IF(AND('GRADING PACKING'!L$5=INWARDDATA!J90,'GRADING PACKING'!L$6=INWARDDATA!I90,AR90=0),"good","bad")</f>
        <v>bad</v>
      </c>
      <c r="AO90" s="33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86"/>
      <c r="BC90" s="86"/>
      <c r="BD90" s="97">
        <f>Table_15[[#This Row],[Wgt-Bag]]-Table_15[[#This Row],[Total Graded]]-Table_15[[#This Row],[UNDERSIZE]]+0.0011</f>
        <v>1.1000000000000001E-3</v>
      </c>
      <c r="BE90" s="86">
        <f>Table_15[[#This Row],[Total Graded]]-Table_15[[#This Row],[Packing Quantity]]+Table_15[[#This Row],[PACKING LOOSE]]</f>
        <v>0</v>
      </c>
      <c r="BF90" s="34">
        <f>IF(Table_15[[#This Row],[GRADED BAGS]]&gt;0,Table_15[[#This Row],[GRADED BAGS]],Table_15[[#This Row],[Bags]])</f>
        <v>0</v>
      </c>
    </row>
    <row r="91" spans="1:58" ht="14.25" hidden="1" customHeight="1" x14ac:dyDescent="0.35">
      <c r="A91" s="22">
        <v>89</v>
      </c>
      <c r="B91" s="22">
        <v>1410</v>
      </c>
      <c r="C91" s="23" t="s">
        <v>220</v>
      </c>
      <c r="D91" s="23">
        <v>8215</v>
      </c>
      <c r="E91" s="24">
        <v>46126.636608796296</v>
      </c>
      <c r="F91" s="23">
        <v>3765</v>
      </c>
      <c r="G91" s="100">
        <v>46126.726261574076</v>
      </c>
      <c r="H91" s="101">
        <v>4450</v>
      </c>
      <c r="I91" s="102" t="s">
        <v>199</v>
      </c>
      <c r="J91" s="102" t="s">
        <v>221</v>
      </c>
      <c r="K91" s="233">
        <v>0</v>
      </c>
      <c r="L91" s="22">
        <v>0</v>
      </c>
      <c r="M91" s="25">
        <f t="shared" si="6"/>
        <v>0</v>
      </c>
      <c r="N91" s="25">
        <f t="shared" si="7"/>
        <v>44.5</v>
      </c>
      <c r="O91" s="25">
        <f t="shared" si="8"/>
        <v>0.15000000000000002</v>
      </c>
      <c r="P91" s="25">
        <f t="shared" si="9"/>
        <v>44.35</v>
      </c>
      <c r="Q91" s="22"/>
      <c r="R91" s="22"/>
      <c r="S91" s="22"/>
      <c r="T91" s="168"/>
      <c r="U91" s="171">
        <f t="shared" si="10"/>
        <v>0</v>
      </c>
      <c r="V91" s="169"/>
      <c r="W91" s="28"/>
      <c r="X91" s="25" t="str">
        <f>+IF(AND('GRADING PACKING'!L$5=INWARDDATA!J91,'GRADING PACKING'!L$6=INWARDDATA!I91,AB91=0),"TRUE","FALSE")</f>
        <v>FALSE</v>
      </c>
      <c r="Y91" s="29">
        <v>46129</v>
      </c>
      <c r="Z91" s="22" t="s">
        <v>221</v>
      </c>
      <c r="AA91" s="30" t="s">
        <v>199</v>
      </c>
      <c r="AB91" s="30">
        <v>560.95000000000005</v>
      </c>
      <c r="AC91" s="30">
        <v>906</v>
      </c>
      <c r="AD91" s="30">
        <v>55</v>
      </c>
      <c r="AE91" s="30">
        <v>498.3</v>
      </c>
      <c r="AF91" s="30">
        <v>0</v>
      </c>
      <c r="AG91" s="30">
        <v>498.3</v>
      </c>
      <c r="AH91" s="30">
        <v>61.41</v>
      </c>
      <c r="AI91" s="30">
        <v>122</v>
      </c>
      <c r="AJ91" s="31">
        <v>10.947499777163738</v>
      </c>
      <c r="AK91" s="31">
        <v>559.71</v>
      </c>
      <c r="AL91" s="31">
        <v>0</v>
      </c>
      <c r="AM91" s="31">
        <v>-1.2400000000000091</v>
      </c>
      <c r="AN91" s="32" t="str">
        <f>+IF(AND('GRADING PACKING'!L$5=INWARDDATA!J91,'GRADING PACKING'!L$6=INWARDDATA!I91,AR91=0),"good","bad")</f>
        <v>bad</v>
      </c>
      <c r="AO91" s="33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86"/>
      <c r="BC91" s="86"/>
      <c r="BD91" s="97">
        <f>Table_15[[#This Row],[Wgt-Bag]]-Table_15[[#This Row],[Total Graded]]-Table_15[[#This Row],[UNDERSIZE]]+0.0011</f>
        <v>-515.20890000000009</v>
      </c>
      <c r="BE91" s="86">
        <f>Table_15[[#This Row],[Total Graded]]-Table_15[[#This Row],[Packing Quantity]]+Table_15[[#This Row],[PACKING LOOSE]]</f>
        <v>498.3</v>
      </c>
      <c r="BF91" s="34">
        <f>IF(Table_15[[#This Row],[GRADED BAGS]]&gt;0,Table_15[[#This Row],[GRADED BAGS]],Table_15[[#This Row],[Bags]])</f>
        <v>906</v>
      </c>
    </row>
    <row r="92" spans="1:58" ht="14.25" hidden="1" customHeight="1" x14ac:dyDescent="0.35">
      <c r="A92" s="22">
        <v>90</v>
      </c>
      <c r="B92" s="22">
        <v>1411</v>
      </c>
      <c r="C92" s="23" t="s">
        <v>222</v>
      </c>
      <c r="D92" s="23">
        <v>9945</v>
      </c>
      <c r="E92" s="24">
        <v>46126.706284722219</v>
      </c>
      <c r="F92" s="23">
        <v>4535</v>
      </c>
      <c r="G92" s="100">
        <v>46127.453865740739</v>
      </c>
      <c r="H92" s="101">
        <v>5410</v>
      </c>
      <c r="I92" s="102" t="s">
        <v>199</v>
      </c>
      <c r="J92" s="102" t="s">
        <v>221</v>
      </c>
      <c r="K92" s="233">
        <v>0</v>
      </c>
      <c r="L92" s="22">
        <v>0</v>
      </c>
      <c r="M92" s="25">
        <f t="shared" si="6"/>
        <v>0</v>
      </c>
      <c r="N92" s="25">
        <f t="shared" si="7"/>
        <v>54.1</v>
      </c>
      <c r="O92" s="25">
        <f t="shared" si="8"/>
        <v>0.19</v>
      </c>
      <c r="P92" s="25">
        <f t="shared" si="9"/>
        <v>53.910000000000004</v>
      </c>
      <c r="Q92" s="22"/>
      <c r="R92" s="22"/>
      <c r="S92" s="22"/>
      <c r="T92" s="168"/>
      <c r="U92" s="171">
        <f t="shared" si="10"/>
        <v>0</v>
      </c>
      <c r="V92" s="169"/>
      <c r="W92" s="28"/>
      <c r="X92" s="25" t="str">
        <f>+IF(AND('GRADING PACKING'!L$5=INWARDDATA!J92,'GRADING PACKING'!L$6=INWARDDATA!I92,AB92=0),"TRUE","FALSE")</f>
        <v>FALSE</v>
      </c>
      <c r="Y92" s="29"/>
      <c r="Z92" s="22"/>
      <c r="AA92" s="30"/>
      <c r="AB92" s="30"/>
      <c r="AC92" s="30"/>
      <c r="AD92" s="30"/>
      <c r="AE92" s="30"/>
      <c r="AF92" s="30"/>
      <c r="AG92" s="30"/>
      <c r="AH92" s="30"/>
      <c r="AI92" s="30"/>
      <c r="AJ92" s="31"/>
      <c r="AK92" s="31"/>
      <c r="AL92" s="31"/>
      <c r="AM92" s="31"/>
      <c r="AN92" s="32" t="str">
        <f>+IF(AND('GRADING PACKING'!L$5=INWARDDATA!J92,'GRADING PACKING'!L$6=INWARDDATA!I92,AR92=0),"good","bad")</f>
        <v>bad</v>
      </c>
      <c r="AO92" s="33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86"/>
      <c r="BC92" s="86"/>
      <c r="BD92" s="97">
        <f>Table_15[[#This Row],[Wgt-Bag]]-Table_15[[#This Row],[Total Graded]]-Table_15[[#This Row],[UNDERSIZE]]+0.0011</f>
        <v>54.101100000000002</v>
      </c>
      <c r="BE92" s="86">
        <f>Table_15[[#This Row],[Total Graded]]-Table_15[[#This Row],[Packing Quantity]]+Table_15[[#This Row],[PACKING LOOSE]]</f>
        <v>0</v>
      </c>
      <c r="BF92" s="34">
        <f>IF(Table_15[[#This Row],[GRADED BAGS]]&gt;0,Table_15[[#This Row],[GRADED BAGS]],Table_15[[#This Row],[Bags]])</f>
        <v>0</v>
      </c>
    </row>
    <row r="93" spans="1:58" ht="14.25" hidden="1" customHeight="1" x14ac:dyDescent="0.35">
      <c r="A93" s="22">
        <v>91</v>
      </c>
      <c r="B93" s="22">
        <v>1412</v>
      </c>
      <c r="C93" s="23" t="s">
        <v>223</v>
      </c>
      <c r="D93" s="23">
        <v>8405</v>
      </c>
      <c r="E93" s="24">
        <v>46127.432974537034</v>
      </c>
      <c r="F93" s="23">
        <v>4160</v>
      </c>
      <c r="G93" s="100">
        <v>46127.449444444443</v>
      </c>
      <c r="H93" s="101">
        <v>4245</v>
      </c>
      <c r="I93" s="102" t="s">
        <v>199</v>
      </c>
      <c r="J93" s="102" t="s">
        <v>221</v>
      </c>
      <c r="K93" s="233">
        <v>0</v>
      </c>
      <c r="L93" s="22">
        <v>0</v>
      </c>
      <c r="M93" s="25">
        <f t="shared" si="6"/>
        <v>0</v>
      </c>
      <c r="N93" s="25">
        <f t="shared" si="7"/>
        <v>42.45</v>
      </c>
      <c r="O93" s="25">
        <f t="shared" si="8"/>
        <v>0.15000000000000002</v>
      </c>
      <c r="P93" s="25">
        <f t="shared" si="9"/>
        <v>42.300000000000004</v>
      </c>
      <c r="Q93" s="22"/>
      <c r="R93" s="22"/>
      <c r="S93" s="22"/>
      <c r="T93" s="168"/>
      <c r="U93" s="171">
        <f t="shared" si="10"/>
        <v>0</v>
      </c>
      <c r="V93" s="169"/>
      <c r="W93" s="28"/>
      <c r="X93" s="25" t="str">
        <f>+IF(AND('GRADING PACKING'!L$5=INWARDDATA!J93,'GRADING PACKING'!L$6=INWARDDATA!I93,AB93=0),"TRUE","FALSE")</f>
        <v>FALSE</v>
      </c>
      <c r="Y93" s="29"/>
      <c r="Z93" s="22"/>
      <c r="AA93" s="30"/>
      <c r="AB93" s="30"/>
      <c r="AC93" s="30"/>
      <c r="AD93" s="30"/>
      <c r="AE93" s="30"/>
      <c r="AF93" s="30"/>
      <c r="AG93" s="30"/>
      <c r="AH93" s="30"/>
      <c r="AI93" s="30"/>
      <c r="AJ93" s="31"/>
      <c r="AK93" s="31"/>
      <c r="AL93" s="31"/>
      <c r="AM93" s="31"/>
      <c r="AN93" s="32" t="str">
        <f>+IF(AND('GRADING PACKING'!L$5=INWARDDATA!J93,'GRADING PACKING'!L$6=INWARDDATA!I93,AR93=0),"good","bad")</f>
        <v>bad</v>
      </c>
      <c r="AO93" s="33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86"/>
      <c r="BC93" s="86"/>
      <c r="BD93" s="97">
        <f>Table_15[[#This Row],[Wgt-Bag]]-Table_15[[#This Row],[Total Graded]]-Table_15[[#This Row],[UNDERSIZE]]+0.0011</f>
        <v>42.451100000000004</v>
      </c>
      <c r="BE93" s="86">
        <f>Table_15[[#This Row],[Total Graded]]-Table_15[[#This Row],[Packing Quantity]]+Table_15[[#This Row],[PACKING LOOSE]]</f>
        <v>0</v>
      </c>
      <c r="BF93" s="34">
        <f>IF(Table_15[[#This Row],[GRADED BAGS]]&gt;0,Table_15[[#This Row],[GRADED BAGS]],Table_15[[#This Row],[Bags]])</f>
        <v>0</v>
      </c>
    </row>
    <row r="94" spans="1:58" ht="14.25" hidden="1" customHeight="1" x14ac:dyDescent="0.35">
      <c r="A94" s="22">
        <v>92</v>
      </c>
      <c r="B94" s="22">
        <v>1413</v>
      </c>
      <c r="C94" s="23" t="s">
        <v>224</v>
      </c>
      <c r="D94" s="23">
        <v>9945</v>
      </c>
      <c r="E94" s="24">
        <v>46127.45449074074</v>
      </c>
      <c r="F94" s="23">
        <v>4535</v>
      </c>
      <c r="G94" s="100">
        <v>46127.475497685184</v>
      </c>
      <c r="H94" s="101">
        <v>5410</v>
      </c>
      <c r="I94" s="102" t="s">
        <v>199</v>
      </c>
      <c r="J94" s="102" t="s">
        <v>221</v>
      </c>
      <c r="K94" s="233">
        <v>0</v>
      </c>
      <c r="L94" s="22">
        <v>0</v>
      </c>
      <c r="M94" s="25">
        <f t="shared" si="6"/>
        <v>0</v>
      </c>
      <c r="N94" s="25">
        <f t="shared" si="7"/>
        <v>54.1</v>
      </c>
      <c r="O94" s="25">
        <f t="shared" si="8"/>
        <v>0.19</v>
      </c>
      <c r="P94" s="25">
        <f t="shared" si="9"/>
        <v>53.910000000000004</v>
      </c>
      <c r="Q94" s="22"/>
      <c r="R94" s="22"/>
      <c r="S94" s="22"/>
      <c r="T94" s="168"/>
      <c r="U94" s="171">
        <f t="shared" si="10"/>
        <v>0</v>
      </c>
      <c r="V94" s="169"/>
      <c r="W94" s="28"/>
      <c r="X94" s="25" t="str">
        <f>+IF(AND('GRADING PACKING'!L$5=INWARDDATA!J94,'GRADING PACKING'!L$6=INWARDDATA!I94,AB94=0),"TRUE","FALSE")</f>
        <v>FALSE</v>
      </c>
      <c r="Y94" s="29"/>
      <c r="Z94" s="22"/>
      <c r="AA94" s="30"/>
      <c r="AB94" s="30"/>
      <c r="AC94" s="30"/>
      <c r="AD94" s="30"/>
      <c r="AE94" s="30"/>
      <c r="AF94" s="30"/>
      <c r="AG94" s="30"/>
      <c r="AH94" s="30"/>
      <c r="AI94" s="30"/>
      <c r="AJ94" s="31"/>
      <c r="AK94" s="31"/>
      <c r="AL94" s="31"/>
      <c r="AM94" s="31"/>
      <c r="AN94" s="32" t="str">
        <f>+IF(AND('GRADING PACKING'!L$5=INWARDDATA!J94,'GRADING PACKING'!L$6=INWARDDATA!I94,AR94=0),"good","bad")</f>
        <v>bad</v>
      </c>
      <c r="AO94" s="33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86"/>
      <c r="BC94" s="86"/>
      <c r="BD94" s="97">
        <f>Table_15[[#This Row],[Wgt-Bag]]-Table_15[[#This Row],[Total Graded]]-Table_15[[#This Row],[UNDERSIZE]]+0.0011</f>
        <v>54.101100000000002</v>
      </c>
      <c r="BE94" s="86">
        <f>Table_15[[#This Row],[Total Graded]]-Table_15[[#This Row],[Packing Quantity]]+Table_15[[#This Row],[PACKING LOOSE]]</f>
        <v>0</v>
      </c>
      <c r="BF94" s="34">
        <f>IF(Table_15[[#This Row],[GRADED BAGS]]&gt;0,Table_15[[#This Row],[GRADED BAGS]],Table_15[[#This Row],[Bags]])</f>
        <v>0</v>
      </c>
    </row>
    <row r="95" spans="1:58" ht="14.25" hidden="1" customHeight="1" x14ac:dyDescent="0.35">
      <c r="A95" s="22">
        <v>93</v>
      </c>
      <c r="B95" s="22">
        <v>1414</v>
      </c>
      <c r="C95" s="23" t="s">
        <v>225</v>
      </c>
      <c r="D95" s="23">
        <v>9125</v>
      </c>
      <c r="E95" s="24">
        <v>46127.469606481478</v>
      </c>
      <c r="F95" s="23">
        <v>4110</v>
      </c>
      <c r="G95" s="100">
        <v>46127.488217592596</v>
      </c>
      <c r="H95" s="101">
        <v>5015</v>
      </c>
      <c r="I95" s="102" t="s">
        <v>199</v>
      </c>
      <c r="J95" s="102" t="s">
        <v>221</v>
      </c>
      <c r="K95" s="233">
        <v>0</v>
      </c>
      <c r="L95" s="22">
        <v>0</v>
      </c>
      <c r="M95" s="25">
        <f t="shared" si="6"/>
        <v>0</v>
      </c>
      <c r="N95" s="25">
        <f t="shared" si="7"/>
        <v>50.15</v>
      </c>
      <c r="O95" s="25">
        <f t="shared" si="8"/>
        <v>0.17</v>
      </c>
      <c r="P95" s="25">
        <f t="shared" si="9"/>
        <v>49.98</v>
      </c>
      <c r="Q95" s="22"/>
      <c r="R95" s="22"/>
      <c r="S95" s="22"/>
      <c r="T95" s="168"/>
      <c r="U95" s="171">
        <f t="shared" si="10"/>
        <v>0</v>
      </c>
      <c r="V95" s="169"/>
      <c r="W95" s="28"/>
      <c r="X95" s="25" t="str">
        <f>+IF(AND('GRADING PACKING'!L$5=INWARDDATA!J95,'GRADING PACKING'!L$6=INWARDDATA!I95,AB95=0),"TRUE","FALSE")</f>
        <v>FALSE</v>
      </c>
      <c r="Y95" s="29"/>
      <c r="Z95" s="22"/>
      <c r="AA95" s="30"/>
      <c r="AB95" s="30"/>
      <c r="AC95" s="30"/>
      <c r="AD95" s="30"/>
      <c r="AE95" s="30"/>
      <c r="AF95" s="30"/>
      <c r="AG95" s="30"/>
      <c r="AH95" s="30"/>
      <c r="AI95" s="30"/>
      <c r="AJ95" s="31"/>
      <c r="AK95" s="31"/>
      <c r="AL95" s="31"/>
      <c r="AM95" s="31"/>
      <c r="AN95" s="32" t="str">
        <f>+IF(AND('GRADING PACKING'!L$5=INWARDDATA!J95,'GRADING PACKING'!L$6=INWARDDATA!I95,AR95=0),"good","bad")</f>
        <v>bad</v>
      </c>
      <c r="AO95" s="33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86"/>
      <c r="BC95" s="86"/>
      <c r="BD95" s="97">
        <f>Table_15[[#This Row],[Wgt-Bag]]-Table_15[[#This Row],[Total Graded]]-Table_15[[#This Row],[UNDERSIZE]]+0.0011</f>
        <v>50.1511</v>
      </c>
      <c r="BE95" s="86">
        <f>Table_15[[#This Row],[Total Graded]]-Table_15[[#This Row],[Packing Quantity]]+Table_15[[#This Row],[PACKING LOOSE]]</f>
        <v>0</v>
      </c>
      <c r="BF95" s="34">
        <f>IF(Table_15[[#This Row],[GRADED BAGS]]&gt;0,Table_15[[#This Row],[GRADED BAGS]],Table_15[[#This Row],[Bags]])</f>
        <v>0</v>
      </c>
    </row>
    <row r="96" spans="1:58" ht="15" hidden="1" customHeight="1" x14ac:dyDescent="0.35">
      <c r="A96" s="22">
        <v>94</v>
      </c>
      <c r="B96" s="22">
        <v>1415</v>
      </c>
      <c r="C96" s="23" t="s">
        <v>226</v>
      </c>
      <c r="D96" s="23">
        <v>8920</v>
      </c>
      <c r="E96" s="24">
        <v>46127.490289351852</v>
      </c>
      <c r="F96" s="23">
        <v>4040</v>
      </c>
      <c r="G96" s="100">
        <v>46127.553287037037</v>
      </c>
      <c r="H96" s="101">
        <v>4880</v>
      </c>
      <c r="I96" s="102" t="s">
        <v>199</v>
      </c>
      <c r="J96" s="102" t="s">
        <v>221</v>
      </c>
      <c r="K96" s="233">
        <v>0</v>
      </c>
      <c r="L96" s="22">
        <v>0</v>
      </c>
      <c r="M96" s="25">
        <f t="shared" si="6"/>
        <v>0</v>
      </c>
      <c r="N96" s="25">
        <f t="shared" si="7"/>
        <v>48.8</v>
      </c>
      <c r="O96" s="25">
        <f t="shared" si="8"/>
        <v>0.17</v>
      </c>
      <c r="P96" s="25">
        <f t="shared" si="9"/>
        <v>48.629999999999995</v>
      </c>
      <c r="Q96" s="22"/>
      <c r="R96" s="22"/>
      <c r="S96" s="22"/>
      <c r="T96" s="168"/>
      <c r="U96" s="171">
        <f t="shared" si="10"/>
        <v>0</v>
      </c>
      <c r="V96" s="169"/>
      <c r="W96" s="28"/>
      <c r="X96" s="25" t="str">
        <f>+IF(AND('GRADING PACKING'!L$5=INWARDDATA!J96,'GRADING PACKING'!L$6=INWARDDATA!I96,AB96=0),"TRUE","FALSE")</f>
        <v>FALSE</v>
      </c>
      <c r="Y96" s="29"/>
      <c r="Z96" s="22"/>
      <c r="AA96" s="30"/>
      <c r="AB96" s="30"/>
      <c r="AC96" s="30"/>
      <c r="AD96" s="30"/>
      <c r="AE96" s="30"/>
      <c r="AF96" s="30"/>
      <c r="AG96" s="30"/>
      <c r="AH96" s="30"/>
      <c r="AI96" s="30"/>
      <c r="AJ96" s="31"/>
      <c r="AK96" s="31"/>
      <c r="AL96" s="31"/>
      <c r="AM96" s="31"/>
      <c r="AN96" s="32" t="str">
        <f>+IF(AND('GRADING PACKING'!L$5=INWARDDATA!J96,'GRADING PACKING'!L$6=INWARDDATA!I96,AR96=0),"good","bad")</f>
        <v>bad</v>
      </c>
      <c r="AO96" s="33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86"/>
      <c r="BC96" s="86"/>
      <c r="BD96" s="97">
        <f>Table_15[[#This Row],[Wgt-Bag]]-Table_15[[#This Row],[Total Graded]]-Table_15[[#This Row],[UNDERSIZE]]+0.0011</f>
        <v>48.801099999999998</v>
      </c>
      <c r="BE96" s="86">
        <f>Table_15[[#This Row],[Total Graded]]-Table_15[[#This Row],[Packing Quantity]]+Table_15[[#This Row],[PACKING LOOSE]]</f>
        <v>0</v>
      </c>
      <c r="BF96" s="34">
        <f>IF(Table_15[[#This Row],[GRADED BAGS]]&gt;0,Table_15[[#This Row],[GRADED BAGS]],Table_15[[#This Row],[Bags]])</f>
        <v>0</v>
      </c>
    </row>
    <row r="97" spans="1:58" ht="15" hidden="1" customHeight="1" x14ac:dyDescent="0.35">
      <c r="A97" s="22">
        <v>95</v>
      </c>
      <c r="B97" s="22">
        <v>1416</v>
      </c>
      <c r="C97" s="23" t="s">
        <v>223</v>
      </c>
      <c r="D97" s="23">
        <v>8360</v>
      </c>
      <c r="E97" s="24">
        <v>46127.551874999997</v>
      </c>
      <c r="F97" s="23">
        <v>4155</v>
      </c>
      <c r="G97" s="100">
        <v>46127.571620370371</v>
      </c>
      <c r="H97" s="101">
        <v>4205</v>
      </c>
      <c r="I97" s="102" t="s">
        <v>199</v>
      </c>
      <c r="J97" s="102" t="s">
        <v>221</v>
      </c>
      <c r="K97" s="233">
        <v>0</v>
      </c>
      <c r="L97" s="22">
        <v>0</v>
      </c>
      <c r="M97" s="25">
        <f t="shared" si="6"/>
        <v>0</v>
      </c>
      <c r="N97" s="25">
        <f t="shared" si="7"/>
        <v>42.05</v>
      </c>
      <c r="O97" s="25">
        <f t="shared" si="8"/>
        <v>0.15000000000000002</v>
      </c>
      <c r="P97" s="25">
        <f t="shared" si="9"/>
        <v>41.9</v>
      </c>
      <c r="Q97" s="22"/>
      <c r="R97" s="22"/>
      <c r="S97" s="22"/>
      <c r="T97" s="168"/>
      <c r="U97" s="171">
        <f t="shared" si="10"/>
        <v>0</v>
      </c>
      <c r="V97" s="169"/>
      <c r="W97" s="28"/>
      <c r="X97" s="25" t="str">
        <f>+IF(AND('GRADING PACKING'!L$5=INWARDDATA!J97,'GRADING PACKING'!L$6=INWARDDATA!I97,AB97=0),"TRUE","FALSE")</f>
        <v>FALSE</v>
      </c>
      <c r="Y97" s="29"/>
      <c r="Z97" s="22"/>
      <c r="AA97" s="30"/>
      <c r="AB97" s="30"/>
      <c r="AC97" s="30"/>
      <c r="AD97" s="30"/>
      <c r="AE97" s="30"/>
      <c r="AF97" s="30"/>
      <c r="AG97" s="30"/>
      <c r="AH97" s="30"/>
      <c r="AI97" s="30"/>
      <c r="AJ97" s="31"/>
      <c r="AK97" s="31"/>
      <c r="AL97" s="31"/>
      <c r="AM97" s="31"/>
      <c r="AN97" s="32" t="str">
        <f>+IF(AND('GRADING PACKING'!L$5=INWARDDATA!J97,'GRADING PACKING'!L$6=INWARDDATA!I97,AR97=0),"good","bad")</f>
        <v>bad</v>
      </c>
      <c r="AO97" s="33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86"/>
      <c r="BC97" s="86"/>
      <c r="BD97" s="97">
        <f>Table_15[[#This Row],[Wgt-Bag]]-Table_15[[#This Row],[Total Graded]]-Table_15[[#This Row],[UNDERSIZE]]+0.0011</f>
        <v>42.051099999999998</v>
      </c>
      <c r="BE97" s="86">
        <f>Table_15[[#This Row],[Total Graded]]-Table_15[[#This Row],[Packing Quantity]]+Table_15[[#This Row],[PACKING LOOSE]]</f>
        <v>0</v>
      </c>
      <c r="BF97" s="34">
        <f>IF(Table_15[[#This Row],[GRADED BAGS]]&gt;0,Table_15[[#This Row],[GRADED BAGS]],Table_15[[#This Row],[Bags]])</f>
        <v>0</v>
      </c>
    </row>
    <row r="98" spans="1:58" ht="14.25" hidden="1" customHeight="1" x14ac:dyDescent="0.35">
      <c r="A98" s="22">
        <v>96</v>
      </c>
      <c r="B98" s="22">
        <v>1417</v>
      </c>
      <c r="C98" s="23" t="s">
        <v>227</v>
      </c>
      <c r="D98" s="23">
        <v>5350</v>
      </c>
      <c r="E98" s="24">
        <v>46127.570740740739</v>
      </c>
      <c r="F98" s="23">
        <v>3420</v>
      </c>
      <c r="G98" s="100">
        <v>46127.663310185184</v>
      </c>
      <c r="H98" s="101">
        <v>1930</v>
      </c>
      <c r="I98" s="102" t="s">
        <v>199</v>
      </c>
      <c r="J98" s="102" t="s">
        <v>221</v>
      </c>
      <c r="K98" s="233">
        <v>0</v>
      </c>
      <c r="L98" s="22">
        <v>0</v>
      </c>
      <c r="M98" s="25">
        <f t="shared" si="6"/>
        <v>0</v>
      </c>
      <c r="N98" s="25">
        <f t="shared" si="7"/>
        <v>19.3</v>
      </c>
      <c r="O98" s="25">
        <f t="shared" si="8"/>
        <v>6.9999999999999993E-2</v>
      </c>
      <c r="P98" s="25">
        <f t="shared" si="9"/>
        <v>19.23</v>
      </c>
      <c r="Q98" s="22"/>
      <c r="R98" s="22"/>
      <c r="S98" s="22"/>
      <c r="T98" s="168"/>
      <c r="U98" s="171">
        <f t="shared" si="10"/>
        <v>0</v>
      </c>
      <c r="V98" s="169"/>
      <c r="W98" s="28"/>
      <c r="X98" s="25" t="str">
        <f>+IF(AND('GRADING PACKING'!L$5=INWARDDATA!J98,'GRADING PACKING'!L$6=INWARDDATA!I98,AB98=0),"TRUE","FALSE")</f>
        <v>FALSE</v>
      </c>
      <c r="Y98" s="29"/>
      <c r="Z98" s="22"/>
      <c r="AA98" s="30"/>
      <c r="AB98" s="30"/>
      <c r="AC98" s="30"/>
      <c r="AD98" s="30"/>
      <c r="AE98" s="30"/>
      <c r="AF98" s="30"/>
      <c r="AG98" s="30"/>
      <c r="AH98" s="30"/>
      <c r="AI98" s="30"/>
      <c r="AJ98" s="31"/>
      <c r="AK98" s="31"/>
      <c r="AL98" s="31"/>
      <c r="AM98" s="31"/>
      <c r="AN98" s="32" t="str">
        <f>+IF(AND('GRADING PACKING'!L$5=INWARDDATA!J98,'GRADING PACKING'!L$6=INWARDDATA!I98,AR98=0),"good","bad")</f>
        <v>bad</v>
      </c>
      <c r="AO98" s="33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86"/>
      <c r="BC98" s="86"/>
      <c r="BD98" s="97">
        <f>Table_15[[#This Row],[Wgt-Bag]]-Table_15[[#This Row],[Total Graded]]-Table_15[[#This Row],[UNDERSIZE]]+0.0011</f>
        <v>19.301100000000002</v>
      </c>
      <c r="BE98" s="86">
        <f>Table_15[[#This Row],[Total Graded]]-Table_15[[#This Row],[Packing Quantity]]+Table_15[[#This Row],[PACKING LOOSE]]</f>
        <v>0</v>
      </c>
      <c r="BF98" s="34">
        <f>IF(Table_15[[#This Row],[GRADED BAGS]]&gt;0,Table_15[[#This Row],[GRADED BAGS]],Table_15[[#This Row],[Bags]])</f>
        <v>0</v>
      </c>
    </row>
    <row r="99" spans="1:58" ht="14.25" hidden="1" customHeight="1" x14ac:dyDescent="0.35">
      <c r="A99" s="22">
        <v>97</v>
      </c>
      <c r="B99" s="22">
        <v>1418</v>
      </c>
      <c r="C99" s="23" t="s">
        <v>223</v>
      </c>
      <c r="D99" s="23">
        <v>8365</v>
      </c>
      <c r="E99" s="24">
        <v>46127.592303240737</v>
      </c>
      <c r="F99" s="23">
        <v>4055</v>
      </c>
      <c r="G99" s="100">
        <v>46127.70107638889</v>
      </c>
      <c r="H99" s="101">
        <v>4310</v>
      </c>
      <c r="I99" s="102" t="s">
        <v>199</v>
      </c>
      <c r="J99" s="102" t="s">
        <v>221</v>
      </c>
      <c r="K99" s="233">
        <v>0</v>
      </c>
      <c r="L99" s="22">
        <v>0</v>
      </c>
      <c r="M99" s="25">
        <f t="shared" si="6"/>
        <v>0</v>
      </c>
      <c r="N99" s="25">
        <f t="shared" si="7"/>
        <v>43.1</v>
      </c>
      <c r="O99" s="25">
        <f t="shared" si="8"/>
        <v>0.15000000000000002</v>
      </c>
      <c r="P99" s="25">
        <f t="shared" si="9"/>
        <v>42.95</v>
      </c>
      <c r="Q99" s="22"/>
      <c r="R99" s="22"/>
      <c r="S99" s="22"/>
      <c r="T99" s="168"/>
      <c r="U99" s="171">
        <f t="shared" si="10"/>
        <v>0</v>
      </c>
      <c r="V99" s="169"/>
      <c r="W99" s="28"/>
      <c r="X99" s="25" t="str">
        <f>+IF(AND('GRADING PACKING'!L$5=INWARDDATA!J99,'GRADING PACKING'!L$6=INWARDDATA!I99,AB99=0),"TRUE","FALSE")</f>
        <v>FALSE</v>
      </c>
      <c r="Y99" s="29"/>
      <c r="Z99" s="22"/>
      <c r="AA99" s="30"/>
      <c r="AB99" s="30"/>
      <c r="AC99" s="30"/>
      <c r="AD99" s="30"/>
      <c r="AE99" s="30"/>
      <c r="AF99" s="30"/>
      <c r="AG99" s="30"/>
      <c r="AH99" s="30"/>
      <c r="AI99" s="30"/>
      <c r="AJ99" s="31"/>
      <c r="AK99" s="31"/>
      <c r="AL99" s="31"/>
      <c r="AM99" s="31"/>
      <c r="AN99" s="32" t="str">
        <f>+IF(AND('GRADING PACKING'!L$5=INWARDDATA!J99,'GRADING PACKING'!L$6=INWARDDATA!I99,AR99=0),"good","bad")</f>
        <v>bad</v>
      </c>
      <c r="AO99" s="33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86"/>
      <c r="BC99" s="86"/>
      <c r="BD99" s="97">
        <f>Table_15[[#This Row],[Wgt-Bag]]-Table_15[[#This Row],[Total Graded]]-Table_15[[#This Row],[UNDERSIZE]]+0.0011</f>
        <v>43.101100000000002</v>
      </c>
      <c r="BE99" s="86">
        <f>Table_15[[#This Row],[Total Graded]]-Table_15[[#This Row],[Packing Quantity]]+Table_15[[#This Row],[PACKING LOOSE]]</f>
        <v>0</v>
      </c>
      <c r="BF99" s="34">
        <f>IF(Table_15[[#This Row],[GRADED BAGS]]&gt;0,Table_15[[#This Row],[GRADED BAGS]],Table_15[[#This Row],[Bags]])</f>
        <v>0</v>
      </c>
    </row>
    <row r="100" spans="1:58" ht="14.25" hidden="1" customHeight="1" x14ac:dyDescent="0.35">
      <c r="A100" s="22">
        <v>98</v>
      </c>
      <c r="B100" s="22">
        <v>1419</v>
      </c>
      <c r="C100" s="23" t="s">
        <v>228</v>
      </c>
      <c r="D100" s="23">
        <v>9470</v>
      </c>
      <c r="E100" s="24">
        <v>46127.645648148151</v>
      </c>
      <c r="F100" s="23">
        <v>4245</v>
      </c>
      <c r="G100" s="100">
        <v>46127.691111111111</v>
      </c>
      <c r="H100" s="101">
        <v>5225</v>
      </c>
      <c r="I100" s="102" t="s">
        <v>199</v>
      </c>
      <c r="J100" s="102" t="s">
        <v>229</v>
      </c>
      <c r="K100" s="233">
        <v>92</v>
      </c>
      <c r="L100" s="22">
        <v>0</v>
      </c>
      <c r="M100" s="25">
        <f t="shared" si="6"/>
        <v>0</v>
      </c>
      <c r="N100" s="25">
        <f t="shared" si="7"/>
        <v>52.25</v>
      </c>
      <c r="O100" s="25">
        <f t="shared" si="8"/>
        <v>0.18000000000000002</v>
      </c>
      <c r="P100" s="25">
        <f t="shared" si="9"/>
        <v>52.07</v>
      </c>
      <c r="Q100" s="22"/>
      <c r="R100" s="22"/>
      <c r="S100" s="22"/>
      <c r="T100" s="168"/>
      <c r="U100" s="171">
        <f t="shared" si="10"/>
        <v>0</v>
      </c>
      <c r="V100" s="169"/>
      <c r="W100" s="28"/>
      <c r="X100" s="25" t="str">
        <f>+IF(AND('GRADING PACKING'!L$5=INWARDDATA!J100,'GRADING PACKING'!L$6=INWARDDATA!I100,AB100=0),"TRUE","FALSE")</f>
        <v>FALSE</v>
      </c>
      <c r="Y100" s="29"/>
      <c r="Z100" s="22"/>
      <c r="AA100" s="30"/>
      <c r="AB100" s="30"/>
      <c r="AC100" s="30"/>
      <c r="AD100" s="30"/>
      <c r="AE100" s="30"/>
      <c r="AF100" s="30"/>
      <c r="AG100" s="30"/>
      <c r="AH100" s="30"/>
      <c r="AI100" s="30"/>
      <c r="AJ100" s="31"/>
      <c r="AK100" s="31"/>
      <c r="AL100" s="31"/>
      <c r="AM100" s="31"/>
      <c r="AN100" s="32" t="str">
        <f>+IF(AND('GRADING PACKING'!L$5=INWARDDATA!J100,'GRADING PACKING'!L$6=INWARDDATA!I100,AR100=0),"good","bad")</f>
        <v>bad</v>
      </c>
      <c r="AO100" s="33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86"/>
      <c r="BC100" s="86"/>
      <c r="BD100" s="97">
        <f>Table_15[[#This Row],[Wgt-Bag]]-Table_15[[#This Row],[Total Graded]]-Table_15[[#This Row],[UNDERSIZE]]+0.0011</f>
        <v>52.251100000000001</v>
      </c>
      <c r="BE100" s="86">
        <f>Table_15[[#This Row],[Total Graded]]-Table_15[[#This Row],[Packing Quantity]]+Table_15[[#This Row],[PACKING LOOSE]]</f>
        <v>0</v>
      </c>
      <c r="BF100" s="34">
        <f>IF(Table_15[[#This Row],[GRADED BAGS]]&gt;0,Table_15[[#This Row],[GRADED BAGS]],Table_15[[#This Row],[Bags]])</f>
        <v>92</v>
      </c>
    </row>
    <row r="101" spans="1:58" ht="15" hidden="1" customHeight="1" x14ac:dyDescent="0.35">
      <c r="A101" s="22">
        <v>99</v>
      </c>
      <c r="B101" s="22">
        <v>1420</v>
      </c>
      <c r="C101" s="23" t="s">
        <v>230</v>
      </c>
      <c r="D101" s="23">
        <v>9175</v>
      </c>
      <c r="E101" s="24">
        <v>46127.67355324074</v>
      </c>
      <c r="F101" s="23">
        <v>4110</v>
      </c>
      <c r="G101" s="100">
        <v>46127.723287037035</v>
      </c>
      <c r="H101" s="101">
        <v>5065</v>
      </c>
      <c r="I101" s="102" t="s">
        <v>199</v>
      </c>
      <c r="J101" s="102" t="s">
        <v>221</v>
      </c>
      <c r="K101" s="233">
        <v>0</v>
      </c>
      <c r="L101" s="22">
        <v>0</v>
      </c>
      <c r="M101" s="25">
        <f t="shared" si="6"/>
        <v>0</v>
      </c>
      <c r="N101" s="25">
        <f t="shared" si="7"/>
        <v>50.65</v>
      </c>
      <c r="O101" s="25">
        <f t="shared" si="8"/>
        <v>0.17</v>
      </c>
      <c r="P101" s="25">
        <f t="shared" si="9"/>
        <v>50.48</v>
      </c>
      <c r="Q101" s="22"/>
      <c r="R101" s="22"/>
      <c r="S101" s="22"/>
      <c r="T101" s="168"/>
      <c r="U101" s="171">
        <f t="shared" si="10"/>
        <v>0</v>
      </c>
      <c r="V101" s="169"/>
      <c r="W101" s="28"/>
      <c r="X101" s="25" t="str">
        <f>+IF(AND('GRADING PACKING'!L$5=INWARDDATA!J101,'GRADING PACKING'!L$6=INWARDDATA!I101,AB101=0),"TRUE","FALSE")</f>
        <v>FALSE</v>
      </c>
      <c r="Y101" s="29"/>
      <c r="Z101" s="22"/>
      <c r="AA101" s="30"/>
      <c r="AB101" s="30"/>
      <c r="AC101" s="30"/>
      <c r="AD101" s="30"/>
      <c r="AE101" s="30"/>
      <c r="AF101" s="30"/>
      <c r="AG101" s="30"/>
      <c r="AH101" s="30"/>
      <c r="AI101" s="30"/>
      <c r="AJ101" s="31"/>
      <c r="AK101" s="31"/>
      <c r="AL101" s="31"/>
      <c r="AM101" s="31"/>
      <c r="AN101" s="32" t="str">
        <f>+IF(AND('GRADING PACKING'!L$5=INWARDDATA!J101,'GRADING PACKING'!L$6=INWARDDATA!I101,AR101=0),"good","bad")</f>
        <v>bad</v>
      </c>
      <c r="AO101" s="33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86"/>
      <c r="BC101" s="86"/>
      <c r="BD101" s="97">
        <f>Table_15[[#This Row],[Wgt-Bag]]-Table_15[[#This Row],[Total Graded]]-Table_15[[#This Row],[UNDERSIZE]]+0.0011</f>
        <v>50.6511</v>
      </c>
      <c r="BE101" s="86">
        <f>Table_15[[#This Row],[Total Graded]]-Table_15[[#This Row],[Packing Quantity]]+Table_15[[#This Row],[PACKING LOOSE]]</f>
        <v>0</v>
      </c>
      <c r="BF101" s="34">
        <f>IF(Table_15[[#This Row],[GRADED BAGS]]&gt;0,Table_15[[#This Row],[GRADED BAGS]],Table_15[[#This Row],[Bags]])</f>
        <v>0</v>
      </c>
    </row>
    <row r="102" spans="1:58" ht="14.25" hidden="1" customHeight="1" x14ac:dyDescent="0.35">
      <c r="A102" s="22">
        <v>100</v>
      </c>
      <c r="B102" s="22">
        <v>1421</v>
      </c>
      <c r="C102" s="23" t="s">
        <v>181</v>
      </c>
      <c r="D102" s="23">
        <v>16770</v>
      </c>
      <c r="E102" s="24">
        <v>46127.681122685186</v>
      </c>
      <c r="F102" s="23">
        <v>4385</v>
      </c>
      <c r="G102" s="100">
        <v>46127.770057870373</v>
      </c>
      <c r="H102" s="101">
        <v>12385</v>
      </c>
      <c r="I102" s="102" t="s">
        <v>219</v>
      </c>
      <c r="J102" s="102" t="s">
        <v>179</v>
      </c>
      <c r="K102" s="233">
        <v>220</v>
      </c>
      <c r="L102" s="22">
        <v>0.6</v>
      </c>
      <c r="M102" s="25">
        <f t="shared" si="6"/>
        <v>132</v>
      </c>
      <c r="N102" s="25">
        <f t="shared" si="7"/>
        <v>122.53</v>
      </c>
      <c r="O102" s="25">
        <f t="shared" si="8"/>
        <v>0.42</v>
      </c>
      <c r="P102" s="25">
        <f t="shared" si="9"/>
        <v>122.11</v>
      </c>
      <c r="Q102" s="22"/>
      <c r="R102" s="22"/>
      <c r="S102" s="22"/>
      <c r="T102" s="168"/>
      <c r="U102" s="171">
        <f t="shared" si="10"/>
        <v>0</v>
      </c>
      <c r="V102" s="169"/>
      <c r="W102" s="28"/>
      <c r="X102" s="25" t="str">
        <f>+IF(AND('GRADING PACKING'!L$5=INWARDDATA!J102,'GRADING PACKING'!L$6=INWARDDATA!I102,AB102=0),"TRUE","FALSE")</f>
        <v>FALSE</v>
      </c>
      <c r="Y102" s="29"/>
      <c r="Z102" s="22"/>
      <c r="AA102" s="30"/>
      <c r="AB102" s="30"/>
      <c r="AC102" s="30"/>
      <c r="AD102" s="30"/>
      <c r="AE102" s="30"/>
      <c r="AF102" s="30"/>
      <c r="AG102" s="30"/>
      <c r="AH102" s="30"/>
      <c r="AI102" s="30"/>
      <c r="AJ102" s="31"/>
      <c r="AK102" s="31"/>
      <c r="AL102" s="31"/>
      <c r="AM102" s="31"/>
      <c r="AN102" s="32" t="str">
        <f>+IF(AND('GRADING PACKING'!L$5=INWARDDATA!J102,'GRADING PACKING'!L$6=INWARDDATA!I102,AR102=0),"good","bad")</f>
        <v>bad</v>
      </c>
      <c r="AO102" s="33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86"/>
      <c r="BC102" s="86"/>
      <c r="BD102" s="97">
        <f>Table_15[[#This Row],[Wgt-Bag]]-Table_15[[#This Row],[Total Graded]]-Table_15[[#This Row],[UNDERSIZE]]+0.0011</f>
        <v>122.5311</v>
      </c>
      <c r="BE102" s="86">
        <f>Table_15[[#This Row],[Total Graded]]-Table_15[[#This Row],[Packing Quantity]]+Table_15[[#This Row],[PACKING LOOSE]]</f>
        <v>0</v>
      </c>
      <c r="BF102" s="34">
        <f>IF(Table_15[[#This Row],[GRADED BAGS]]&gt;0,Table_15[[#This Row],[GRADED BAGS]],Table_15[[#This Row],[Bags]])</f>
        <v>220</v>
      </c>
    </row>
    <row r="103" spans="1:58" ht="14.25" hidden="1" customHeight="1" x14ac:dyDescent="0.35">
      <c r="A103" s="22">
        <v>101</v>
      </c>
      <c r="B103" s="22">
        <v>1422</v>
      </c>
      <c r="C103" s="23" t="s">
        <v>223</v>
      </c>
      <c r="D103" s="23">
        <v>9135</v>
      </c>
      <c r="E103" s="24">
        <v>46127.719594907408</v>
      </c>
      <c r="F103" s="23">
        <v>4230</v>
      </c>
      <c r="G103" s="100">
        <v>46127.798437500001</v>
      </c>
      <c r="H103" s="101">
        <v>4905</v>
      </c>
      <c r="I103" s="102" t="s">
        <v>199</v>
      </c>
      <c r="J103" s="102" t="s">
        <v>221</v>
      </c>
      <c r="K103" s="233">
        <v>0</v>
      </c>
      <c r="L103" s="22">
        <v>0</v>
      </c>
      <c r="M103" s="25">
        <f t="shared" si="6"/>
        <v>0</v>
      </c>
      <c r="N103" s="25">
        <f t="shared" si="7"/>
        <v>49.05</v>
      </c>
      <c r="O103" s="25">
        <f t="shared" si="8"/>
        <v>0.17</v>
      </c>
      <c r="P103" s="25">
        <f t="shared" si="9"/>
        <v>48.879999999999995</v>
      </c>
      <c r="Q103" s="22"/>
      <c r="R103" s="22"/>
      <c r="S103" s="22"/>
      <c r="T103" s="168"/>
      <c r="U103" s="171">
        <f t="shared" si="10"/>
        <v>0</v>
      </c>
      <c r="V103" s="169"/>
      <c r="W103" s="28"/>
      <c r="X103" s="25" t="str">
        <f>+IF(AND('GRADING PACKING'!L$5=INWARDDATA!J103,'GRADING PACKING'!L$6=INWARDDATA!I103,AB103=0),"TRUE","FALSE")</f>
        <v>FALSE</v>
      </c>
      <c r="Y103" s="29"/>
      <c r="Z103" s="22"/>
      <c r="AA103" s="30"/>
      <c r="AB103" s="30"/>
      <c r="AC103" s="30"/>
      <c r="AD103" s="30"/>
      <c r="AE103" s="30"/>
      <c r="AF103" s="30"/>
      <c r="AG103" s="30"/>
      <c r="AH103" s="30"/>
      <c r="AI103" s="30"/>
      <c r="AJ103" s="31"/>
      <c r="AK103" s="31"/>
      <c r="AL103" s="31"/>
      <c r="AM103" s="31"/>
      <c r="AN103" s="32" t="str">
        <f>+IF(AND('GRADING PACKING'!L$5=INWARDDATA!J103,'GRADING PACKING'!L$6=INWARDDATA!I103,AR103=0),"good","bad")</f>
        <v>bad</v>
      </c>
      <c r="AO103" s="33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86"/>
      <c r="BC103" s="86"/>
      <c r="BD103" s="97">
        <f>Table_15[[#This Row],[Wgt-Bag]]-Table_15[[#This Row],[Total Graded]]-Table_15[[#This Row],[UNDERSIZE]]+0.0011</f>
        <v>49.051099999999998</v>
      </c>
      <c r="BE103" s="86">
        <f>Table_15[[#This Row],[Total Graded]]-Table_15[[#This Row],[Packing Quantity]]+Table_15[[#This Row],[PACKING LOOSE]]</f>
        <v>0</v>
      </c>
      <c r="BF103" s="34">
        <f>IF(Table_15[[#This Row],[GRADED BAGS]]&gt;0,Table_15[[#This Row],[GRADED BAGS]],Table_15[[#This Row],[Bags]])</f>
        <v>0</v>
      </c>
    </row>
    <row r="104" spans="1:58" ht="14.25" hidden="1" customHeight="1" x14ac:dyDescent="0.35">
      <c r="A104" s="22">
        <v>102</v>
      </c>
      <c r="B104" s="22">
        <v>1423</v>
      </c>
      <c r="C104" s="23" t="s">
        <v>178</v>
      </c>
      <c r="D104" s="23">
        <v>17880</v>
      </c>
      <c r="E104" s="24">
        <v>46127.756701388891</v>
      </c>
      <c r="F104" s="23">
        <v>7090</v>
      </c>
      <c r="G104" s="100">
        <v>46127.796134259261</v>
      </c>
      <c r="H104" s="101">
        <v>10790</v>
      </c>
      <c r="I104" s="102" t="s">
        <v>231</v>
      </c>
      <c r="J104" s="102" t="s">
        <v>179</v>
      </c>
      <c r="K104" s="233">
        <v>193</v>
      </c>
      <c r="L104" s="22">
        <v>0.6</v>
      </c>
      <c r="M104" s="25">
        <f t="shared" si="6"/>
        <v>116</v>
      </c>
      <c r="N104" s="25">
        <f t="shared" si="7"/>
        <v>106.74</v>
      </c>
      <c r="O104" s="25">
        <f t="shared" si="8"/>
        <v>0.36</v>
      </c>
      <c r="P104" s="25">
        <f t="shared" si="9"/>
        <v>106.38</v>
      </c>
      <c r="Q104" s="22"/>
      <c r="R104" s="22"/>
      <c r="S104" s="22"/>
      <c r="T104" s="168"/>
      <c r="U104" s="171">
        <f t="shared" si="10"/>
        <v>0</v>
      </c>
      <c r="V104" s="169"/>
      <c r="W104" s="28"/>
      <c r="X104" s="25" t="str">
        <f>+IF(AND('GRADING PACKING'!L$5=INWARDDATA!J104,'GRADING PACKING'!L$6=INWARDDATA!I104,AB104=0),"TRUE","FALSE")</f>
        <v>FALSE</v>
      </c>
      <c r="Y104" s="29"/>
      <c r="Z104" s="22"/>
      <c r="AA104" s="30"/>
      <c r="AB104" s="30"/>
      <c r="AC104" s="30"/>
      <c r="AD104" s="30"/>
      <c r="AE104" s="30"/>
      <c r="AF104" s="30"/>
      <c r="AG104" s="30"/>
      <c r="AH104" s="30"/>
      <c r="AI104" s="30"/>
      <c r="AJ104" s="31"/>
      <c r="AK104" s="31"/>
      <c r="AL104" s="31"/>
      <c r="AM104" s="31"/>
      <c r="AN104" s="32" t="str">
        <f>+IF(AND('GRADING PACKING'!L$5=INWARDDATA!J104,'GRADING PACKING'!L$6=INWARDDATA!I104,AR104=0),"good","bad")</f>
        <v>bad</v>
      </c>
      <c r="AO104" s="33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86"/>
      <c r="BC104" s="86"/>
      <c r="BD104" s="97">
        <f>Table_15[[#This Row],[Wgt-Bag]]-Table_15[[#This Row],[Total Graded]]-Table_15[[#This Row],[UNDERSIZE]]+0.0011</f>
        <v>106.74109999999999</v>
      </c>
      <c r="BE104" s="86">
        <f>Table_15[[#This Row],[Total Graded]]-Table_15[[#This Row],[Packing Quantity]]+Table_15[[#This Row],[PACKING LOOSE]]</f>
        <v>0</v>
      </c>
      <c r="BF104" s="34">
        <f>IF(Table_15[[#This Row],[GRADED BAGS]]&gt;0,Table_15[[#This Row],[GRADED BAGS]],Table_15[[#This Row],[Bags]])</f>
        <v>193</v>
      </c>
    </row>
    <row r="105" spans="1:58" ht="15" hidden="1" customHeight="1" x14ac:dyDescent="0.35">
      <c r="A105" s="22">
        <v>103</v>
      </c>
      <c r="B105" s="22">
        <v>1424</v>
      </c>
      <c r="C105" s="23" t="s">
        <v>178</v>
      </c>
      <c r="D105" s="23">
        <v>7090</v>
      </c>
      <c r="E105" s="24">
        <v>46127.796550925923</v>
      </c>
      <c r="F105" s="23">
        <v>4690</v>
      </c>
      <c r="G105" s="100">
        <v>46127.809791666667</v>
      </c>
      <c r="H105" s="101">
        <v>2400</v>
      </c>
      <c r="I105" s="102" t="s">
        <v>219</v>
      </c>
      <c r="J105" s="102" t="s">
        <v>179</v>
      </c>
      <c r="K105" s="233">
        <v>43</v>
      </c>
      <c r="L105" s="22">
        <v>0.6</v>
      </c>
      <c r="M105" s="25">
        <f t="shared" si="6"/>
        <v>26</v>
      </c>
      <c r="N105" s="25">
        <f t="shared" si="7"/>
        <v>23.74</v>
      </c>
      <c r="O105" s="25">
        <f t="shared" si="8"/>
        <v>0.08</v>
      </c>
      <c r="P105" s="25">
        <f t="shared" si="9"/>
        <v>23.66</v>
      </c>
      <c r="Q105" s="22"/>
      <c r="R105" s="22"/>
      <c r="S105" s="22"/>
      <c r="T105" s="168"/>
      <c r="U105" s="171">
        <f t="shared" si="10"/>
        <v>0</v>
      </c>
      <c r="V105" s="169"/>
      <c r="W105" s="28"/>
      <c r="X105" s="25" t="str">
        <f>+IF(AND('GRADING PACKING'!L$5=INWARDDATA!J105,'GRADING PACKING'!L$6=INWARDDATA!I105,AB105=0),"TRUE","FALSE")</f>
        <v>FALSE</v>
      </c>
      <c r="Y105" s="29"/>
      <c r="Z105" s="22"/>
      <c r="AA105" s="30"/>
      <c r="AB105" s="30"/>
      <c r="AC105" s="30"/>
      <c r="AD105" s="30"/>
      <c r="AE105" s="30"/>
      <c r="AF105" s="30"/>
      <c r="AG105" s="30"/>
      <c r="AH105" s="30"/>
      <c r="AI105" s="30"/>
      <c r="AJ105" s="31"/>
      <c r="AK105" s="31"/>
      <c r="AL105" s="31"/>
      <c r="AM105" s="31"/>
      <c r="AN105" s="32" t="str">
        <f>+IF(AND('GRADING PACKING'!L$5=INWARDDATA!J105,'GRADING PACKING'!L$6=INWARDDATA!I105,AR105=0),"good","bad")</f>
        <v>bad</v>
      </c>
      <c r="AO105" s="33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86"/>
      <c r="BC105" s="86"/>
      <c r="BD105" s="97">
        <f>Table_15[[#This Row],[Wgt-Bag]]-Table_15[[#This Row],[Total Graded]]-Table_15[[#This Row],[UNDERSIZE]]+0.0011</f>
        <v>23.741099999999999</v>
      </c>
      <c r="BE105" s="86">
        <f>Table_15[[#This Row],[Total Graded]]-Table_15[[#This Row],[Packing Quantity]]+Table_15[[#This Row],[PACKING LOOSE]]</f>
        <v>0</v>
      </c>
      <c r="BF105" s="34">
        <f>IF(Table_15[[#This Row],[GRADED BAGS]]&gt;0,Table_15[[#This Row],[GRADED BAGS]],Table_15[[#This Row],[Bags]])</f>
        <v>43</v>
      </c>
    </row>
    <row r="106" spans="1:58" ht="14.25" hidden="1" customHeight="1" x14ac:dyDescent="0.35">
      <c r="A106" s="22">
        <v>104</v>
      </c>
      <c r="B106" s="22">
        <v>1425</v>
      </c>
      <c r="C106" s="23" t="s">
        <v>223</v>
      </c>
      <c r="D106" s="23">
        <v>8380</v>
      </c>
      <c r="E106" s="24">
        <v>46127.803229166668</v>
      </c>
      <c r="F106" s="23">
        <v>4155</v>
      </c>
      <c r="G106" s="100">
        <v>46127.818171296298</v>
      </c>
      <c r="H106" s="101">
        <v>4225</v>
      </c>
      <c r="I106" s="102" t="s">
        <v>199</v>
      </c>
      <c r="J106" s="102" t="s">
        <v>221</v>
      </c>
      <c r="K106" s="233">
        <v>0</v>
      </c>
      <c r="L106" s="22">
        <v>0</v>
      </c>
      <c r="M106" s="25">
        <f t="shared" si="6"/>
        <v>0</v>
      </c>
      <c r="N106" s="25">
        <f t="shared" si="7"/>
        <v>42.25</v>
      </c>
      <c r="O106" s="25">
        <f t="shared" si="8"/>
        <v>0.15000000000000002</v>
      </c>
      <c r="P106" s="25">
        <f t="shared" si="9"/>
        <v>42.1</v>
      </c>
      <c r="Q106" s="22"/>
      <c r="R106" s="22"/>
      <c r="S106" s="22"/>
      <c r="T106" s="168"/>
      <c r="U106" s="171">
        <f t="shared" si="10"/>
        <v>0</v>
      </c>
      <c r="V106" s="169"/>
      <c r="W106" s="28"/>
      <c r="X106" s="25" t="str">
        <f>+IF(AND('GRADING PACKING'!L$5=INWARDDATA!J106,'GRADING PACKING'!L$6=INWARDDATA!I106,AB106=0),"TRUE","FALSE")</f>
        <v>FALSE</v>
      </c>
      <c r="Y106" s="29"/>
      <c r="Z106" s="22"/>
      <c r="AA106" s="30"/>
      <c r="AB106" s="30"/>
      <c r="AC106" s="30"/>
      <c r="AD106" s="30"/>
      <c r="AE106" s="30"/>
      <c r="AF106" s="30"/>
      <c r="AG106" s="30"/>
      <c r="AH106" s="30"/>
      <c r="AI106" s="30"/>
      <c r="AJ106" s="31"/>
      <c r="AK106" s="31"/>
      <c r="AL106" s="31"/>
      <c r="AM106" s="31"/>
      <c r="AN106" s="32" t="str">
        <f>+IF(AND('GRADING PACKING'!L$5=INWARDDATA!J106,'GRADING PACKING'!L$6=INWARDDATA!I106,AR106=0),"good","bad")</f>
        <v>bad</v>
      </c>
      <c r="AO106" s="33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86"/>
      <c r="BC106" s="86"/>
      <c r="BD106" s="97">
        <f>Table_15[[#This Row],[Wgt-Bag]]-Table_15[[#This Row],[Total Graded]]-Table_15[[#This Row],[UNDERSIZE]]+0.0011</f>
        <v>42.251100000000001</v>
      </c>
      <c r="BE106" s="86">
        <f>Table_15[[#This Row],[Total Graded]]-Table_15[[#This Row],[Packing Quantity]]+Table_15[[#This Row],[PACKING LOOSE]]</f>
        <v>0</v>
      </c>
      <c r="BF106" s="34">
        <f>IF(Table_15[[#This Row],[GRADED BAGS]]&gt;0,Table_15[[#This Row],[GRADED BAGS]],Table_15[[#This Row],[Bags]])</f>
        <v>0</v>
      </c>
    </row>
    <row r="107" spans="1:58" ht="14.25" hidden="1" customHeight="1" x14ac:dyDescent="0.35">
      <c r="A107" s="22">
        <v>105</v>
      </c>
      <c r="B107" s="22">
        <v>1426</v>
      </c>
      <c r="C107" s="23" t="s">
        <v>230</v>
      </c>
      <c r="D107" s="23">
        <v>6140</v>
      </c>
      <c r="E107" s="24">
        <v>46127.811666666668</v>
      </c>
      <c r="F107" s="23">
        <v>4095</v>
      </c>
      <c r="G107" s="100">
        <v>46127.832546296297</v>
      </c>
      <c r="H107" s="101">
        <v>2045</v>
      </c>
      <c r="I107" s="102" t="s">
        <v>199</v>
      </c>
      <c r="J107" s="102" t="s">
        <v>221</v>
      </c>
      <c r="K107" s="233">
        <v>0</v>
      </c>
      <c r="L107" s="22">
        <v>0</v>
      </c>
      <c r="M107" s="25">
        <f t="shared" si="6"/>
        <v>0</v>
      </c>
      <c r="N107" s="25">
        <f t="shared" si="7"/>
        <v>20.45</v>
      </c>
      <c r="O107" s="25">
        <f t="shared" si="8"/>
        <v>6.9999999999999993E-2</v>
      </c>
      <c r="P107" s="25">
        <f t="shared" si="9"/>
        <v>20.38</v>
      </c>
      <c r="Q107" s="22"/>
      <c r="R107" s="22"/>
      <c r="S107" s="22"/>
      <c r="T107" s="168"/>
      <c r="U107" s="171">
        <f t="shared" si="10"/>
        <v>0</v>
      </c>
      <c r="V107" s="169"/>
      <c r="W107" s="28"/>
      <c r="X107" s="25" t="str">
        <f>+IF(AND('GRADING PACKING'!L$5=INWARDDATA!J107,'GRADING PACKING'!L$6=INWARDDATA!I107,AB107=0),"TRUE","FALSE")</f>
        <v>FALSE</v>
      </c>
      <c r="Y107" s="29"/>
      <c r="Z107" s="22"/>
      <c r="AA107" s="30"/>
      <c r="AB107" s="30"/>
      <c r="AC107" s="30"/>
      <c r="AD107" s="30"/>
      <c r="AE107" s="30"/>
      <c r="AF107" s="30"/>
      <c r="AG107" s="30"/>
      <c r="AH107" s="30"/>
      <c r="AI107" s="30"/>
      <c r="AJ107" s="31"/>
      <c r="AK107" s="31"/>
      <c r="AL107" s="31"/>
      <c r="AM107" s="31"/>
      <c r="AN107" s="32" t="str">
        <f>+IF(AND('GRADING PACKING'!L$5=INWARDDATA!J107,'GRADING PACKING'!L$6=INWARDDATA!I107,AR107=0),"good","bad")</f>
        <v>bad</v>
      </c>
      <c r="AO107" s="33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86"/>
      <c r="BC107" s="86"/>
      <c r="BD107" s="97">
        <f>Table_15[[#This Row],[Wgt-Bag]]-Table_15[[#This Row],[Total Graded]]-Table_15[[#This Row],[UNDERSIZE]]+0.0011</f>
        <v>20.4511</v>
      </c>
      <c r="BE107" s="86">
        <f>Table_15[[#This Row],[Total Graded]]-Table_15[[#This Row],[Packing Quantity]]+Table_15[[#This Row],[PACKING LOOSE]]</f>
        <v>0</v>
      </c>
      <c r="BF107" s="34">
        <f>IF(Table_15[[#This Row],[GRADED BAGS]]&gt;0,Table_15[[#This Row],[GRADED BAGS]],Table_15[[#This Row],[Bags]])</f>
        <v>0</v>
      </c>
    </row>
    <row r="108" spans="1:58" ht="14.25" hidden="1" customHeight="1" x14ac:dyDescent="0.35">
      <c r="A108" s="22">
        <v>106</v>
      </c>
      <c r="B108" s="22">
        <v>1427</v>
      </c>
      <c r="C108" s="23" t="s">
        <v>232</v>
      </c>
      <c r="D108" s="23">
        <v>8600</v>
      </c>
      <c r="E108" s="24">
        <v>46128.505381944444</v>
      </c>
      <c r="F108" s="23">
        <v>4225</v>
      </c>
      <c r="G108" s="100">
        <v>46128.567453703705</v>
      </c>
      <c r="H108" s="101">
        <v>4375</v>
      </c>
      <c r="I108" s="102" t="s">
        <v>199</v>
      </c>
      <c r="J108" s="102" t="s">
        <v>191</v>
      </c>
      <c r="K108" s="233">
        <v>0</v>
      </c>
      <c r="L108" s="22">
        <v>0</v>
      </c>
      <c r="M108" s="25">
        <f t="shared" si="6"/>
        <v>0</v>
      </c>
      <c r="N108" s="25">
        <f t="shared" si="7"/>
        <v>43.75</v>
      </c>
      <c r="O108" s="25">
        <f t="shared" si="8"/>
        <v>0.15000000000000002</v>
      </c>
      <c r="P108" s="25">
        <f t="shared" si="9"/>
        <v>43.6</v>
      </c>
      <c r="Q108" s="22"/>
      <c r="R108" s="22"/>
      <c r="S108" s="22"/>
      <c r="T108" s="168"/>
      <c r="U108" s="171">
        <f t="shared" si="10"/>
        <v>0</v>
      </c>
      <c r="V108" s="169"/>
      <c r="W108" s="28"/>
      <c r="X108" s="25" t="str">
        <f>+IF(AND('GRADING PACKING'!L$5=INWARDDATA!J108,'GRADING PACKING'!L$6=INWARDDATA!I108,AB108=0),"TRUE","FALSE")</f>
        <v>FALSE</v>
      </c>
      <c r="Y108" s="29"/>
      <c r="Z108" s="22"/>
      <c r="AA108" s="30"/>
      <c r="AB108" s="30"/>
      <c r="AC108" s="30"/>
      <c r="AD108" s="30"/>
      <c r="AE108" s="30"/>
      <c r="AF108" s="30"/>
      <c r="AG108" s="30"/>
      <c r="AH108" s="30"/>
      <c r="AI108" s="30"/>
      <c r="AJ108" s="31"/>
      <c r="AK108" s="31"/>
      <c r="AL108" s="31"/>
      <c r="AM108" s="31"/>
      <c r="AN108" s="32" t="str">
        <f>+IF(AND('GRADING PACKING'!L$5=INWARDDATA!J108,'GRADING PACKING'!L$6=INWARDDATA!I108,AR108=0),"good","bad")</f>
        <v>bad</v>
      </c>
      <c r="AO108" s="33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86"/>
      <c r="BC108" s="86"/>
      <c r="BD108" s="97">
        <f>Table_15[[#This Row],[Wgt-Bag]]-Table_15[[#This Row],[Total Graded]]-Table_15[[#This Row],[UNDERSIZE]]+0.0011</f>
        <v>43.751100000000001</v>
      </c>
      <c r="BE108" s="86">
        <f>Table_15[[#This Row],[Total Graded]]-Table_15[[#This Row],[Packing Quantity]]+Table_15[[#This Row],[PACKING LOOSE]]</f>
        <v>0</v>
      </c>
      <c r="BF108" s="34">
        <f>IF(Table_15[[#This Row],[GRADED BAGS]]&gt;0,Table_15[[#This Row],[GRADED BAGS]],Table_15[[#This Row],[Bags]])</f>
        <v>0</v>
      </c>
    </row>
    <row r="109" spans="1:58" ht="14.25" hidden="1" customHeight="1" x14ac:dyDescent="0.35">
      <c r="A109" s="22">
        <v>107</v>
      </c>
      <c r="B109" s="22">
        <v>1428</v>
      </c>
      <c r="C109" s="23" t="s">
        <v>233</v>
      </c>
      <c r="D109" s="23">
        <v>7490</v>
      </c>
      <c r="E109" s="24">
        <v>46128.507060185184</v>
      </c>
      <c r="F109" s="23">
        <v>3830</v>
      </c>
      <c r="G109" s="100">
        <v>46128.55537037037</v>
      </c>
      <c r="H109" s="101">
        <v>3660</v>
      </c>
      <c r="I109" s="102" t="s">
        <v>199</v>
      </c>
      <c r="J109" s="102" t="s">
        <v>191</v>
      </c>
      <c r="K109" s="233">
        <v>0</v>
      </c>
      <c r="L109" s="22">
        <v>0</v>
      </c>
      <c r="M109" s="25">
        <f t="shared" si="6"/>
        <v>0</v>
      </c>
      <c r="N109" s="25">
        <f t="shared" si="7"/>
        <v>36.6</v>
      </c>
      <c r="O109" s="25">
        <f t="shared" si="8"/>
        <v>0.13</v>
      </c>
      <c r="P109" s="25">
        <f t="shared" si="9"/>
        <v>36.47</v>
      </c>
      <c r="Q109" s="22"/>
      <c r="R109" s="22"/>
      <c r="S109" s="22"/>
      <c r="T109" s="168"/>
      <c r="U109" s="171">
        <f t="shared" si="10"/>
        <v>0</v>
      </c>
      <c r="V109" s="169"/>
      <c r="W109" s="28"/>
      <c r="X109" s="25" t="str">
        <f>+IF(AND('GRADING PACKING'!L$5=INWARDDATA!J109,'GRADING PACKING'!L$6=INWARDDATA!I109,AB109=0),"TRUE","FALSE")</f>
        <v>FALSE</v>
      </c>
      <c r="Y109" s="29"/>
      <c r="Z109" s="22"/>
      <c r="AA109" s="30"/>
      <c r="AB109" s="30"/>
      <c r="AC109" s="30"/>
      <c r="AD109" s="30"/>
      <c r="AE109" s="30"/>
      <c r="AF109" s="30"/>
      <c r="AG109" s="30"/>
      <c r="AH109" s="30"/>
      <c r="AI109" s="30"/>
      <c r="AJ109" s="31"/>
      <c r="AK109" s="31"/>
      <c r="AL109" s="31"/>
      <c r="AM109" s="31"/>
      <c r="AN109" s="32" t="str">
        <f>+IF(AND('GRADING PACKING'!L$5=INWARDDATA!J109,'GRADING PACKING'!L$6=INWARDDATA!I109,AR109=0),"good","bad")</f>
        <v>bad</v>
      </c>
      <c r="AO109" s="33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86"/>
      <c r="BC109" s="86"/>
      <c r="BD109" s="97">
        <f>Table_15[[#This Row],[Wgt-Bag]]-Table_15[[#This Row],[Total Graded]]-Table_15[[#This Row],[UNDERSIZE]]+0.0011</f>
        <v>36.601100000000002</v>
      </c>
      <c r="BE109" s="86">
        <f>Table_15[[#This Row],[Total Graded]]-Table_15[[#This Row],[Packing Quantity]]+Table_15[[#This Row],[PACKING LOOSE]]</f>
        <v>0</v>
      </c>
      <c r="BF109" s="34">
        <f>IF(Table_15[[#This Row],[GRADED BAGS]]&gt;0,Table_15[[#This Row],[GRADED BAGS]],Table_15[[#This Row],[Bags]])</f>
        <v>0</v>
      </c>
    </row>
    <row r="110" spans="1:58" ht="14.25" hidden="1" customHeight="1" x14ac:dyDescent="0.35">
      <c r="A110" s="22">
        <v>108</v>
      </c>
      <c r="B110" s="22">
        <v>1429</v>
      </c>
      <c r="C110" s="23" t="s">
        <v>234</v>
      </c>
      <c r="D110" s="23">
        <v>16945</v>
      </c>
      <c r="E110" s="24">
        <v>46128.568842592591</v>
      </c>
      <c r="F110" s="23">
        <v>5040</v>
      </c>
      <c r="G110" s="100">
        <v>46128.647048611114</v>
      </c>
      <c r="H110" s="101">
        <v>11905</v>
      </c>
      <c r="I110" s="102" t="s">
        <v>199</v>
      </c>
      <c r="J110" s="102" t="s">
        <v>191</v>
      </c>
      <c r="K110" s="233">
        <v>0</v>
      </c>
      <c r="L110" s="22">
        <v>0</v>
      </c>
      <c r="M110" s="25">
        <f t="shared" si="6"/>
        <v>0</v>
      </c>
      <c r="N110" s="25">
        <f t="shared" si="7"/>
        <v>119.05</v>
      </c>
      <c r="O110" s="25">
        <f t="shared" si="8"/>
        <v>0.4</v>
      </c>
      <c r="P110" s="25">
        <f t="shared" si="9"/>
        <v>118.64999999999999</v>
      </c>
      <c r="Q110" s="22"/>
      <c r="R110" s="22"/>
      <c r="S110" s="22"/>
      <c r="T110" s="168"/>
      <c r="U110" s="171">
        <f t="shared" si="10"/>
        <v>0</v>
      </c>
      <c r="V110" s="169"/>
      <c r="W110" s="28"/>
      <c r="X110" s="25" t="str">
        <f>+IF(AND('GRADING PACKING'!L$5=INWARDDATA!J110,'GRADING PACKING'!L$6=INWARDDATA!I110,AB110=0),"TRUE","FALSE")</f>
        <v>FALSE</v>
      </c>
      <c r="Y110" s="29"/>
      <c r="Z110" s="22"/>
      <c r="AA110" s="30"/>
      <c r="AB110" s="30"/>
      <c r="AC110" s="30"/>
      <c r="AD110" s="30"/>
      <c r="AE110" s="30"/>
      <c r="AF110" s="30"/>
      <c r="AG110" s="30"/>
      <c r="AH110" s="30"/>
      <c r="AI110" s="30"/>
      <c r="AJ110" s="31"/>
      <c r="AK110" s="31"/>
      <c r="AL110" s="31"/>
      <c r="AM110" s="31"/>
      <c r="AN110" s="32" t="str">
        <f>+IF(AND('GRADING PACKING'!L$5=INWARDDATA!J110,'GRADING PACKING'!L$6=INWARDDATA!I110,AR110=0),"good","bad")</f>
        <v>bad</v>
      </c>
      <c r="AO110" s="33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86"/>
      <c r="BC110" s="86"/>
      <c r="BD110" s="97">
        <f>Table_15[[#This Row],[Wgt-Bag]]-Table_15[[#This Row],[Total Graded]]-Table_15[[#This Row],[UNDERSIZE]]+0.0011</f>
        <v>119.05109999999999</v>
      </c>
      <c r="BE110" s="86">
        <f>Table_15[[#This Row],[Total Graded]]-Table_15[[#This Row],[Packing Quantity]]+Table_15[[#This Row],[PACKING LOOSE]]</f>
        <v>0</v>
      </c>
      <c r="BF110" s="34">
        <f>IF(Table_15[[#This Row],[GRADED BAGS]]&gt;0,Table_15[[#This Row],[GRADED BAGS]],Table_15[[#This Row],[Bags]])</f>
        <v>0</v>
      </c>
    </row>
    <row r="111" spans="1:58" ht="14.25" hidden="1" customHeight="1" x14ac:dyDescent="0.35">
      <c r="A111" s="22">
        <v>109</v>
      </c>
      <c r="B111" s="22">
        <v>1430</v>
      </c>
      <c r="C111" s="23" t="s">
        <v>189</v>
      </c>
      <c r="D111" s="23">
        <v>16625</v>
      </c>
      <c r="E111" s="24">
        <v>46128.648217592592</v>
      </c>
      <c r="F111" s="23">
        <v>4335</v>
      </c>
      <c r="G111" s="100">
        <v>46128.735543981478</v>
      </c>
      <c r="H111" s="101">
        <v>12290</v>
      </c>
      <c r="I111" s="102" t="s">
        <v>199</v>
      </c>
      <c r="J111" s="102" t="s">
        <v>191</v>
      </c>
      <c r="K111" s="233">
        <v>0</v>
      </c>
      <c r="L111" s="22">
        <v>0</v>
      </c>
      <c r="M111" s="25">
        <f t="shared" si="6"/>
        <v>0</v>
      </c>
      <c r="N111" s="25">
        <f t="shared" si="7"/>
        <v>122.9</v>
      </c>
      <c r="O111" s="25">
        <f t="shared" si="8"/>
        <v>0.41000000000000003</v>
      </c>
      <c r="P111" s="25">
        <f t="shared" si="9"/>
        <v>122.49000000000001</v>
      </c>
      <c r="Q111" s="22"/>
      <c r="R111" s="22"/>
      <c r="S111" s="22"/>
      <c r="T111" s="168"/>
      <c r="U111" s="171">
        <f t="shared" si="10"/>
        <v>0</v>
      </c>
      <c r="V111" s="169"/>
      <c r="W111" s="28"/>
      <c r="X111" s="25" t="str">
        <f>+IF(AND('GRADING PACKING'!L$5=INWARDDATA!J111,'GRADING PACKING'!L$6=INWARDDATA!I111,AB111=0),"TRUE","FALSE")</f>
        <v>FALSE</v>
      </c>
      <c r="Y111" s="29"/>
      <c r="Z111" s="22"/>
      <c r="AA111" s="30"/>
      <c r="AB111" s="30"/>
      <c r="AC111" s="30"/>
      <c r="AD111" s="30"/>
      <c r="AE111" s="30"/>
      <c r="AF111" s="30"/>
      <c r="AG111" s="30"/>
      <c r="AH111" s="30"/>
      <c r="AI111" s="30"/>
      <c r="AJ111" s="31"/>
      <c r="AK111" s="31"/>
      <c r="AL111" s="31"/>
      <c r="AM111" s="31"/>
      <c r="AN111" s="32" t="str">
        <f>+IF(AND('GRADING PACKING'!L$5=INWARDDATA!J111,'GRADING PACKING'!L$6=INWARDDATA!I111,AR111=0),"good","bad")</f>
        <v>bad</v>
      </c>
      <c r="AO111" s="33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86"/>
      <c r="BC111" s="86"/>
      <c r="BD111" s="97">
        <f>Table_15[[#This Row],[Wgt-Bag]]-Table_15[[#This Row],[Total Graded]]-Table_15[[#This Row],[UNDERSIZE]]+0.0011</f>
        <v>122.9011</v>
      </c>
      <c r="BE111" s="86">
        <f>Table_15[[#This Row],[Total Graded]]-Table_15[[#This Row],[Packing Quantity]]+Table_15[[#This Row],[PACKING LOOSE]]</f>
        <v>0</v>
      </c>
      <c r="BF111" s="34">
        <f>IF(Table_15[[#This Row],[GRADED BAGS]]&gt;0,Table_15[[#This Row],[GRADED BAGS]],Table_15[[#This Row],[Bags]])</f>
        <v>0</v>
      </c>
    </row>
    <row r="112" spans="1:58" ht="14.25" hidden="1" customHeight="1" x14ac:dyDescent="0.35">
      <c r="A112" s="22">
        <v>110</v>
      </c>
      <c r="B112" s="22">
        <v>1431</v>
      </c>
      <c r="C112" s="23" t="s">
        <v>235</v>
      </c>
      <c r="D112" s="23">
        <v>10520</v>
      </c>
      <c r="E112" s="24">
        <v>46128.701550925929</v>
      </c>
      <c r="F112" s="23">
        <v>4540</v>
      </c>
      <c r="G112" s="100">
        <v>46128.767939814818</v>
      </c>
      <c r="H112" s="101">
        <v>5980</v>
      </c>
      <c r="I112" s="102" t="s">
        <v>199</v>
      </c>
      <c r="J112" s="102" t="s">
        <v>191</v>
      </c>
      <c r="K112" s="233">
        <v>0</v>
      </c>
      <c r="L112" s="22">
        <v>0</v>
      </c>
      <c r="M112" s="25">
        <f t="shared" si="6"/>
        <v>0</v>
      </c>
      <c r="N112" s="25">
        <f t="shared" si="7"/>
        <v>59.8</v>
      </c>
      <c r="O112" s="25">
        <f t="shared" si="8"/>
        <v>0.2</v>
      </c>
      <c r="P112" s="25">
        <f t="shared" si="9"/>
        <v>59.599999999999994</v>
      </c>
      <c r="Q112" s="22"/>
      <c r="R112" s="22"/>
      <c r="S112" s="22"/>
      <c r="T112" s="168"/>
      <c r="U112" s="171">
        <f t="shared" si="10"/>
        <v>0</v>
      </c>
      <c r="V112" s="169"/>
      <c r="W112" s="28"/>
      <c r="X112" s="25" t="str">
        <f>+IF(AND('GRADING PACKING'!L$5=INWARDDATA!J112,'GRADING PACKING'!L$6=INWARDDATA!I112,AB112=0),"TRUE","FALSE")</f>
        <v>FALSE</v>
      </c>
      <c r="Y112" s="29"/>
      <c r="Z112" s="22"/>
      <c r="AA112" s="30"/>
      <c r="AB112" s="30"/>
      <c r="AC112" s="30"/>
      <c r="AD112" s="30"/>
      <c r="AE112" s="30"/>
      <c r="AF112" s="30"/>
      <c r="AG112" s="30"/>
      <c r="AH112" s="30"/>
      <c r="AI112" s="30"/>
      <c r="AJ112" s="31"/>
      <c r="AK112" s="31"/>
      <c r="AL112" s="31"/>
      <c r="AM112" s="31"/>
      <c r="AN112" s="32" t="str">
        <f>+IF(AND('GRADING PACKING'!L$5=INWARDDATA!J112,'GRADING PACKING'!L$6=INWARDDATA!I112,AR112=0),"good","bad")</f>
        <v>bad</v>
      </c>
      <c r="AO112" s="33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86"/>
      <c r="BC112" s="86"/>
      <c r="BD112" s="97">
        <f>Table_15[[#This Row],[Wgt-Bag]]-Table_15[[#This Row],[Total Graded]]-Table_15[[#This Row],[UNDERSIZE]]+0.0011</f>
        <v>59.801099999999998</v>
      </c>
      <c r="BE112" s="86">
        <f>Table_15[[#This Row],[Total Graded]]-Table_15[[#This Row],[Packing Quantity]]+Table_15[[#This Row],[PACKING LOOSE]]</f>
        <v>0</v>
      </c>
      <c r="BF112" s="34">
        <f>IF(Table_15[[#This Row],[GRADED BAGS]]&gt;0,Table_15[[#This Row],[GRADED BAGS]],Table_15[[#This Row],[Bags]])</f>
        <v>0</v>
      </c>
    </row>
    <row r="113" spans="1:58" ht="14.25" hidden="1" customHeight="1" x14ac:dyDescent="0.35">
      <c r="A113" s="22">
        <v>111</v>
      </c>
      <c r="B113" s="22">
        <v>1432</v>
      </c>
      <c r="C113" s="23" t="s">
        <v>181</v>
      </c>
      <c r="D113" s="23">
        <v>17170</v>
      </c>
      <c r="E113" s="24">
        <v>46128.72865740741</v>
      </c>
      <c r="F113" s="23">
        <v>4390</v>
      </c>
      <c r="G113" s="100">
        <v>46128.809756944444</v>
      </c>
      <c r="H113" s="101">
        <v>12780</v>
      </c>
      <c r="I113" s="102" t="s">
        <v>231</v>
      </c>
      <c r="J113" s="102" t="s">
        <v>179</v>
      </c>
      <c r="K113" s="233">
        <v>230</v>
      </c>
      <c r="L113" s="22">
        <v>0.6</v>
      </c>
      <c r="M113" s="25">
        <f t="shared" si="6"/>
        <v>138</v>
      </c>
      <c r="N113" s="25">
        <f t="shared" si="7"/>
        <v>126.42</v>
      </c>
      <c r="O113" s="25">
        <f t="shared" si="8"/>
        <v>0.43</v>
      </c>
      <c r="P113" s="25">
        <f t="shared" si="9"/>
        <v>125.99</v>
      </c>
      <c r="Q113" s="22"/>
      <c r="R113" s="22"/>
      <c r="S113" s="22"/>
      <c r="T113" s="168"/>
      <c r="U113" s="171">
        <f t="shared" si="10"/>
        <v>0</v>
      </c>
      <c r="V113" s="169"/>
      <c r="W113" s="28"/>
      <c r="X113" s="25" t="str">
        <f>+IF(AND('GRADING PACKING'!L$5=INWARDDATA!J113,'GRADING PACKING'!L$6=INWARDDATA!I113,AB113=0),"TRUE","FALSE")</f>
        <v>FALSE</v>
      </c>
      <c r="Y113" s="29"/>
      <c r="Z113" s="22"/>
      <c r="AA113" s="30"/>
      <c r="AB113" s="30"/>
      <c r="AC113" s="30"/>
      <c r="AD113" s="30"/>
      <c r="AE113" s="30"/>
      <c r="AF113" s="30"/>
      <c r="AG113" s="30"/>
      <c r="AH113" s="30"/>
      <c r="AI113" s="30"/>
      <c r="AJ113" s="31"/>
      <c r="AK113" s="31"/>
      <c r="AL113" s="31"/>
      <c r="AM113" s="31"/>
      <c r="AN113" s="32" t="str">
        <f>+IF(AND('GRADING PACKING'!L$5=INWARDDATA!J113,'GRADING PACKING'!L$6=INWARDDATA!I113,AR113=0),"good","bad")</f>
        <v>bad</v>
      </c>
      <c r="AO113" s="33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86"/>
      <c r="BC113" s="86"/>
      <c r="BD113" s="97">
        <f>Table_15[[#This Row],[Wgt-Bag]]-Table_15[[#This Row],[Total Graded]]-Table_15[[#This Row],[UNDERSIZE]]+0.0011</f>
        <v>126.4211</v>
      </c>
      <c r="BE113" s="86">
        <f>Table_15[[#This Row],[Total Graded]]-Table_15[[#This Row],[Packing Quantity]]+Table_15[[#This Row],[PACKING LOOSE]]</f>
        <v>0</v>
      </c>
      <c r="BF113" s="34">
        <f>IF(Table_15[[#This Row],[GRADED BAGS]]&gt;0,Table_15[[#This Row],[GRADED BAGS]],Table_15[[#This Row],[Bags]])</f>
        <v>230</v>
      </c>
    </row>
    <row r="114" spans="1:58" ht="14.25" hidden="1" customHeight="1" x14ac:dyDescent="0.35">
      <c r="A114" s="22">
        <v>112</v>
      </c>
      <c r="B114" s="22">
        <v>1433</v>
      </c>
      <c r="C114" s="23" t="s">
        <v>178</v>
      </c>
      <c r="D114" s="23">
        <v>18020</v>
      </c>
      <c r="E114" s="24">
        <v>46128.816250000003</v>
      </c>
      <c r="F114" s="23">
        <v>4880</v>
      </c>
      <c r="G114" s="100">
        <v>46128.854803240742</v>
      </c>
      <c r="H114" s="101">
        <v>13140</v>
      </c>
      <c r="I114" s="102" t="s">
        <v>231</v>
      </c>
      <c r="J114" s="102" t="s">
        <v>179</v>
      </c>
      <c r="K114" s="233">
        <v>235</v>
      </c>
      <c r="L114" s="22">
        <v>0.6</v>
      </c>
      <c r="M114" s="25">
        <f t="shared" si="6"/>
        <v>141</v>
      </c>
      <c r="N114" s="25">
        <f t="shared" si="7"/>
        <v>129.99</v>
      </c>
      <c r="O114" s="25">
        <f t="shared" si="8"/>
        <v>0.44</v>
      </c>
      <c r="P114" s="25">
        <f t="shared" si="9"/>
        <v>129.55000000000001</v>
      </c>
      <c r="Q114" s="22"/>
      <c r="R114" s="22"/>
      <c r="S114" s="22"/>
      <c r="T114" s="168"/>
      <c r="U114" s="171">
        <f t="shared" si="10"/>
        <v>0</v>
      </c>
      <c r="V114" s="169"/>
      <c r="W114" s="28"/>
      <c r="X114" s="25" t="str">
        <f>+IF(AND('GRADING PACKING'!L$5=INWARDDATA!J114,'GRADING PACKING'!L$6=INWARDDATA!I114,AB114=0),"TRUE","FALSE")</f>
        <v>FALSE</v>
      </c>
      <c r="Y114" s="29"/>
      <c r="Z114" s="22"/>
      <c r="AA114" s="30"/>
      <c r="AB114" s="30"/>
      <c r="AC114" s="30"/>
      <c r="AD114" s="30"/>
      <c r="AE114" s="30"/>
      <c r="AF114" s="30"/>
      <c r="AG114" s="30"/>
      <c r="AH114" s="30"/>
      <c r="AI114" s="30"/>
      <c r="AJ114" s="31"/>
      <c r="AK114" s="31"/>
      <c r="AL114" s="31"/>
      <c r="AM114" s="31"/>
      <c r="AN114" s="32" t="str">
        <f>+IF(AND('GRADING PACKING'!L$5=INWARDDATA!J114,'GRADING PACKING'!L$6=INWARDDATA!I114,AR114=0),"good","bad")</f>
        <v>bad</v>
      </c>
      <c r="AO114" s="33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86"/>
      <c r="BC114" s="86"/>
      <c r="BD114" s="97">
        <f>Table_15[[#This Row],[Wgt-Bag]]-Table_15[[#This Row],[Total Graded]]-Table_15[[#This Row],[UNDERSIZE]]+0.0011</f>
        <v>129.99110000000002</v>
      </c>
      <c r="BE114" s="86">
        <f>Table_15[[#This Row],[Total Graded]]-Table_15[[#This Row],[Packing Quantity]]+Table_15[[#This Row],[PACKING LOOSE]]</f>
        <v>0</v>
      </c>
      <c r="BF114" s="34">
        <f>IF(Table_15[[#This Row],[GRADED BAGS]]&gt;0,Table_15[[#This Row],[GRADED BAGS]],Table_15[[#This Row],[Bags]])</f>
        <v>235</v>
      </c>
    </row>
    <row r="115" spans="1:58" ht="14.25" hidden="1" customHeight="1" x14ac:dyDescent="0.35">
      <c r="A115" s="22">
        <v>113</v>
      </c>
      <c r="B115" s="22">
        <v>1435</v>
      </c>
      <c r="C115" s="23" t="s">
        <v>234</v>
      </c>
      <c r="D115" s="23">
        <v>16615</v>
      </c>
      <c r="E115" s="24">
        <v>46129.50199074074</v>
      </c>
      <c r="F115" s="23">
        <v>5035</v>
      </c>
      <c r="G115" s="100">
        <v>46129.611226851855</v>
      </c>
      <c r="H115" s="101">
        <v>11580</v>
      </c>
      <c r="I115" s="102" t="s">
        <v>199</v>
      </c>
      <c r="J115" s="102" t="s">
        <v>191</v>
      </c>
      <c r="K115" s="233">
        <v>0</v>
      </c>
      <c r="L115" s="22">
        <v>0</v>
      </c>
      <c r="M115" s="25">
        <f t="shared" si="6"/>
        <v>0</v>
      </c>
      <c r="N115" s="25">
        <f t="shared" si="7"/>
        <v>115.8</v>
      </c>
      <c r="O115" s="25">
        <f t="shared" si="8"/>
        <v>0.39</v>
      </c>
      <c r="P115" s="25">
        <f t="shared" si="9"/>
        <v>115.41</v>
      </c>
      <c r="Q115" s="22"/>
      <c r="R115" s="22"/>
      <c r="S115" s="22"/>
      <c r="T115" s="168"/>
      <c r="U115" s="171">
        <f t="shared" si="10"/>
        <v>0</v>
      </c>
      <c r="V115" s="169"/>
      <c r="W115" s="28"/>
      <c r="X115" s="25" t="str">
        <f>+IF(AND('GRADING PACKING'!L$5=INWARDDATA!J115,'GRADING PACKING'!L$6=INWARDDATA!I115,AB115=0),"TRUE","FALSE")</f>
        <v>FALSE</v>
      </c>
      <c r="Y115" s="29"/>
      <c r="Z115" s="22"/>
      <c r="AA115" s="30"/>
      <c r="AB115" s="30"/>
      <c r="AC115" s="30"/>
      <c r="AD115" s="30"/>
      <c r="AE115" s="30"/>
      <c r="AF115" s="30"/>
      <c r="AG115" s="30"/>
      <c r="AH115" s="30"/>
      <c r="AI115" s="30"/>
      <c r="AJ115" s="31"/>
      <c r="AK115" s="31"/>
      <c r="AL115" s="31"/>
      <c r="AM115" s="31"/>
      <c r="AN115" s="32" t="str">
        <f>+IF(AND('GRADING PACKING'!L$5=INWARDDATA!J115,'GRADING PACKING'!L$6=INWARDDATA!I115,AR115=0),"good","bad")</f>
        <v>bad</v>
      </c>
      <c r="AO115" s="33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86"/>
      <c r="BC115" s="86"/>
      <c r="BD115" s="97">
        <f>Table_15[[#This Row],[Wgt-Bag]]-Table_15[[#This Row],[Total Graded]]-Table_15[[#This Row],[UNDERSIZE]]+0.0011</f>
        <v>115.80109999999999</v>
      </c>
      <c r="BE115" s="86">
        <f>Table_15[[#This Row],[Total Graded]]-Table_15[[#This Row],[Packing Quantity]]+Table_15[[#This Row],[PACKING LOOSE]]</f>
        <v>0</v>
      </c>
      <c r="BF115" s="34">
        <f>IF(Table_15[[#This Row],[GRADED BAGS]]&gt;0,Table_15[[#This Row],[GRADED BAGS]],Table_15[[#This Row],[Bags]])</f>
        <v>0</v>
      </c>
    </row>
    <row r="116" spans="1:58" ht="14.25" hidden="1" customHeight="1" x14ac:dyDescent="0.35">
      <c r="A116" s="22">
        <v>114</v>
      </c>
      <c r="B116" s="22">
        <v>1436</v>
      </c>
      <c r="C116" s="23" t="s">
        <v>236</v>
      </c>
      <c r="D116" s="23">
        <v>7965</v>
      </c>
      <c r="E116" s="24">
        <v>46129.585046296299</v>
      </c>
      <c r="F116" s="23">
        <v>3835</v>
      </c>
      <c r="G116" s="100">
        <v>46129.632581018515</v>
      </c>
      <c r="H116" s="101">
        <v>4130</v>
      </c>
      <c r="I116" s="102" t="s">
        <v>199</v>
      </c>
      <c r="J116" s="102" t="s">
        <v>191</v>
      </c>
      <c r="K116" s="233">
        <v>0</v>
      </c>
      <c r="L116" s="22">
        <v>0</v>
      </c>
      <c r="M116" s="25">
        <f t="shared" si="6"/>
        <v>0</v>
      </c>
      <c r="N116" s="25">
        <f t="shared" si="7"/>
        <v>41.3</v>
      </c>
      <c r="O116" s="25">
        <f t="shared" si="8"/>
        <v>0.14000000000000001</v>
      </c>
      <c r="P116" s="25">
        <f t="shared" si="9"/>
        <v>41.16</v>
      </c>
      <c r="Q116" s="22"/>
      <c r="R116" s="22"/>
      <c r="S116" s="22"/>
      <c r="T116" s="168"/>
      <c r="U116" s="171">
        <f t="shared" si="10"/>
        <v>0</v>
      </c>
      <c r="V116" s="169"/>
      <c r="W116" s="28"/>
      <c r="X116" s="25" t="str">
        <f>+IF(AND('GRADING PACKING'!L$5=INWARDDATA!J116,'GRADING PACKING'!L$6=INWARDDATA!I116,AB116=0),"TRUE","FALSE")</f>
        <v>FALSE</v>
      </c>
      <c r="Y116" s="29"/>
      <c r="Z116" s="22"/>
      <c r="AA116" s="30"/>
      <c r="AB116" s="30"/>
      <c r="AC116" s="30"/>
      <c r="AD116" s="30"/>
      <c r="AE116" s="30"/>
      <c r="AF116" s="30"/>
      <c r="AG116" s="30"/>
      <c r="AH116" s="30"/>
      <c r="AI116" s="30"/>
      <c r="AJ116" s="31"/>
      <c r="AK116" s="31"/>
      <c r="AL116" s="31"/>
      <c r="AM116" s="31"/>
      <c r="AN116" s="32" t="str">
        <f>+IF(AND('GRADING PACKING'!L$5=INWARDDATA!J116,'GRADING PACKING'!L$6=INWARDDATA!I116,AR116=0),"good","bad")</f>
        <v>bad</v>
      </c>
      <c r="AO116" s="33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86"/>
      <c r="BC116" s="86"/>
      <c r="BD116" s="97">
        <f>Table_15[[#This Row],[Wgt-Bag]]-Table_15[[#This Row],[Total Graded]]-Table_15[[#This Row],[UNDERSIZE]]+0.0011</f>
        <v>41.301099999999998</v>
      </c>
      <c r="BE116" s="86">
        <f>Table_15[[#This Row],[Total Graded]]-Table_15[[#This Row],[Packing Quantity]]+Table_15[[#This Row],[PACKING LOOSE]]</f>
        <v>0</v>
      </c>
      <c r="BF116" s="34">
        <f>IF(Table_15[[#This Row],[GRADED BAGS]]&gt;0,Table_15[[#This Row],[GRADED BAGS]],Table_15[[#This Row],[Bags]])</f>
        <v>0</v>
      </c>
    </row>
    <row r="117" spans="1:58" ht="14.25" hidden="1" customHeight="1" x14ac:dyDescent="0.35">
      <c r="A117" s="22">
        <v>115</v>
      </c>
      <c r="B117" s="22">
        <v>1437</v>
      </c>
      <c r="C117" s="23" t="s">
        <v>181</v>
      </c>
      <c r="D117" s="23">
        <v>15930</v>
      </c>
      <c r="E117" s="24">
        <v>46129.598692129628</v>
      </c>
      <c r="F117" s="23">
        <v>4390</v>
      </c>
      <c r="G117" s="100">
        <v>46129.742106481484</v>
      </c>
      <c r="H117" s="101">
        <v>11540</v>
      </c>
      <c r="I117" s="102" t="s">
        <v>199</v>
      </c>
      <c r="J117" s="102" t="s">
        <v>237</v>
      </c>
      <c r="K117" s="233">
        <v>0</v>
      </c>
      <c r="L117" s="22">
        <v>0</v>
      </c>
      <c r="M117" s="25">
        <f t="shared" si="6"/>
        <v>0</v>
      </c>
      <c r="N117" s="25">
        <f t="shared" si="7"/>
        <v>115.4</v>
      </c>
      <c r="O117" s="25">
        <f t="shared" si="8"/>
        <v>0.39</v>
      </c>
      <c r="P117" s="25">
        <f t="shared" si="9"/>
        <v>115.01</v>
      </c>
      <c r="Q117" s="22"/>
      <c r="R117" s="22"/>
      <c r="S117" s="22"/>
      <c r="T117" s="168"/>
      <c r="U117" s="171">
        <f t="shared" si="10"/>
        <v>0</v>
      </c>
      <c r="V117" s="169"/>
      <c r="W117" s="28"/>
      <c r="X117" s="25" t="str">
        <f>+IF(AND('GRADING PACKING'!L$5=INWARDDATA!J117,'GRADING PACKING'!L$6=INWARDDATA!I117,AB117=0),"TRUE","FALSE")</f>
        <v>FALSE</v>
      </c>
      <c r="Y117" s="29">
        <v>46130</v>
      </c>
      <c r="Z117" s="22" t="s">
        <v>237</v>
      </c>
      <c r="AA117" s="30" t="s">
        <v>199</v>
      </c>
      <c r="AB117" s="30">
        <v>342</v>
      </c>
      <c r="AC117" s="30">
        <v>573</v>
      </c>
      <c r="AD117" s="30">
        <v>55</v>
      </c>
      <c r="AE117" s="30">
        <v>315.14999999999998</v>
      </c>
      <c r="AF117" s="30">
        <v>0</v>
      </c>
      <c r="AG117" s="30">
        <v>315.14999999999998</v>
      </c>
      <c r="AH117" s="30">
        <v>27.25</v>
      </c>
      <c r="AI117" s="30">
        <v>55</v>
      </c>
      <c r="AJ117" s="31">
        <v>7.9678362573099415</v>
      </c>
      <c r="AK117" s="31">
        <v>342.4</v>
      </c>
      <c r="AL117" s="31" t="s">
        <v>180</v>
      </c>
      <c r="AM117" s="31">
        <v>0.39999999999997726</v>
      </c>
      <c r="AN117" s="32" t="str">
        <f>+IF(AND('GRADING PACKING'!L$5=INWARDDATA!J117,'GRADING PACKING'!L$6=INWARDDATA!I117,AR117=0),"good","bad")</f>
        <v>bad</v>
      </c>
      <c r="AO117" s="33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86"/>
      <c r="BC117" s="86"/>
      <c r="BD117" s="97">
        <f>Table_15[[#This Row],[Wgt-Bag]]-Table_15[[#This Row],[Total Graded]]-Table_15[[#This Row],[UNDERSIZE]]+0.0011</f>
        <v>-226.99889999999996</v>
      </c>
      <c r="BE117" s="86">
        <f>Table_15[[#This Row],[Total Graded]]-Table_15[[#This Row],[Packing Quantity]]+Table_15[[#This Row],[PACKING LOOSE]]</f>
        <v>315.14999999999998</v>
      </c>
      <c r="BF117" s="34">
        <f>IF(Table_15[[#This Row],[GRADED BAGS]]&gt;0,Table_15[[#This Row],[GRADED BAGS]],Table_15[[#This Row],[Bags]])</f>
        <v>573</v>
      </c>
    </row>
    <row r="118" spans="1:58" ht="14.25" hidden="1" customHeight="1" x14ac:dyDescent="0.35">
      <c r="A118" s="22">
        <v>116</v>
      </c>
      <c r="B118" s="22">
        <v>1438</v>
      </c>
      <c r="C118" s="23" t="s">
        <v>178</v>
      </c>
      <c r="D118" s="23">
        <v>16675</v>
      </c>
      <c r="E118" s="24">
        <v>46129.599722222221</v>
      </c>
      <c r="F118" s="23">
        <v>4660</v>
      </c>
      <c r="G118" s="100">
        <v>46129.776678240742</v>
      </c>
      <c r="H118" s="101">
        <v>12015</v>
      </c>
      <c r="I118" s="102" t="s">
        <v>199</v>
      </c>
      <c r="J118" s="102" t="s">
        <v>237</v>
      </c>
      <c r="K118" s="233">
        <v>0</v>
      </c>
      <c r="L118" s="22">
        <v>0</v>
      </c>
      <c r="M118" s="25">
        <f t="shared" si="6"/>
        <v>0</v>
      </c>
      <c r="N118" s="25">
        <f t="shared" si="7"/>
        <v>120.15</v>
      </c>
      <c r="O118" s="25">
        <f t="shared" si="8"/>
        <v>0.41000000000000003</v>
      </c>
      <c r="P118" s="25">
        <f t="shared" si="9"/>
        <v>119.74000000000001</v>
      </c>
      <c r="Q118" s="22"/>
      <c r="R118" s="22"/>
      <c r="S118" s="22"/>
      <c r="T118" s="168"/>
      <c r="U118" s="171">
        <f t="shared" si="10"/>
        <v>0</v>
      </c>
      <c r="V118" s="169"/>
      <c r="W118" s="28"/>
      <c r="X118" s="25" t="str">
        <f>+IF(AND('GRADING PACKING'!L$5=INWARDDATA!J118,'GRADING PACKING'!L$6=INWARDDATA!I118,AB118=0),"TRUE","FALSE")</f>
        <v>FALSE</v>
      </c>
      <c r="Y118" s="29"/>
      <c r="Z118" s="22"/>
      <c r="AA118" s="30"/>
      <c r="AB118" s="30"/>
      <c r="AC118" s="30"/>
      <c r="AD118" s="30"/>
      <c r="AE118" s="30"/>
      <c r="AF118" s="30"/>
      <c r="AG118" s="30"/>
      <c r="AH118" s="30"/>
      <c r="AI118" s="30"/>
      <c r="AJ118" s="31"/>
      <c r="AK118" s="31"/>
      <c r="AL118" s="31"/>
      <c r="AM118" s="31"/>
      <c r="AN118" s="32" t="str">
        <f>+IF(AND('GRADING PACKING'!L$5=INWARDDATA!J118,'GRADING PACKING'!L$6=INWARDDATA!I118,AR118=0),"good","bad")</f>
        <v>bad</v>
      </c>
      <c r="AO118" s="33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86"/>
      <c r="BC118" s="86"/>
      <c r="BD118" s="97">
        <f>Table_15[[#This Row],[Wgt-Bag]]-Table_15[[#This Row],[Total Graded]]-Table_15[[#This Row],[UNDERSIZE]]+0.0011</f>
        <v>120.1511</v>
      </c>
      <c r="BE118" s="86">
        <f>Table_15[[#This Row],[Total Graded]]-Table_15[[#This Row],[Packing Quantity]]+Table_15[[#This Row],[PACKING LOOSE]]</f>
        <v>0</v>
      </c>
      <c r="BF118" s="34">
        <f>IF(Table_15[[#This Row],[GRADED BAGS]]&gt;0,Table_15[[#This Row],[GRADED BAGS]],Table_15[[#This Row],[Bags]])</f>
        <v>0</v>
      </c>
    </row>
    <row r="119" spans="1:58" ht="15" hidden="1" customHeight="1" x14ac:dyDescent="0.35">
      <c r="A119" s="22">
        <v>117</v>
      </c>
      <c r="B119" s="22">
        <v>1439</v>
      </c>
      <c r="C119" s="23" t="s">
        <v>232</v>
      </c>
      <c r="D119" s="23">
        <v>8380</v>
      </c>
      <c r="E119" s="24">
        <v>46129.633981481478</v>
      </c>
      <c r="F119" s="23">
        <v>4230</v>
      </c>
      <c r="G119" s="100">
        <v>46129.652569444443</v>
      </c>
      <c r="H119" s="101">
        <v>4150</v>
      </c>
      <c r="I119" s="102" t="s">
        <v>199</v>
      </c>
      <c r="J119" s="102" t="s">
        <v>191</v>
      </c>
      <c r="K119" s="233">
        <v>0</v>
      </c>
      <c r="L119" s="22">
        <v>0</v>
      </c>
      <c r="M119" s="25">
        <f t="shared" si="6"/>
        <v>0</v>
      </c>
      <c r="N119" s="25">
        <f t="shared" si="7"/>
        <v>41.5</v>
      </c>
      <c r="O119" s="25">
        <f t="shared" si="8"/>
        <v>0.14000000000000001</v>
      </c>
      <c r="P119" s="25">
        <f t="shared" si="9"/>
        <v>41.36</v>
      </c>
      <c r="Q119" s="22"/>
      <c r="R119" s="22"/>
      <c r="S119" s="22"/>
      <c r="T119" s="168"/>
      <c r="U119" s="171">
        <f t="shared" si="10"/>
        <v>0</v>
      </c>
      <c r="V119" s="169"/>
      <c r="W119" s="28"/>
      <c r="X119" s="25" t="str">
        <f>+IF(AND('GRADING PACKING'!L$5=INWARDDATA!J119,'GRADING PACKING'!L$6=INWARDDATA!I119,AB119=0),"TRUE","FALSE")</f>
        <v>FALSE</v>
      </c>
      <c r="Y119" s="29">
        <v>46130</v>
      </c>
      <c r="Z119" s="22" t="s">
        <v>191</v>
      </c>
      <c r="AA119" s="30" t="s">
        <v>199</v>
      </c>
      <c r="AB119" s="30">
        <v>580.69999999999993</v>
      </c>
      <c r="AC119" s="30">
        <v>954</v>
      </c>
      <c r="AD119" s="30">
        <v>55</v>
      </c>
      <c r="AE119" s="30">
        <v>524.70000000000005</v>
      </c>
      <c r="AF119" s="30">
        <v>0.3</v>
      </c>
      <c r="AG119" s="30">
        <v>525</v>
      </c>
      <c r="AH119" s="30">
        <v>55.68</v>
      </c>
      <c r="AI119" s="30">
        <v>114</v>
      </c>
      <c r="AJ119" s="31">
        <v>9.5884277596004832</v>
      </c>
      <c r="AK119" s="31">
        <v>580.67999999999995</v>
      </c>
      <c r="AL119" s="31" t="s">
        <v>238</v>
      </c>
      <c r="AM119" s="31">
        <v>-1.999999999998181E-2</v>
      </c>
      <c r="AN119" s="32" t="str">
        <f>+IF(AND('GRADING PACKING'!L$5=INWARDDATA!J119,'GRADING PACKING'!L$6=INWARDDATA!I119,AR119=0),"good","bad")</f>
        <v>bad</v>
      </c>
      <c r="AO119" s="33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86"/>
      <c r="BC119" s="86"/>
      <c r="BD119" s="97">
        <f>Table_15[[#This Row],[Wgt-Bag]]-Table_15[[#This Row],[Total Graded]]-Table_15[[#This Row],[UNDERSIZE]]+0.0011</f>
        <v>-539.1789</v>
      </c>
      <c r="BE119" s="86">
        <f>Table_15[[#This Row],[Total Graded]]-Table_15[[#This Row],[Packing Quantity]]+Table_15[[#This Row],[PACKING LOOSE]]</f>
        <v>525</v>
      </c>
      <c r="BF119" s="34">
        <f>IF(Table_15[[#This Row],[GRADED BAGS]]&gt;0,Table_15[[#This Row],[GRADED BAGS]],Table_15[[#This Row],[Bags]])</f>
        <v>954</v>
      </c>
    </row>
    <row r="120" spans="1:58" ht="15" hidden="1" customHeight="1" x14ac:dyDescent="0.35">
      <c r="A120" s="22">
        <v>118</v>
      </c>
      <c r="B120" s="22">
        <v>1442</v>
      </c>
      <c r="C120" s="23" t="s">
        <v>178</v>
      </c>
      <c r="D120" s="23">
        <v>15290</v>
      </c>
      <c r="E120" s="24">
        <v>46130.486145833333</v>
      </c>
      <c r="F120" s="23">
        <v>4645</v>
      </c>
      <c r="G120" s="100">
        <v>46130.527465277781</v>
      </c>
      <c r="H120" s="101">
        <v>10645</v>
      </c>
      <c r="I120" s="102" t="s">
        <v>199</v>
      </c>
      <c r="J120" s="102" t="s">
        <v>237</v>
      </c>
      <c r="K120" s="233">
        <v>0</v>
      </c>
      <c r="L120" s="22">
        <v>0</v>
      </c>
      <c r="M120" s="25">
        <f t="shared" si="6"/>
        <v>0</v>
      </c>
      <c r="N120" s="25">
        <f t="shared" si="7"/>
        <v>106.45</v>
      </c>
      <c r="O120" s="25">
        <f t="shared" si="8"/>
        <v>0.36</v>
      </c>
      <c r="P120" s="25">
        <f t="shared" si="9"/>
        <v>106.09</v>
      </c>
      <c r="Q120" s="22"/>
      <c r="R120" s="22"/>
      <c r="S120" s="22"/>
      <c r="T120" s="168"/>
      <c r="U120" s="171">
        <f t="shared" si="10"/>
        <v>0</v>
      </c>
      <c r="V120" s="169"/>
      <c r="W120" s="28"/>
      <c r="X120" s="25" t="str">
        <f>+IF(AND('GRADING PACKING'!L$5=INWARDDATA!J120,'GRADING PACKING'!L$6=INWARDDATA!I120,AB120=0),"TRUE","FALSE")</f>
        <v>FALSE</v>
      </c>
      <c r="Y120" s="29"/>
      <c r="Z120" s="22"/>
      <c r="AA120" s="30"/>
      <c r="AB120" s="30"/>
      <c r="AC120" s="30"/>
      <c r="AD120" s="30"/>
      <c r="AE120" s="30"/>
      <c r="AF120" s="30"/>
      <c r="AG120" s="30"/>
      <c r="AH120" s="30"/>
      <c r="AI120" s="30"/>
      <c r="AJ120" s="31"/>
      <c r="AK120" s="31"/>
      <c r="AL120" s="31"/>
      <c r="AM120" s="31"/>
      <c r="AN120" s="32" t="str">
        <f>+IF(AND('GRADING PACKING'!L$5=INWARDDATA!J120,'GRADING PACKING'!L$6=INWARDDATA!I120,AR120=0),"good","bad")</f>
        <v>bad</v>
      </c>
      <c r="AO120" s="33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86"/>
      <c r="BC120" s="86"/>
      <c r="BD120" s="97">
        <f>Table_15[[#This Row],[Wgt-Bag]]-Table_15[[#This Row],[Total Graded]]-Table_15[[#This Row],[UNDERSIZE]]+0.0011</f>
        <v>106.4511</v>
      </c>
      <c r="BE120" s="86">
        <f>Table_15[[#This Row],[Total Graded]]-Table_15[[#This Row],[Packing Quantity]]+Table_15[[#This Row],[PACKING LOOSE]]</f>
        <v>0</v>
      </c>
      <c r="BF120" s="34">
        <f>IF(Table_15[[#This Row],[GRADED BAGS]]&gt;0,Table_15[[#This Row],[GRADED BAGS]],Table_15[[#This Row],[Bags]])</f>
        <v>0</v>
      </c>
    </row>
    <row r="121" spans="1:58" ht="15" hidden="1" customHeight="1" x14ac:dyDescent="0.35">
      <c r="A121" s="22">
        <v>119</v>
      </c>
      <c r="B121" s="22">
        <v>1443</v>
      </c>
      <c r="C121" s="23" t="s">
        <v>178</v>
      </c>
      <c r="D121" s="23">
        <v>17925</v>
      </c>
      <c r="E121" s="24">
        <v>46130.731805555559</v>
      </c>
      <c r="F121" s="23">
        <v>4695</v>
      </c>
      <c r="G121" s="100">
        <v>46130.77853009259</v>
      </c>
      <c r="H121" s="101">
        <v>13230</v>
      </c>
      <c r="I121" s="102" t="s">
        <v>239</v>
      </c>
      <c r="J121" s="102" t="s">
        <v>183</v>
      </c>
      <c r="K121" s="233">
        <v>235</v>
      </c>
      <c r="L121" s="22">
        <v>0.6</v>
      </c>
      <c r="M121" s="25">
        <f t="shared" si="6"/>
        <v>141</v>
      </c>
      <c r="N121" s="25">
        <f t="shared" si="7"/>
        <v>130.88999999999999</v>
      </c>
      <c r="O121" s="25">
        <f t="shared" si="8"/>
        <v>0.45</v>
      </c>
      <c r="P121" s="25">
        <f t="shared" si="9"/>
        <v>130.44</v>
      </c>
      <c r="Q121" s="22"/>
      <c r="R121" s="22"/>
      <c r="S121" s="22"/>
      <c r="T121" s="168"/>
      <c r="U121" s="171">
        <f t="shared" si="10"/>
        <v>0</v>
      </c>
      <c r="V121" s="169"/>
      <c r="W121" s="28"/>
      <c r="X121" s="25" t="str">
        <f>+IF(AND('GRADING PACKING'!L$5=INWARDDATA!J121,'GRADING PACKING'!L$6=INWARDDATA!I121,AB121=0),"TRUE","FALSE")</f>
        <v>FALSE</v>
      </c>
      <c r="Y121" s="29"/>
      <c r="Z121" s="22"/>
      <c r="AA121" s="30"/>
      <c r="AB121" s="30"/>
      <c r="AC121" s="30"/>
      <c r="AD121" s="30"/>
      <c r="AE121" s="30"/>
      <c r="AF121" s="30"/>
      <c r="AG121" s="30"/>
      <c r="AH121" s="30"/>
      <c r="AI121" s="30"/>
      <c r="AJ121" s="31"/>
      <c r="AK121" s="31"/>
      <c r="AL121" s="31"/>
      <c r="AM121" s="31"/>
      <c r="AN121" s="32" t="str">
        <f>+IF(AND('GRADING PACKING'!L$5=INWARDDATA!J121,'GRADING PACKING'!L$6=INWARDDATA!I121,AR121=0),"good","bad")</f>
        <v>bad</v>
      </c>
      <c r="AO121" s="33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86"/>
      <c r="BC121" s="86"/>
      <c r="BD121" s="97">
        <f>Table_15[[#This Row],[Wgt-Bag]]-Table_15[[#This Row],[Total Graded]]-Table_15[[#This Row],[UNDERSIZE]]+0.0011</f>
        <v>130.89109999999999</v>
      </c>
      <c r="BE121" s="86">
        <f>Table_15[[#This Row],[Total Graded]]-Table_15[[#This Row],[Packing Quantity]]+Table_15[[#This Row],[PACKING LOOSE]]</f>
        <v>0</v>
      </c>
      <c r="BF121" s="34">
        <f>IF(Table_15[[#This Row],[GRADED BAGS]]&gt;0,Table_15[[#This Row],[GRADED BAGS]],Table_15[[#This Row],[Bags]])</f>
        <v>235</v>
      </c>
    </row>
    <row r="122" spans="1:58" ht="14.25" hidden="1" customHeight="1" x14ac:dyDescent="0.35">
      <c r="A122" s="22">
        <v>120</v>
      </c>
      <c r="B122" s="22">
        <v>1444</v>
      </c>
      <c r="C122" s="23" t="s">
        <v>240</v>
      </c>
      <c r="D122" s="23">
        <v>19525</v>
      </c>
      <c r="E122" s="24">
        <v>46131.462245370371</v>
      </c>
      <c r="F122" s="23">
        <v>4660</v>
      </c>
      <c r="G122" s="100">
        <v>46131.526574074072</v>
      </c>
      <c r="H122" s="101">
        <v>14865</v>
      </c>
      <c r="I122" s="102" t="s">
        <v>199</v>
      </c>
      <c r="J122" s="102" t="s">
        <v>241</v>
      </c>
      <c r="K122" s="233">
        <v>0</v>
      </c>
      <c r="L122" s="22">
        <v>0</v>
      </c>
      <c r="M122" s="25">
        <f t="shared" si="6"/>
        <v>0</v>
      </c>
      <c r="N122" s="25">
        <f t="shared" si="7"/>
        <v>148.65</v>
      </c>
      <c r="O122" s="25">
        <f t="shared" si="8"/>
        <v>0.5</v>
      </c>
      <c r="P122" s="25">
        <f t="shared" si="9"/>
        <v>148.15</v>
      </c>
      <c r="Q122" s="22"/>
      <c r="R122" s="22"/>
      <c r="S122" s="22"/>
      <c r="T122" s="168"/>
      <c r="U122" s="171">
        <f t="shared" si="10"/>
        <v>0</v>
      </c>
      <c r="V122" s="169"/>
      <c r="W122" s="28"/>
      <c r="X122" s="25" t="str">
        <f>+IF(AND('GRADING PACKING'!L$5=INWARDDATA!J122,'GRADING PACKING'!L$6=INWARDDATA!I122,AB122=0),"TRUE","FALSE")</f>
        <v>FALSE</v>
      </c>
      <c r="Y122" s="29">
        <v>46134</v>
      </c>
      <c r="Z122" s="22" t="s">
        <v>241</v>
      </c>
      <c r="AA122" s="30" t="s">
        <v>199</v>
      </c>
      <c r="AB122" s="30">
        <v>630.79999999999995</v>
      </c>
      <c r="AC122" s="30">
        <v>55</v>
      </c>
      <c r="AD122" s="30">
        <v>0</v>
      </c>
      <c r="AE122" s="30">
        <v>0</v>
      </c>
      <c r="AF122" s="30">
        <v>0</v>
      </c>
      <c r="AG122" s="30">
        <v>0</v>
      </c>
      <c r="AH122" s="30">
        <v>51.69</v>
      </c>
      <c r="AI122" s="30">
        <v>107</v>
      </c>
      <c r="AJ122" s="31">
        <v>8.1943563728598612</v>
      </c>
      <c r="AK122" s="31">
        <v>51.69</v>
      </c>
      <c r="AL122" s="31" t="s">
        <v>246</v>
      </c>
      <c r="AM122" s="31">
        <v>-579.1099999999999</v>
      </c>
      <c r="AN122" s="32" t="str">
        <f>+IF(AND('GRADING PACKING'!L$5=INWARDDATA!J122,'GRADING PACKING'!L$6=INWARDDATA!I122,AR122=0),"good","bad")</f>
        <v>bad</v>
      </c>
      <c r="AO122" s="33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86"/>
      <c r="BC122" s="86"/>
      <c r="BD122" s="97">
        <f>Table_15[[#This Row],[Wgt-Bag]]-Table_15[[#This Row],[Total Graded]]-Table_15[[#This Row],[UNDERSIZE]]+0.0011</f>
        <v>96.961100000000002</v>
      </c>
      <c r="BE122" s="86">
        <f>Table_15[[#This Row],[Total Graded]]-Table_15[[#This Row],[Packing Quantity]]+Table_15[[#This Row],[PACKING LOOSE]]</f>
        <v>0</v>
      </c>
      <c r="BF122" s="34">
        <f>IF(Table_15[[#This Row],[GRADED BAGS]]&gt;0,Table_15[[#This Row],[GRADED BAGS]],Table_15[[#This Row],[Bags]])</f>
        <v>55</v>
      </c>
    </row>
    <row r="123" spans="1:58" ht="14.25" hidden="1" customHeight="1" x14ac:dyDescent="0.35">
      <c r="A123" s="22">
        <v>121</v>
      </c>
      <c r="B123" s="22">
        <v>1445</v>
      </c>
      <c r="C123" s="23" t="s">
        <v>242</v>
      </c>
      <c r="D123" s="23">
        <v>26915</v>
      </c>
      <c r="E123" s="24">
        <v>46131.574363425927</v>
      </c>
      <c r="F123" s="23">
        <v>5725</v>
      </c>
      <c r="G123" s="100">
        <v>46131.700069444443</v>
      </c>
      <c r="H123" s="101">
        <v>21190</v>
      </c>
      <c r="I123" s="102" t="s">
        <v>199</v>
      </c>
      <c r="J123" s="102" t="s">
        <v>241</v>
      </c>
      <c r="K123" s="233">
        <v>0</v>
      </c>
      <c r="L123" s="22">
        <v>0</v>
      </c>
      <c r="M123" s="25">
        <f t="shared" si="6"/>
        <v>0</v>
      </c>
      <c r="N123" s="25">
        <f t="shared" si="7"/>
        <v>211.9</v>
      </c>
      <c r="O123" s="25">
        <f t="shared" si="8"/>
        <v>0.71</v>
      </c>
      <c r="P123" s="25">
        <f t="shared" si="9"/>
        <v>211.19</v>
      </c>
      <c r="Q123" s="22"/>
      <c r="R123" s="22"/>
      <c r="S123" s="22"/>
      <c r="T123" s="168"/>
      <c r="U123" s="171">
        <f t="shared" si="10"/>
        <v>0</v>
      </c>
      <c r="V123" s="169"/>
      <c r="W123" s="28"/>
      <c r="X123" s="25" t="str">
        <f>+IF(AND('GRADING PACKING'!L$5=INWARDDATA!J123,'GRADING PACKING'!L$6=INWARDDATA!I123,AB123=0),"TRUE","FALSE")</f>
        <v>FALSE</v>
      </c>
      <c r="Y123" s="29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1"/>
      <c r="AK123" s="31"/>
      <c r="AL123" s="31"/>
      <c r="AM123" s="31"/>
      <c r="AN123" s="32" t="str">
        <f>+IF(AND('GRADING PACKING'!L$5=INWARDDATA!J123,'GRADING PACKING'!L$6=INWARDDATA!I123,AR123=0),"good","bad")</f>
        <v>bad</v>
      </c>
      <c r="AO123" s="33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86"/>
      <c r="BC123" s="86"/>
      <c r="BD123" s="97">
        <f>Table_15[[#This Row],[Wgt-Bag]]-Table_15[[#This Row],[Total Graded]]-Table_15[[#This Row],[UNDERSIZE]]+0.0011</f>
        <v>211.90110000000001</v>
      </c>
      <c r="BE123" s="86">
        <f>Table_15[[#This Row],[Total Graded]]-Table_15[[#This Row],[Packing Quantity]]+Table_15[[#This Row],[PACKING LOOSE]]</f>
        <v>0</v>
      </c>
      <c r="BF123" s="34">
        <f>IF(Table_15[[#This Row],[GRADED BAGS]]&gt;0,Table_15[[#This Row],[GRADED BAGS]],Table_15[[#This Row],[Bags]])</f>
        <v>0</v>
      </c>
    </row>
    <row r="124" spans="1:58" ht="14.25" hidden="1" customHeight="1" x14ac:dyDescent="0.35">
      <c r="A124" s="22">
        <v>122</v>
      </c>
      <c r="B124" s="22">
        <v>1446</v>
      </c>
      <c r="C124" s="23" t="s">
        <v>240</v>
      </c>
      <c r="D124" s="23">
        <v>20155</v>
      </c>
      <c r="E124" s="24">
        <v>46132.445277777777</v>
      </c>
      <c r="F124" s="23">
        <v>4655</v>
      </c>
      <c r="G124" s="100">
        <v>46132.610983796294</v>
      </c>
      <c r="H124" s="101">
        <v>15500</v>
      </c>
      <c r="I124" s="102" t="s">
        <v>199</v>
      </c>
      <c r="J124" s="102" t="s">
        <v>241</v>
      </c>
      <c r="K124" s="233">
        <v>0</v>
      </c>
      <c r="L124" s="22">
        <v>0</v>
      </c>
      <c r="M124" s="25">
        <f t="shared" si="6"/>
        <v>0</v>
      </c>
      <c r="N124" s="25">
        <f t="shared" si="7"/>
        <v>155</v>
      </c>
      <c r="O124" s="25">
        <f t="shared" si="8"/>
        <v>0.52</v>
      </c>
      <c r="P124" s="25">
        <f t="shared" si="9"/>
        <v>154.47999999999999</v>
      </c>
      <c r="Q124" s="22"/>
      <c r="R124" s="22"/>
      <c r="S124" s="22"/>
      <c r="T124" s="168"/>
      <c r="U124" s="171">
        <f t="shared" si="10"/>
        <v>0</v>
      </c>
      <c r="V124" s="169"/>
      <c r="W124" s="28"/>
      <c r="X124" s="25" t="str">
        <f>+IF(AND('GRADING PACKING'!L$5=INWARDDATA!J124,'GRADING PACKING'!L$6=INWARDDATA!I124,AB124=0),"TRUE","FALSE")</f>
        <v>FALSE</v>
      </c>
      <c r="Y124" s="29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1"/>
      <c r="AK124" s="31"/>
      <c r="AL124" s="31"/>
      <c r="AM124" s="31"/>
      <c r="AN124" s="32" t="str">
        <f>+IF(AND('GRADING PACKING'!L$5=INWARDDATA!J124,'GRADING PACKING'!L$6=INWARDDATA!I124,AR124=0),"good","bad")</f>
        <v>bad</v>
      </c>
      <c r="AO124" s="33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86"/>
      <c r="BC124" s="86"/>
      <c r="BD124" s="97">
        <f>Table_15[[#This Row],[Wgt-Bag]]-Table_15[[#This Row],[Total Graded]]-Table_15[[#This Row],[UNDERSIZE]]+0.0011</f>
        <v>155.00110000000001</v>
      </c>
      <c r="BE124" s="86">
        <f>Table_15[[#This Row],[Total Graded]]-Table_15[[#This Row],[Packing Quantity]]+Table_15[[#This Row],[PACKING LOOSE]]</f>
        <v>0</v>
      </c>
      <c r="BF124" s="34">
        <f>IF(Table_15[[#This Row],[GRADED BAGS]]&gt;0,Table_15[[#This Row],[GRADED BAGS]],Table_15[[#This Row],[Bags]])</f>
        <v>0</v>
      </c>
    </row>
    <row r="125" spans="1:58" ht="14.25" hidden="1" customHeight="1" x14ac:dyDescent="0.35">
      <c r="A125" s="22">
        <v>123</v>
      </c>
      <c r="B125" s="22">
        <v>1447</v>
      </c>
      <c r="C125" s="23" t="s">
        <v>242</v>
      </c>
      <c r="D125" s="23">
        <v>17210</v>
      </c>
      <c r="E125" s="24">
        <v>46132.612673611111</v>
      </c>
      <c r="F125" s="23">
        <v>5685</v>
      </c>
      <c r="G125" s="100">
        <v>46132.681932870371</v>
      </c>
      <c r="H125" s="101">
        <v>11525</v>
      </c>
      <c r="I125" s="102" t="s">
        <v>199</v>
      </c>
      <c r="J125" s="102" t="s">
        <v>241</v>
      </c>
      <c r="K125" s="233">
        <v>0</v>
      </c>
      <c r="L125" s="22">
        <v>0</v>
      </c>
      <c r="M125" s="25">
        <f t="shared" si="6"/>
        <v>0</v>
      </c>
      <c r="N125" s="25">
        <f t="shared" si="7"/>
        <v>115.25</v>
      </c>
      <c r="O125" s="25">
        <f t="shared" si="8"/>
        <v>0.39</v>
      </c>
      <c r="P125" s="25">
        <f t="shared" si="9"/>
        <v>114.86</v>
      </c>
      <c r="Q125" s="22"/>
      <c r="R125" s="22"/>
      <c r="S125" s="22"/>
      <c r="T125" s="168"/>
      <c r="U125" s="171">
        <f t="shared" si="10"/>
        <v>0</v>
      </c>
      <c r="V125" s="169"/>
      <c r="W125" s="28"/>
      <c r="X125" s="25" t="str">
        <f>+IF(AND('GRADING PACKING'!L$5=INWARDDATA!J125,'GRADING PACKING'!L$6=INWARDDATA!I125,AB125=0),"TRUE","FALSE")</f>
        <v>FALSE</v>
      </c>
      <c r="Y125" s="29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1"/>
      <c r="AK125" s="31"/>
      <c r="AL125" s="31"/>
      <c r="AM125" s="31"/>
      <c r="AN125" s="32" t="str">
        <f>+IF(AND('GRADING PACKING'!L$5=INWARDDATA!J125,'GRADING PACKING'!L$6=INWARDDATA!I125,AR125=0),"good","bad")</f>
        <v>bad</v>
      </c>
      <c r="AO125" s="33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86"/>
      <c r="BC125" s="86"/>
      <c r="BD125" s="97">
        <f>Table_15[[#This Row],[Wgt-Bag]]-Table_15[[#This Row],[Total Graded]]-Table_15[[#This Row],[UNDERSIZE]]+0.0011</f>
        <v>115.25109999999999</v>
      </c>
      <c r="BE125" s="86">
        <f>Table_15[[#This Row],[Total Graded]]-Table_15[[#This Row],[Packing Quantity]]+Table_15[[#This Row],[PACKING LOOSE]]</f>
        <v>0</v>
      </c>
      <c r="BF125" s="34">
        <f>IF(Table_15[[#This Row],[GRADED BAGS]]&gt;0,Table_15[[#This Row],[GRADED BAGS]],Table_15[[#This Row],[Bags]])</f>
        <v>0</v>
      </c>
    </row>
    <row r="126" spans="1:58" ht="14.25" hidden="1" customHeight="1" x14ac:dyDescent="0.35">
      <c r="A126" s="22">
        <v>124</v>
      </c>
      <c r="B126" s="22">
        <v>1448</v>
      </c>
      <c r="C126" s="23" t="s">
        <v>243</v>
      </c>
      <c r="D126" s="23">
        <v>9195</v>
      </c>
      <c r="E126" s="24">
        <v>46132.744618055556</v>
      </c>
      <c r="F126" s="23">
        <v>4085</v>
      </c>
      <c r="G126" s="100">
        <v>46132.788124999999</v>
      </c>
      <c r="H126" s="101">
        <v>5110</v>
      </c>
      <c r="I126" s="102" t="s">
        <v>199</v>
      </c>
      <c r="J126" s="102" t="s">
        <v>244</v>
      </c>
      <c r="K126" s="233">
        <v>0</v>
      </c>
      <c r="L126" s="22">
        <v>0</v>
      </c>
      <c r="M126" s="25">
        <f t="shared" si="6"/>
        <v>0</v>
      </c>
      <c r="N126" s="25">
        <f t="shared" si="7"/>
        <v>51.1</v>
      </c>
      <c r="O126" s="25">
        <f t="shared" si="8"/>
        <v>0.18000000000000002</v>
      </c>
      <c r="P126" s="25">
        <f t="shared" si="9"/>
        <v>50.92</v>
      </c>
      <c r="Q126" s="22"/>
      <c r="R126" s="22"/>
      <c r="S126" s="22"/>
      <c r="T126" s="168"/>
      <c r="U126" s="171">
        <f t="shared" si="10"/>
        <v>0</v>
      </c>
      <c r="V126" s="169"/>
      <c r="W126" s="28"/>
      <c r="X126" s="25" t="str">
        <f>+IF(AND('GRADING PACKING'!L$5=INWARDDATA!J126,'GRADING PACKING'!L$6=INWARDDATA!I126,AB126=0),"TRUE","FALSE")</f>
        <v>TRUE</v>
      </c>
      <c r="Y126" s="29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1"/>
      <c r="AK126" s="31"/>
      <c r="AL126" s="31"/>
      <c r="AM126" s="31"/>
      <c r="AN126" s="32" t="str">
        <f>+IF(AND('GRADING PACKING'!L$5=INWARDDATA!J126,'GRADING PACKING'!L$6=INWARDDATA!I126,AR126=0),"good","bad")</f>
        <v>good</v>
      </c>
      <c r="AO126" s="33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86"/>
      <c r="BC126" s="86"/>
      <c r="BD126" s="97">
        <f>Table_15[[#This Row],[Wgt-Bag]]-Table_15[[#This Row],[Total Graded]]-Table_15[[#This Row],[UNDERSIZE]]+0.0011</f>
        <v>51.101100000000002</v>
      </c>
      <c r="BE126" s="86">
        <f>Table_15[[#This Row],[Total Graded]]-Table_15[[#This Row],[Packing Quantity]]+Table_15[[#This Row],[PACKING LOOSE]]</f>
        <v>0</v>
      </c>
      <c r="BF126" s="34">
        <f>IF(Table_15[[#This Row],[GRADED BAGS]]&gt;0,Table_15[[#This Row],[GRADED BAGS]],Table_15[[#This Row],[Bags]])</f>
        <v>0</v>
      </c>
    </row>
    <row r="127" spans="1:58" ht="14.25" hidden="1" customHeight="1" x14ac:dyDescent="0.35">
      <c r="A127" s="22">
        <v>125</v>
      </c>
      <c r="B127" s="22">
        <v>1449</v>
      </c>
      <c r="C127" s="23" t="s">
        <v>245</v>
      </c>
      <c r="D127" s="23">
        <v>9145</v>
      </c>
      <c r="E127" s="24">
        <v>46132.769814814812</v>
      </c>
      <c r="F127" s="23">
        <v>3990</v>
      </c>
      <c r="G127" s="100">
        <v>46132.80296296296</v>
      </c>
      <c r="H127" s="101">
        <v>5155</v>
      </c>
      <c r="I127" s="102" t="s">
        <v>199</v>
      </c>
      <c r="J127" s="102" t="s">
        <v>244</v>
      </c>
      <c r="K127" s="233">
        <v>0</v>
      </c>
      <c r="L127" s="22">
        <v>0</v>
      </c>
      <c r="M127" s="25">
        <f t="shared" si="6"/>
        <v>0</v>
      </c>
      <c r="N127" s="25">
        <f t="shared" si="7"/>
        <v>51.55</v>
      </c>
      <c r="O127" s="25">
        <f t="shared" si="8"/>
        <v>0.18000000000000002</v>
      </c>
      <c r="P127" s="25">
        <f t="shared" si="9"/>
        <v>51.37</v>
      </c>
      <c r="Q127" s="22"/>
      <c r="R127" s="22"/>
      <c r="S127" s="22"/>
      <c r="T127" s="168"/>
      <c r="U127" s="171">
        <f t="shared" si="10"/>
        <v>0</v>
      </c>
      <c r="V127" s="169"/>
      <c r="W127" s="28"/>
      <c r="X127" s="25" t="str">
        <f>+IF(AND('GRADING PACKING'!L$5=INWARDDATA!J127,'GRADING PACKING'!L$6=INWARDDATA!I127,AB127=0),"TRUE","FALSE")</f>
        <v>TRUE</v>
      </c>
      <c r="Y127" s="29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1"/>
      <c r="AK127" s="31"/>
      <c r="AL127" s="31"/>
      <c r="AM127" s="31"/>
      <c r="AN127" s="32" t="str">
        <f>+IF(AND('GRADING PACKING'!L$5=INWARDDATA!J127,'GRADING PACKING'!L$6=INWARDDATA!I127,AR127=0),"good","bad")</f>
        <v>good</v>
      </c>
      <c r="AO127" s="33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86"/>
      <c r="BC127" s="86"/>
      <c r="BD127" s="97">
        <f>Table_15[[#This Row],[Wgt-Bag]]-Table_15[[#This Row],[Total Graded]]-Table_15[[#This Row],[UNDERSIZE]]+0.0011</f>
        <v>51.551099999999998</v>
      </c>
      <c r="BE127" s="86">
        <f>Table_15[[#This Row],[Total Graded]]-Table_15[[#This Row],[Packing Quantity]]+Table_15[[#This Row],[PACKING LOOSE]]</f>
        <v>0</v>
      </c>
      <c r="BF127" s="34">
        <f>IF(Table_15[[#This Row],[GRADED BAGS]]&gt;0,Table_15[[#This Row],[GRADED BAGS]],Table_15[[#This Row],[Bags]])</f>
        <v>0</v>
      </c>
    </row>
    <row r="128" spans="1:58" ht="14.25" hidden="1" customHeight="1" x14ac:dyDescent="0.35">
      <c r="A128" s="22">
        <v>126</v>
      </c>
      <c r="B128" s="22"/>
      <c r="C128" s="23"/>
      <c r="D128" s="23"/>
      <c r="E128" s="24"/>
      <c r="F128" s="23"/>
      <c r="G128" s="100"/>
      <c r="H128" s="101"/>
      <c r="I128" s="102"/>
      <c r="J128" s="102"/>
      <c r="K128" s="233"/>
      <c r="L128" s="22"/>
      <c r="M128" s="25">
        <f t="shared" si="6"/>
        <v>0</v>
      </c>
      <c r="N128" s="25">
        <f t="shared" si="7"/>
        <v>0</v>
      </c>
      <c r="O128" s="25">
        <f t="shared" si="8"/>
        <v>0</v>
      </c>
      <c r="P128" s="25">
        <f t="shared" si="9"/>
        <v>0</v>
      </c>
      <c r="Q128" s="22"/>
      <c r="R128" s="22"/>
      <c r="S128" s="22"/>
      <c r="T128" s="168"/>
      <c r="U128" s="171">
        <f t="shared" si="10"/>
        <v>0</v>
      </c>
      <c r="V128" s="169"/>
      <c r="W128" s="28"/>
      <c r="X128" s="25" t="str">
        <f>+IF(AND('GRADING PACKING'!L$5=INWARDDATA!J128,'GRADING PACKING'!L$6=INWARDDATA!I128,AB128=0),"TRUE","FALSE")</f>
        <v>FALSE</v>
      </c>
      <c r="Y128" s="29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1"/>
      <c r="AK128" s="31"/>
      <c r="AL128" s="31"/>
      <c r="AM128" s="31"/>
      <c r="AN128" s="32" t="str">
        <f>+IF(AND('GRADING PACKING'!L$5=INWARDDATA!J128,'GRADING PACKING'!L$6=INWARDDATA!I128,AR128=0),"good","bad")</f>
        <v>bad</v>
      </c>
      <c r="AO128" s="33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86"/>
      <c r="BC128" s="86"/>
      <c r="BD128" s="97">
        <f>Table_15[[#This Row],[Wgt-Bag]]-Table_15[[#This Row],[Total Graded]]-Table_15[[#This Row],[UNDERSIZE]]+0.0011</f>
        <v>1.1000000000000001E-3</v>
      </c>
      <c r="BE128" s="86">
        <f>Table_15[[#This Row],[Total Graded]]-Table_15[[#This Row],[Packing Quantity]]+Table_15[[#This Row],[PACKING LOOSE]]</f>
        <v>0</v>
      </c>
      <c r="BF128" s="34">
        <f>IF(Table_15[[#This Row],[GRADED BAGS]]&gt;0,Table_15[[#This Row],[GRADED BAGS]],Table_15[[#This Row],[Bags]])</f>
        <v>0</v>
      </c>
    </row>
    <row r="129" spans="1:58" ht="14.25" hidden="1" customHeight="1" x14ac:dyDescent="0.35">
      <c r="A129" s="22">
        <v>127</v>
      </c>
      <c r="B129" s="22"/>
      <c r="C129" s="23"/>
      <c r="D129" s="23"/>
      <c r="E129" s="24"/>
      <c r="F129" s="23"/>
      <c r="G129" s="100"/>
      <c r="H129" s="101"/>
      <c r="I129" s="102"/>
      <c r="J129" s="102"/>
      <c r="K129" s="233"/>
      <c r="L129" s="22"/>
      <c r="M129" s="25">
        <f t="shared" si="6"/>
        <v>0</v>
      </c>
      <c r="N129" s="25">
        <f t="shared" si="7"/>
        <v>0</v>
      </c>
      <c r="O129" s="25">
        <f t="shared" si="8"/>
        <v>0</v>
      </c>
      <c r="P129" s="25">
        <f t="shared" si="9"/>
        <v>0</v>
      </c>
      <c r="Q129" s="22"/>
      <c r="R129" s="22"/>
      <c r="S129" s="22"/>
      <c r="T129" s="168"/>
      <c r="U129" s="171">
        <f t="shared" si="10"/>
        <v>0</v>
      </c>
      <c r="V129" s="169"/>
      <c r="W129" s="28"/>
      <c r="X129" s="25" t="str">
        <f>+IF(AND('GRADING PACKING'!L$5=INWARDDATA!J129,'GRADING PACKING'!L$6=INWARDDATA!I129,AB129=0),"TRUE","FALSE")</f>
        <v>FALSE</v>
      </c>
      <c r="Y129" s="29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1"/>
      <c r="AK129" s="31"/>
      <c r="AL129" s="31"/>
      <c r="AM129" s="31"/>
      <c r="AN129" s="32" t="str">
        <f>+IF(AND('GRADING PACKING'!L$5=INWARDDATA!J129,'GRADING PACKING'!L$6=INWARDDATA!I129,AR129=0),"good","bad")</f>
        <v>bad</v>
      </c>
      <c r="AO129" s="33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86"/>
      <c r="BC129" s="86"/>
      <c r="BD129" s="97">
        <f>Table_15[[#This Row],[Wgt-Bag]]-Table_15[[#This Row],[Total Graded]]-Table_15[[#This Row],[UNDERSIZE]]+0.0011</f>
        <v>1.1000000000000001E-3</v>
      </c>
      <c r="BE129" s="86">
        <f>Table_15[[#This Row],[Total Graded]]-Table_15[[#This Row],[Packing Quantity]]+Table_15[[#This Row],[PACKING LOOSE]]</f>
        <v>0</v>
      </c>
      <c r="BF129" s="34">
        <f>IF(Table_15[[#This Row],[GRADED BAGS]]&gt;0,Table_15[[#This Row],[GRADED BAGS]],Table_15[[#This Row],[Bags]])</f>
        <v>0</v>
      </c>
    </row>
    <row r="130" spans="1:58" ht="14.25" hidden="1" customHeight="1" x14ac:dyDescent="0.35">
      <c r="A130" s="22">
        <v>128</v>
      </c>
      <c r="B130" s="22"/>
      <c r="C130" s="23"/>
      <c r="D130" s="23"/>
      <c r="E130" s="24"/>
      <c r="F130" s="23"/>
      <c r="G130" s="100"/>
      <c r="H130" s="101"/>
      <c r="I130" s="102"/>
      <c r="J130" s="102"/>
      <c r="K130" s="233"/>
      <c r="L130" s="22"/>
      <c r="M130" s="25">
        <f t="shared" si="6"/>
        <v>0</v>
      </c>
      <c r="N130" s="25">
        <f t="shared" si="7"/>
        <v>0</v>
      </c>
      <c r="O130" s="25">
        <f t="shared" si="8"/>
        <v>0</v>
      </c>
      <c r="P130" s="25">
        <f t="shared" si="9"/>
        <v>0</v>
      </c>
      <c r="Q130" s="22"/>
      <c r="R130" s="22"/>
      <c r="S130" s="22"/>
      <c r="T130" s="168"/>
      <c r="U130" s="171">
        <f t="shared" si="10"/>
        <v>0</v>
      </c>
      <c r="V130" s="169"/>
      <c r="W130" s="28"/>
      <c r="X130" s="25" t="str">
        <f>+IF(AND('GRADING PACKING'!L$5=INWARDDATA!J130,'GRADING PACKING'!L$6=INWARDDATA!I130,AB130=0),"TRUE","FALSE")</f>
        <v>FALSE</v>
      </c>
      <c r="Y130" s="29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1"/>
      <c r="AK130" s="31"/>
      <c r="AL130" s="31"/>
      <c r="AM130" s="31"/>
      <c r="AN130" s="32" t="str">
        <f>+IF(AND('GRADING PACKING'!L$5=INWARDDATA!J130,'GRADING PACKING'!L$6=INWARDDATA!I130,AR130=0),"good","bad")</f>
        <v>bad</v>
      </c>
      <c r="AO130" s="33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86"/>
      <c r="BC130" s="86"/>
      <c r="BD130" s="97">
        <f>Table_15[[#This Row],[Wgt-Bag]]-Table_15[[#This Row],[Total Graded]]-Table_15[[#This Row],[UNDERSIZE]]+0.0011</f>
        <v>1.1000000000000001E-3</v>
      </c>
      <c r="BE130" s="86">
        <f>Table_15[[#This Row],[Total Graded]]-Table_15[[#This Row],[Packing Quantity]]+Table_15[[#This Row],[PACKING LOOSE]]</f>
        <v>0</v>
      </c>
      <c r="BF130" s="34">
        <f>IF(Table_15[[#This Row],[GRADED BAGS]]&gt;0,Table_15[[#This Row],[GRADED BAGS]],Table_15[[#This Row],[Bags]])</f>
        <v>0</v>
      </c>
    </row>
    <row r="131" spans="1:58" ht="14.25" hidden="1" customHeight="1" x14ac:dyDescent="0.35">
      <c r="A131" s="22">
        <v>129</v>
      </c>
      <c r="B131" s="22"/>
      <c r="C131" s="23"/>
      <c r="D131" s="23"/>
      <c r="E131" s="24"/>
      <c r="F131" s="23"/>
      <c r="G131" s="100"/>
      <c r="H131" s="101"/>
      <c r="I131" s="102"/>
      <c r="J131" s="102"/>
      <c r="K131" s="233"/>
      <c r="L131" s="22"/>
      <c r="M131" s="25">
        <f t="shared" ref="M131:M194" si="11">ROUNDUP((K131*L131),0)</f>
        <v>0</v>
      </c>
      <c r="N131" s="25">
        <f t="shared" ref="N131:N194" si="12">(H131-M131)/100</f>
        <v>0</v>
      </c>
      <c r="O131" s="25">
        <f t="shared" ref="O131:O194" si="13">ROUNDUP((H131/90)*0.003,2)</f>
        <v>0</v>
      </c>
      <c r="P131" s="25">
        <f t="shared" ref="P131:P194" si="14">(N131)-O131</f>
        <v>0</v>
      </c>
      <c r="Q131" s="22"/>
      <c r="R131" s="22"/>
      <c r="S131" s="22"/>
      <c r="T131" s="168"/>
      <c r="U131" s="171">
        <f t="shared" ref="U131:U194" si="15">T131*P131</f>
        <v>0</v>
      </c>
      <c r="V131" s="169"/>
      <c r="W131" s="28"/>
      <c r="X131" s="25" t="str">
        <f>+IF(AND('GRADING PACKING'!L$5=INWARDDATA!J131,'GRADING PACKING'!L$6=INWARDDATA!I131,AB131=0),"TRUE","FALSE")</f>
        <v>FALSE</v>
      </c>
      <c r="Y131" s="29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1"/>
      <c r="AK131" s="31"/>
      <c r="AL131" s="31"/>
      <c r="AM131" s="31"/>
      <c r="AN131" s="32" t="str">
        <f>+IF(AND('GRADING PACKING'!L$5=INWARDDATA!J131,'GRADING PACKING'!L$6=INWARDDATA!I131,AR131=0),"good","bad")</f>
        <v>bad</v>
      </c>
      <c r="AO131" s="33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86"/>
      <c r="BC131" s="86"/>
      <c r="BD131" s="97">
        <f>Table_15[[#This Row],[Wgt-Bag]]-Table_15[[#This Row],[Total Graded]]-Table_15[[#This Row],[UNDERSIZE]]+0.0011</f>
        <v>1.1000000000000001E-3</v>
      </c>
      <c r="BE131" s="86">
        <f>Table_15[[#This Row],[Total Graded]]-Table_15[[#This Row],[Packing Quantity]]+Table_15[[#This Row],[PACKING LOOSE]]</f>
        <v>0</v>
      </c>
      <c r="BF131" s="34">
        <f>IF(Table_15[[#This Row],[GRADED BAGS]]&gt;0,Table_15[[#This Row],[GRADED BAGS]],Table_15[[#This Row],[Bags]])</f>
        <v>0</v>
      </c>
    </row>
    <row r="132" spans="1:58" ht="14.25" hidden="1" customHeight="1" x14ac:dyDescent="0.35">
      <c r="A132" s="22">
        <v>130</v>
      </c>
      <c r="B132" s="22"/>
      <c r="C132" s="23"/>
      <c r="D132" s="23"/>
      <c r="E132" s="24"/>
      <c r="F132" s="23"/>
      <c r="G132" s="100"/>
      <c r="H132" s="101"/>
      <c r="I132" s="102"/>
      <c r="J132" s="102"/>
      <c r="K132" s="233"/>
      <c r="L132" s="22"/>
      <c r="M132" s="25">
        <f t="shared" si="11"/>
        <v>0</v>
      </c>
      <c r="N132" s="25">
        <f t="shared" si="12"/>
        <v>0</v>
      </c>
      <c r="O132" s="25">
        <f t="shared" si="13"/>
        <v>0</v>
      </c>
      <c r="P132" s="25">
        <f t="shared" si="14"/>
        <v>0</v>
      </c>
      <c r="Q132" s="22"/>
      <c r="R132" s="22"/>
      <c r="S132" s="22"/>
      <c r="T132" s="168"/>
      <c r="U132" s="171">
        <f t="shared" si="15"/>
        <v>0</v>
      </c>
      <c r="V132" s="169"/>
      <c r="W132" s="28"/>
      <c r="X132" s="25" t="str">
        <f>+IF(AND('GRADING PACKING'!L$5=INWARDDATA!J132,'GRADING PACKING'!L$6=INWARDDATA!I132,AB132=0),"TRUE","FALSE")</f>
        <v>FALSE</v>
      </c>
      <c r="Y132" s="29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1"/>
      <c r="AK132" s="31"/>
      <c r="AL132" s="31"/>
      <c r="AM132" s="31"/>
      <c r="AN132" s="32" t="str">
        <f>+IF(AND('GRADING PACKING'!L$5=INWARDDATA!J132,'GRADING PACKING'!L$6=INWARDDATA!I132,AR132=0),"good","bad")</f>
        <v>bad</v>
      </c>
      <c r="AO132" s="33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86"/>
      <c r="BC132" s="86"/>
      <c r="BD132" s="97">
        <f>Table_15[[#This Row],[Wgt-Bag]]-Table_15[[#This Row],[Total Graded]]-Table_15[[#This Row],[UNDERSIZE]]+0.0011</f>
        <v>1.1000000000000001E-3</v>
      </c>
      <c r="BE132" s="86">
        <f>Table_15[[#This Row],[Total Graded]]-Table_15[[#This Row],[Packing Quantity]]+Table_15[[#This Row],[PACKING LOOSE]]</f>
        <v>0</v>
      </c>
      <c r="BF132" s="34">
        <f>IF(Table_15[[#This Row],[GRADED BAGS]]&gt;0,Table_15[[#This Row],[GRADED BAGS]],Table_15[[#This Row],[Bags]])</f>
        <v>0</v>
      </c>
    </row>
    <row r="133" spans="1:58" ht="14.25" hidden="1" customHeight="1" x14ac:dyDescent="0.35">
      <c r="A133" s="22">
        <v>131</v>
      </c>
      <c r="B133" s="22"/>
      <c r="C133" s="23"/>
      <c r="D133" s="23"/>
      <c r="E133" s="24"/>
      <c r="F133" s="23"/>
      <c r="G133" s="100"/>
      <c r="H133" s="101"/>
      <c r="I133" s="102"/>
      <c r="J133" s="102"/>
      <c r="K133" s="233"/>
      <c r="L133" s="22"/>
      <c r="M133" s="25">
        <f t="shared" si="11"/>
        <v>0</v>
      </c>
      <c r="N133" s="25">
        <f t="shared" si="12"/>
        <v>0</v>
      </c>
      <c r="O133" s="25">
        <f t="shared" si="13"/>
        <v>0</v>
      </c>
      <c r="P133" s="25">
        <f t="shared" si="14"/>
        <v>0</v>
      </c>
      <c r="Q133" s="22"/>
      <c r="R133" s="22"/>
      <c r="S133" s="22"/>
      <c r="T133" s="168"/>
      <c r="U133" s="171">
        <f t="shared" si="15"/>
        <v>0</v>
      </c>
      <c r="V133" s="169"/>
      <c r="W133" s="28"/>
      <c r="X133" s="25" t="str">
        <f>+IF(AND('GRADING PACKING'!L$5=INWARDDATA!J133,'GRADING PACKING'!L$6=INWARDDATA!I133,AB133=0),"TRUE","FALSE")</f>
        <v>FALSE</v>
      </c>
      <c r="Y133" s="29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1"/>
      <c r="AK133" s="31"/>
      <c r="AL133" s="31"/>
      <c r="AM133" s="31"/>
      <c r="AN133" s="32" t="str">
        <f>+IF(AND('GRADING PACKING'!L$5=INWARDDATA!J133,'GRADING PACKING'!L$6=INWARDDATA!I133,AR133=0),"good","bad")</f>
        <v>bad</v>
      </c>
      <c r="AO133" s="33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86"/>
      <c r="BC133" s="86"/>
      <c r="BD133" s="97">
        <f>Table_15[[#This Row],[Wgt-Bag]]-Table_15[[#This Row],[Total Graded]]-Table_15[[#This Row],[UNDERSIZE]]+0.0011</f>
        <v>1.1000000000000001E-3</v>
      </c>
      <c r="BE133" s="86">
        <f>Table_15[[#This Row],[Total Graded]]-Table_15[[#This Row],[Packing Quantity]]+Table_15[[#This Row],[PACKING LOOSE]]</f>
        <v>0</v>
      </c>
      <c r="BF133" s="34">
        <f>IF(Table_15[[#This Row],[GRADED BAGS]]&gt;0,Table_15[[#This Row],[GRADED BAGS]],Table_15[[#This Row],[Bags]])</f>
        <v>0</v>
      </c>
    </row>
    <row r="134" spans="1:58" ht="14.25" hidden="1" customHeight="1" x14ac:dyDescent="0.35">
      <c r="A134" s="22">
        <v>132</v>
      </c>
      <c r="B134" s="22"/>
      <c r="C134" s="23"/>
      <c r="D134" s="23"/>
      <c r="E134" s="24"/>
      <c r="F134" s="23"/>
      <c r="G134" s="100"/>
      <c r="H134" s="101"/>
      <c r="I134" s="102"/>
      <c r="J134" s="102"/>
      <c r="K134" s="233"/>
      <c r="L134" s="22"/>
      <c r="M134" s="25">
        <f t="shared" si="11"/>
        <v>0</v>
      </c>
      <c r="N134" s="25">
        <f t="shared" si="12"/>
        <v>0</v>
      </c>
      <c r="O134" s="25">
        <f t="shared" si="13"/>
        <v>0</v>
      </c>
      <c r="P134" s="25">
        <f t="shared" si="14"/>
        <v>0</v>
      </c>
      <c r="Q134" s="22"/>
      <c r="R134" s="22"/>
      <c r="S134" s="22"/>
      <c r="T134" s="168"/>
      <c r="U134" s="171">
        <f t="shared" si="15"/>
        <v>0</v>
      </c>
      <c r="V134" s="169"/>
      <c r="W134" s="28"/>
      <c r="X134" s="25" t="str">
        <f>+IF(AND('GRADING PACKING'!L$5=INWARDDATA!J134,'GRADING PACKING'!L$6=INWARDDATA!I134,AB134=0),"TRUE","FALSE")</f>
        <v>FALSE</v>
      </c>
      <c r="Y134" s="29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1"/>
      <c r="AK134" s="31"/>
      <c r="AL134" s="31"/>
      <c r="AM134" s="31"/>
      <c r="AN134" s="32" t="str">
        <f>+IF(AND('GRADING PACKING'!L$5=INWARDDATA!J134,'GRADING PACKING'!L$6=INWARDDATA!I134,AR134=0),"good","bad")</f>
        <v>bad</v>
      </c>
      <c r="AO134" s="33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86"/>
      <c r="BC134" s="86"/>
      <c r="BD134" s="97">
        <f>Table_15[[#This Row],[Wgt-Bag]]-Table_15[[#This Row],[Total Graded]]-Table_15[[#This Row],[UNDERSIZE]]+0.0011</f>
        <v>1.1000000000000001E-3</v>
      </c>
      <c r="BE134" s="86">
        <f>Table_15[[#This Row],[Total Graded]]-Table_15[[#This Row],[Packing Quantity]]+Table_15[[#This Row],[PACKING LOOSE]]</f>
        <v>0</v>
      </c>
      <c r="BF134" s="34">
        <f>IF(Table_15[[#This Row],[GRADED BAGS]]&gt;0,Table_15[[#This Row],[GRADED BAGS]],Table_15[[#This Row],[Bags]])</f>
        <v>0</v>
      </c>
    </row>
    <row r="135" spans="1:58" ht="14.25" hidden="1" customHeight="1" x14ac:dyDescent="0.35">
      <c r="A135" s="22">
        <v>133</v>
      </c>
      <c r="B135" s="22"/>
      <c r="C135" s="23"/>
      <c r="D135" s="23"/>
      <c r="E135" s="24"/>
      <c r="F135" s="23"/>
      <c r="G135" s="100"/>
      <c r="H135" s="101"/>
      <c r="I135" s="102"/>
      <c r="J135" s="102"/>
      <c r="K135" s="233"/>
      <c r="L135" s="22"/>
      <c r="M135" s="25">
        <f t="shared" si="11"/>
        <v>0</v>
      </c>
      <c r="N135" s="25">
        <f t="shared" si="12"/>
        <v>0</v>
      </c>
      <c r="O135" s="25">
        <f t="shared" si="13"/>
        <v>0</v>
      </c>
      <c r="P135" s="25">
        <f t="shared" si="14"/>
        <v>0</v>
      </c>
      <c r="Q135" s="22"/>
      <c r="R135" s="22"/>
      <c r="S135" s="22"/>
      <c r="T135" s="168"/>
      <c r="U135" s="171">
        <f t="shared" si="15"/>
        <v>0</v>
      </c>
      <c r="V135" s="169"/>
      <c r="W135" s="28"/>
      <c r="X135" s="25" t="str">
        <f>+IF(AND('GRADING PACKING'!L$5=INWARDDATA!J135,'GRADING PACKING'!L$6=INWARDDATA!I135,AB135=0),"TRUE","FALSE")</f>
        <v>FALSE</v>
      </c>
      <c r="Y135" s="29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1"/>
      <c r="AK135" s="31"/>
      <c r="AL135" s="31"/>
      <c r="AM135" s="31"/>
      <c r="AN135" s="32" t="str">
        <f>+IF(AND('GRADING PACKING'!L$5=INWARDDATA!J135,'GRADING PACKING'!L$6=INWARDDATA!I135,AR135=0),"good","bad")</f>
        <v>bad</v>
      </c>
      <c r="AO135" s="33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86"/>
      <c r="BC135" s="86"/>
      <c r="BD135" s="97">
        <f>Table_15[[#This Row],[Wgt-Bag]]-Table_15[[#This Row],[Total Graded]]-Table_15[[#This Row],[UNDERSIZE]]+0.0011</f>
        <v>1.1000000000000001E-3</v>
      </c>
      <c r="BE135" s="86">
        <f>Table_15[[#This Row],[Total Graded]]-Table_15[[#This Row],[Packing Quantity]]+Table_15[[#This Row],[PACKING LOOSE]]</f>
        <v>0</v>
      </c>
      <c r="BF135" s="34">
        <f>IF(Table_15[[#This Row],[GRADED BAGS]]&gt;0,Table_15[[#This Row],[GRADED BAGS]],Table_15[[#This Row],[Bags]])</f>
        <v>0</v>
      </c>
    </row>
    <row r="136" spans="1:58" ht="14.25" hidden="1" customHeight="1" x14ac:dyDescent="0.35">
      <c r="A136" s="22">
        <v>134</v>
      </c>
      <c r="B136" s="22"/>
      <c r="C136" s="23"/>
      <c r="D136" s="23"/>
      <c r="E136" s="24"/>
      <c r="F136" s="23"/>
      <c r="G136" s="100"/>
      <c r="H136" s="101"/>
      <c r="I136" s="102"/>
      <c r="J136" s="102"/>
      <c r="K136" s="233"/>
      <c r="L136" s="22"/>
      <c r="M136" s="25">
        <f t="shared" si="11"/>
        <v>0</v>
      </c>
      <c r="N136" s="25">
        <f t="shared" si="12"/>
        <v>0</v>
      </c>
      <c r="O136" s="25">
        <f t="shared" si="13"/>
        <v>0</v>
      </c>
      <c r="P136" s="25">
        <f t="shared" si="14"/>
        <v>0</v>
      </c>
      <c r="Q136" s="22"/>
      <c r="R136" s="22"/>
      <c r="S136" s="22"/>
      <c r="T136" s="168"/>
      <c r="U136" s="171">
        <f t="shared" si="15"/>
        <v>0</v>
      </c>
      <c r="V136" s="169"/>
      <c r="W136" s="28"/>
      <c r="X136" s="25" t="str">
        <f>+IF(AND('GRADING PACKING'!L$5=INWARDDATA!J136,'GRADING PACKING'!L$6=INWARDDATA!I136,AB136=0),"TRUE","FALSE")</f>
        <v>FALSE</v>
      </c>
      <c r="Y136" s="29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1"/>
      <c r="AK136" s="31"/>
      <c r="AL136" s="31"/>
      <c r="AM136" s="31"/>
      <c r="AN136" s="32" t="str">
        <f>+IF(AND('GRADING PACKING'!L$5=INWARDDATA!J136,'GRADING PACKING'!L$6=INWARDDATA!I136,AR136=0),"good","bad")</f>
        <v>bad</v>
      </c>
      <c r="AO136" s="33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86"/>
      <c r="BC136" s="86"/>
      <c r="BD136" s="97">
        <f>Table_15[[#This Row],[Wgt-Bag]]-Table_15[[#This Row],[Total Graded]]-Table_15[[#This Row],[UNDERSIZE]]+0.0011</f>
        <v>1.1000000000000001E-3</v>
      </c>
      <c r="BE136" s="86">
        <f>Table_15[[#This Row],[Total Graded]]-Table_15[[#This Row],[Packing Quantity]]+Table_15[[#This Row],[PACKING LOOSE]]</f>
        <v>0</v>
      </c>
      <c r="BF136" s="34">
        <f>IF(Table_15[[#This Row],[GRADED BAGS]]&gt;0,Table_15[[#This Row],[GRADED BAGS]],Table_15[[#This Row],[Bags]])</f>
        <v>0</v>
      </c>
    </row>
    <row r="137" spans="1:58" ht="14.25" hidden="1" customHeight="1" x14ac:dyDescent="0.35">
      <c r="A137" s="22">
        <v>135</v>
      </c>
      <c r="B137" s="22"/>
      <c r="C137" s="23"/>
      <c r="D137" s="23"/>
      <c r="E137" s="24"/>
      <c r="F137" s="23"/>
      <c r="G137" s="100"/>
      <c r="H137" s="101"/>
      <c r="I137" s="102"/>
      <c r="J137" s="102"/>
      <c r="K137" s="233"/>
      <c r="L137" s="22"/>
      <c r="M137" s="25">
        <f t="shared" si="11"/>
        <v>0</v>
      </c>
      <c r="N137" s="25">
        <f t="shared" si="12"/>
        <v>0</v>
      </c>
      <c r="O137" s="25">
        <f t="shared" si="13"/>
        <v>0</v>
      </c>
      <c r="P137" s="25">
        <f t="shared" si="14"/>
        <v>0</v>
      </c>
      <c r="Q137" s="22"/>
      <c r="R137" s="22"/>
      <c r="S137" s="22"/>
      <c r="T137" s="168"/>
      <c r="U137" s="171">
        <f t="shared" si="15"/>
        <v>0</v>
      </c>
      <c r="V137" s="169"/>
      <c r="W137" s="28"/>
      <c r="X137" s="25" t="str">
        <f>+IF(AND('GRADING PACKING'!L$5=INWARDDATA!J137,'GRADING PACKING'!L$6=INWARDDATA!I137,AB137=0),"TRUE","FALSE")</f>
        <v>FALSE</v>
      </c>
      <c r="Y137" s="29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1"/>
      <c r="AK137" s="31"/>
      <c r="AL137" s="31"/>
      <c r="AM137" s="31"/>
      <c r="AN137" s="32" t="str">
        <f>+IF(AND('GRADING PACKING'!L$5=INWARDDATA!J137,'GRADING PACKING'!L$6=INWARDDATA!I137,AR137=0),"good","bad")</f>
        <v>bad</v>
      </c>
      <c r="AO137" s="33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86"/>
      <c r="BC137" s="86"/>
      <c r="BD137" s="97">
        <f>Table_15[[#This Row],[Wgt-Bag]]-Table_15[[#This Row],[Total Graded]]-Table_15[[#This Row],[UNDERSIZE]]+0.0011</f>
        <v>1.1000000000000001E-3</v>
      </c>
      <c r="BE137" s="86">
        <f>Table_15[[#This Row],[Total Graded]]-Table_15[[#This Row],[Packing Quantity]]+Table_15[[#This Row],[PACKING LOOSE]]</f>
        <v>0</v>
      </c>
      <c r="BF137" s="34">
        <f>IF(Table_15[[#This Row],[GRADED BAGS]]&gt;0,Table_15[[#This Row],[GRADED BAGS]],Table_15[[#This Row],[Bags]])</f>
        <v>0</v>
      </c>
    </row>
    <row r="138" spans="1:58" ht="14.25" hidden="1" customHeight="1" x14ac:dyDescent="0.35">
      <c r="A138" s="22">
        <v>136</v>
      </c>
      <c r="B138" s="22"/>
      <c r="C138" s="23"/>
      <c r="D138" s="23"/>
      <c r="E138" s="24"/>
      <c r="F138" s="23"/>
      <c r="G138" s="100"/>
      <c r="H138" s="101"/>
      <c r="I138" s="102"/>
      <c r="J138" s="102"/>
      <c r="K138" s="233"/>
      <c r="L138" s="22"/>
      <c r="M138" s="25">
        <f t="shared" si="11"/>
        <v>0</v>
      </c>
      <c r="N138" s="25">
        <f t="shared" si="12"/>
        <v>0</v>
      </c>
      <c r="O138" s="25">
        <f t="shared" si="13"/>
        <v>0</v>
      </c>
      <c r="P138" s="25">
        <f t="shared" si="14"/>
        <v>0</v>
      </c>
      <c r="Q138" s="22"/>
      <c r="R138" s="22"/>
      <c r="S138" s="22"/>
      <c r="T138" s="168"/>
      <c r="U138" s="171">
        <f t="shared" si="15"/>
        <v>0</v>
      </c>
      <c r="V138" s="169"/>
      <c r="W138" s="28"/>
      <c r="X138" s="25" t="str">
        <f>+IF(AND('GRADING PACKING'!L$5=INWARDDATA!J138,'GRADING PACKING'!L$6=INWARDDATA!I138,AB138=0),"TRUE","FALSE")</f>
        <v>FALSE</v>
      </c>
      <c r="Y138" s="29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1"/>
      <c r="AK138" s="31"/>
      <c r="AL138" s="31"/>
      <c r="AM138" s="31"/>
      <c r="AN138" s="32" t="str">
        <f>+IF(AND('GRADING PACKING'!L$5=INWARDDATA!J138,'GRADING PACKING'!L$6=INWARDDATA!I138,AR138=0),"good","bad")</f>
        <v>bad</v>
      </c>
      <c r="AO138" s="33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86"/>
      <c r="BC138" s="86"/>
      <c r="BD138" s="97">
        <f>Table_15[[#This Row],[Wgt-Bag]]-Table_15[[#This Row],[Total Graded]]-Table_15[[#This Row],[UNDERSIZE]]+0.0011</f>
        <v>1.1000000000000001E-3</v>
      </c>
      <c r="BE138" s="86">
        <f>Table_15[[#This Row],[Total Graded]]-Table_15[[#This Row],[Packing Quantity]]+Table_15[[#This Row],[PACKING LOOSE]]</f>
        <v>0</v>
      </c>
      <c r="BF138" s="34">
        <f>IF(Table_15[[#This Row],[GRADED BAGS]]&gt;0,Table_15[[#This Row],[GRADED BAGS]],Table_15[[#This Row],[Bags]])</f>
        <v>0</v>
      </c>
    </row>
    <row r="139" spans="1:58" ht="14.25" hidden="1" customHeight="1" x14ac:dyDescent="0.35">
      <c r="A139" s="22">
        <v>137</v>
      </c>
      <c r="B139" s="22"/>
      <c r="C139" s="23"/>
      <c r="D139" s="23"/>
      <c r="E139" s="24"/>
      <c r="F139" s="23"/>
      <c r="G139" s="100"/>
      <c r="H139" s="101"/>
      <c r="I139" s="102"/>
      <c r="J139" s="102"/>
      <c r="K139" s="233"/>
      <c r="L139" s="22"/>
      <c r="M139" s="25">
        <f t="shared" si="11"/>
        <v>0</v>
      </c>
      <c r="N139" s="25">
        <f t="shared" si="12"/>
        <v>0</v>
      </c>
      <c r="O139" s="25">
        <f t="shared" si="13"/>
        <v>0</v>
      </c>
      <c r="P139" s="25">
        <f t="shared" si="14"/>
        <v>0</v>
      </c>
      <c r="Q139" s="22"/>
      <c r="R139" s="22"/>
      <c r="S139" s="22"/>
      <c r="T139" s="168"/>
      <c r="U139" s="171">
        <f t="shared" si="15"/>
        <v>0</v>
      </c>
      <c r="V139" s="169"/>
      <c r="W139" s="28"/>
      <c r="X139" s="25" t="str">
        <f>+IF(AND('GRADING PACKING'!L$5=INWARDDATA!J139,'GRADING PACKING'!L$6=INWARDDATA!I139,AB139=0),"TRUE","FALSE")</f>
        <v>FALSE</v>
      </c>
      <c r="Y139" s="29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1"/>
      <c r="AK139" s="31"/>
      <c r="AL139" s="31"/>
      <c r="AM139" s="31"/>
      <c r="AN139" s="32" t="str">
        <f>+IF(AND('GRADING PACKING'!L$5=INWARDDATA!J139,'GRADING PACKING'!L$6=INWARDDATA!I139,AR139=0),"good","bad")</f>
        <v>bad</v>
      </c>
      <c r="AO139" s="33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86"/>
      <c r="BC139" s="86"/>
      <c r="BD139" s="97">
        <f>Table_15[[#This Row],[Wgt-Bag]]-Table_15[[#This Row],[Total Graded]]-Table_15[[#This Row],[UNDERSIZE]]+0.0011</f>
        <v>1.1000000000000001E-3</v>
      </c>
      <c r="BE139" s="86">
        <f>Table_15[[#This Row],[Total Graded]]-Table_15[[#This Row],[Packing Quantity]]+Table_15[[#This Row],[PACKING LOOSE]]</f>
        <v>0</v>
      </c>
      <c r="BF139" s="34">
        <f>IF(Table_15[[#This Row],[GRADED BAGS]]&gt;0,Table_15[[#This Row],[GRADED BAGS]],Table_15[[#This Row],[Bags]])</f>
        <v>0</v>
      </c>
    </row>
    <row r="140" spans="1:58" ht="14.25" hidden="1" customHeight="1" x14ac:dyDescent="0.35">
      <c r="A140" s="22">
        <v>138</v>
      </c>
      <c r="B140" s="22"/>
      <c r="C140" s="23"/>
      <c r="D140" s="23"/>
      <c r="E140" s="24"/>
      <c r="F140" s="23"/>
      <c r="G140" s="100"/>
      <c r="H140" s="101"/>
      <c r="I140" s="102"/>
      <c r="J140" s="102"/>
      <c r="K140" s="233"/>
      <c r="L140" s="22"/>
      <c r="M140" s="25">
        <f t="shared" si="11"/>
        <v>0</v>
      </c>
      <c r="N140" s="25">
        <f t="shared" si="12"/>
        <v>0</v>
      </c>
      <c r="O140" s="25">
        <f t="shared" si="13"/>
        <v>0</v>
      </c>
      <c r="P140" s="25">
        <f t="shared" si="14"/>
        <v>0</v>
      </c>
      <c r="Q140" s="22"/>
      <c r="R140" s="22"/>
      <c r="S140" s="22"/>
      <c r="T140" s="168"/>
      <c r="U140" s="171">
        <f t="shared" si="15"/>
        <v>0</v>
      </c>
      <c r="V140" s="169"/>
      <c r="W140" s="28"/>
      <c r="X140" s="25" t="str">
        <f>+IF(AND('GRADING PACKING'!L$5=INWARDDATA!J140,'GRADING PACKING'!L$6=INWARDDATA!I140,AB140=0),"TRUE","FALSE")</f>
        <v>FALSE</v>
      </c>
      <c r="Y140" s="29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1"/>
      <c r="AK140" s="31"/>
      <c r="AL140" s="31"/>
      <c r="AM140" s="31"/>
      <c r="AN140" s="32" t="str">
        <f>+IF(AND('GRADING PACKING'!L$5=INWARDDATA!J140,'GRADING PACKING'!L$6=INWARDDATA!I140,AR140=0),"good","bad")</f>
        <v>bad</v>
      </c>
      <c r="AO140" s="33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86"/>
      <c r="BC140" s="86"/>
      <c r="BD140" s="97">
        <f>Table_15[[#This Row],[Wgt-Bag]]-Table_15[[#This Row],[Total Graded]]-Table_15[[#This Row],[UNDERSIZE]]+0.0011</f>
        <v>1.1000000000000001E-3</v>
      </c>
      <c r="BE140" s="86">
        <f>Table_15[[#This Row],[Total Graded]]-Table_15[[#This Row],[Packing Quantity]]+Table_15[[#This Row],[PACKING LOOSE]]</f>
        <v>0</v>
      </c>
      <c r="BF140" s="34">
        <f>IF(Table_15[[#This Row],[GRADED BAGS]]&gt;0,Table_15[[#This Row],[GRADED BAGS]],Table_15[[#This Row],[Bags]])</f>
        <v>0</v>
      </c>
    </row>
    <row r="141" spans="1:58" ht="14.25" hidden="1" customHeight="1" x14ac:dyDescent="0.35">
      <c r="A141" s="22">
        <v>139</v>
      </c>
      <c r="B141" s="22"/>
      <c r="C141" s="23"/>
      <c r="D141" s="23"/>
      <c r="E141" s="24"/>
      <c r="F141" s="23"/>
      <c r="G141" s="100"/>
      <c r="H141" s="101"/>
      <c r="I141" s="102"/>
      <c r="J141" s="102"/>
      <c r="K141" s="233"/>
      <c r="L141" s="22"/>
      <c r="M141" s="25">
        <f t="shared" si="11"/>
        <v>0</v>
      </c>
      <c r="N141" s="25">
        <f t="shared" si="12"/>
        <v>0</v>
      </c>
      <c r="O141" s="25">
        <f t="shared" si="13"/>
        <v>0</v>
      </c>
      <c r="P141" s="25">
        <f t="shared" si="14"/>
        <v>0</v>
      </c>
      <c r="Q141" s="22"/>
      <c r="R141" s="22"/>
      <c r="S141" s="22"/>
      <c r="T141" s="168"/>
      <c r="U141" s="171">
        <f t="shared" si="15"/>
        <v>0</v>
      </c>
      <c r="V141" s="169"/>
      <c r="W141" s="28"/>
      <c r="X141" s="25" t="str">
        <f>+IF(AND('GRADING PACKING'!L$5=INWARDDATA!J141,'GRADING PACKING'!L$6=INWARDDATA!I141,AB141=0),"TRUE","FALSE")</f>
        <v>FALSE</v>
      </c>
      <c r="Y141" s="29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1"/>
      <c r="AK141" s="31"/>
      <c r="AL141" s="31"/>
      <c r="AM141" s="31"/>
      <c r="AN141" s="32" t="str">
        <f>+IF(AND('GRADING PACKING'!L$5=INWARDDATA!J141,'GRADING PACKING'!L$6=INWARDDATA!I141,AR141=0),"good","bad")</f>
        <v>bad</v>
      </c>
      <c r="AO141" s="33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86"/>
      <c r="BC141" s="86"/>
      <c r="BD141" s="97">
        <f>Table_15[[#This Row],[Wgt-Bag]]-Table_15[[#This Row],[Total Graded]]-Table_15[[#This Row],[UNDERSIZE]]+0.0011</f>
        <v>1.1000000000000001E-3</v>
      </c>
      <c r="BE141" s="86">
        <f>Table_15[[#This Row],[Total Graded]]-Table_15[[#This Row],[Packing Quantity]]+Table_15[[#This Row],[PACKING LOOSE]]</f>
        <v>0</v>
      </c>
      <c r="BF141" s="34">
        <f>IF(Table_15[[#This Row],[GRADED BAGS]]&gt;0,Table_15[[#This Row],[GRADED BAGS]],Table_15[[#This Row],[Bags]])</f>
        <v>0</v>
      </c>
    </row>
    <row r="142" spans="1:58" ht="14.25" hidden="1" customHeight="1" x14ac:dyDescent="0.35">
      <c r="A142" s="22">
        <v>140</v>
      </c>
      <c r="B142" s="22"/>
      <c r="C142" s="23"/>
      <c r="D142" s="23"/>
      <c r="E142" s="24"/>
      <c r="F142" s="23"/>
      <c r="G142" s="100"/>
      <c r="H142" s="101"/>
      <c r="I142" s="102"/>
      <c r="J142" s="102"/>
      <c r="K142" s="233"/>
      <c r="L142" s="22"/>
      <c r="M142" s="25">
        <f t="shared" si="11"/>
        <v>0</v>
      </c>
      <c r="N142" s="25">
        <f t="shared" si="12"/>
        <v>0</v>
      </c>
      <c r="O142" s="25">
        <f t="shared" si="13"/>
        <v>0</v>
      </c>
      <c r="P142" s="25">
        <f t="shared" si="14"/>
        <v>0</v>
      </c>
      <c r="Q142" s="22"/>
      <c r="R142" s="22"/>
      <c r="S142" s="22"/>
      <c r="T142" s="168"/>
      <c r="U142" s="171">
        <f t="shared" si="15"/>
        <v>0</v>
      </c>
      <c r="V142" s="169"/>
      <c r="W142" s="28"/>
      <c r="X142" s="25" t="str">
        <f>+IF(AND('GRADING PACKING'!L$5=INWARDDATA!J142,'GRADING PACKING'!L$6=INWARDDATA!I142,AB142=0),"TRUE","FALSE")</f>
        <v>FALSE</v>
      </c>
      <c r="Y142" s="29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1"/>
      <c r="AK142" s="31"/>
      <c r="AL142" s="31"/>
      <c r="AM142" s="31"/>
      <c r="AN142" s="32" t="str">
        <f>+IF(AND('GRADING PACKING'!L$5=INWARDDATA!J142,'GRADING PACKING'!L$6=INWARDDATA!I142,AR142=0),"good","bad")</f>
        <v>bad</v>
      </c>
      <c r="AO142" s="33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86"/>
      <c r="BC142" s="86"/>
      <c r="BD142" s="97">
        <f>Table_15[[#This Row],[Wgt-Bag]]-Table_15[[#This Row],[Total Graded]]-Table_15[[#This Row],[UNDERSIZE]]+0.0011</f>
        <v>1.1000000000000001E-3</v>
      </c>
      <c r="BE142" s="86">
        <f>Table_15[[#This Row],[Total Graded]]-Table_15[[#This Row],[Packing Quantity]]+Table_15[[#This Row],[PACKING LOOSE]]</f>
        <v>0</v>
      </c>
      <c r="BF142" s="34">
        <f>IF(Table_15[[#This Row],[GRADED BAGS]]&gt;0,Table_15[[#This Row],[GRADED BAGS]],Table_15[[#This Row],[Bags]])</f>
        <v>0</v>
      </c>
    </row>
    <row r="143" spans="1:58" ht="14.25" hidden="1" customHeight="1" x14ac:dyDescent="0.35">
      <c r="A143" s="22">
        <v>141</v>
      </c>
      <c r="B143" s="22"/>
      <c r="C143" s="23"/>
      <c r="D143" s="23"/>
      <c r="E143" s="24"/>
      <c r="F143" s="23"/>
      <c r="G143" s="100"/>
      <c r="H143" s="101"/>
      <c r="I143" s="102"/>
      <c r="J143" s="102"/>
      <c r="K143" s="233"/>
      <c r="L143" s="22"/>
      <c r="M143" s="25">
        <f t="shared" si="11"/>
        <v>0</v>
      </c>
      <c r="N143" s="25">
        <f t="shared" si="12"/>
        <v>0</v>
      </c>
      <c r="O143" s="25">
        <f t="shared" si="13"/>
        <v>0</v>
      </c>
      <c r="P143" s="25">
        <f t="shared" si="14"/>
        <v>0</v>
      </c>
      <c r="Q143" s="22"/>
      <c r="R143" s="22"/>
      <c r="S143" s="22"/>
      <c r="T143" s="168"/>
      <c r="U143" s="171">
        <f t="shared" si="15"/>
        <v>0</v>
      </c>
      <c r="V143" s="169"/>
      <c r="W143" s="28"/>
      <c r="X143" s="25" t="str">
        <f>+IF(AND('GRADING PACKING'!L$5=INWARDDATA!J143,'GRADING PACKING'!L$6=INWARDDATA!I143,AB143=0),"TRUE","FALSE")</f>
        <v>FALSE</v>
      </c>
      <c r="Y143" s="29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1"/>
      <c r="AK143" s="31"/>
      <c r="AL143" s="31"/>
      <c r="AM143" s="31"/>
      <c r="AN143" s="32" t="str">
        <f>+IF(AND('GRADING PACKING'!L$5=INWARDDATA!J143,'GRADING PACKING'!L$6=INWARDDATA!I143,AR143=0),"good","bad")</f>
        <v>bad</v>
      </c>
      <c r="AO143" s="33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86"/>
      <c r="BC143" s="86"/>
      <c r="BD143" s="97">
        <f>Table_15[[#This Row],[Wgt-Bag]]-Table_15[[#This Row],[Total Graded]]-Table_15[[#This Row],[UNDERSIZE]]+0.0011</f>
        <v>1.1000000000000001E-3</v>
      </c>
      <c r="BE143" s="86">
        <f>Table_15[[#This Row],[Total Graded]]-Table_15[[#This Row],[Packing Quantity]]+Table_15[[#This Row],[PACKING LOOSE]]</f>
        <v>0</v>
      </c>
      <c r="BF143" s="34">
        <f>IF(Table_15[[#This Row],[GRADED BAGS]]&gt;0,Table_15[[#This Row],[GRADED BAGS]],Table_15[[#This Row],[Bags]])</f>
        <v>0</v>
      </c>
    </row>
    <row r="144" spans="1:58" ht="14.25" hidden="1" customHeight="1" x14ac:dyDescent="0.35">
      <c r="A144" s="22">
        <v>142</v>
      </c>
      <c r="B144" s="22"/>
      <c r="C144" s="23"/>
      <c r="D144" s="23"/>
      <c r="E144" s="24"/>
      <c r="F144" s="23"/>
      <c r="G144" s="100"/>
      <c r="H144" s="101"/>
      <c r="I144" s="102"/>
      <c r="J144" s="102"/>
      <c r="K144" s="233"/>
      <c r="L144" s="22"/>
      <c r="M144" s="25">
        <f t="shared" si="11"/>
        <v>0</v>
      </c>
      <c r="N144" s="25">
        <f t="shared" si="12"/>
        <v>0</v>
      </c>
      <c r="O144" s="25">
        <f t="shared" si="13"/>
        <v>0</v>
      </c>
      <c r="P144" s="25">
        <f t="shared" si="14"/>
        <v>0</v>
      </c>
      <c r="Q144" s="22"/>
      <c r="R144" s="22"/>
      <c r="S144" s="22"/>
      <c r="T144" s="168"/>
      <c r="U144" s="171">
        <f t="shared" si="15"/>
        <v>0</v>
      </c>
      <c r="V144" s="169"/>
      <c r="W144" s="28"/>
      <c r="X144" s="25" t="str">
        <f>+IF(AND('GRADING PACKING'!L$5=INWARDDATA!J144,'GRADING PACKING'!L$6=INWARDDATA!I144,AB144=0),"TRUE","FALSE")</f>
        <v>FALSE</v>
      </c>
      <c r="Y144" s="29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1"/>
      <c r="AK144" s="31"/>
      <c r="AL144" s="31"/>
      <c r="AM144" s="31"/>
      <c r="AN144" s="32" t="str">
        <f>+IF(AND('GRADING PACKING'!L$5=INWARDDATA!J144,'GRADING PACKING'!L$6=INWARDDATA!I144,AR144=0),"good","bad")</f>
        <v>bad</v>
      </c>
      <c r="AO144" s="33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86"/>
      <c r="BC144" s="86"/>
      <c r="BD144" s="97">
        <f>Table_15[[#This Row],[Wgt-Bag]]-Table_15[[#This Row],[Total Graded]]-Table_15[[#This Row],[UNDERSIZE]]+0.0011</f>
        <v>1.1000000000000001E-3</v>
      </c>
      <c r="BE144" s="86">
        <f>Table_15[[#This Row],[Total Graded]]-Table_15[[#This Row],[Packing Quantity]]+Table_15[[#This Row],[PACKING LOOSE]]</f>
        <v>0</v>
      </c>
      <c r="BF144" s="34">
        <f>IF(Table_15[[#This Row],[GRADED BAGS]]&gt;0,Table_15[[#This Row],[GRADED BAGS]],Table_15[[#This Row],[Bags]])</f>
        <v>0</v>
      </c>
    </row>
    <row r="145" spans="1:58" ht="14.25" hidden="1" customHeight="1" x14ac:dyDescent="0.35">
      <c r="A145" s="22">
        <v>143</v>
      </c>
      <c r="B145" s="22"/>
      <c r="C145" s="23"/>
      <c r="D145" s="23"/>
      <c r="E145" s="24"/>
      <c r="F145" s="23"/>
      <c r="G145" s="100"/>
      <c r="H145" s="101"/>
      <c r="I145" s="102"/>
      <c r="J145" s="102"/>
      <c r="K145" s="233"/>
      <c r="L145" s="22"/>
      <c r="M145" s="25">
        <f t="shared" si="11"/>
        <v>0</v>
      </c>
      <c r="N145" s="25">
        <f t="shared" si="12"/>
        <v>0</v>
      </c>
      <c r="O145" s="25">
        <f t="shared" si="13"/>
        <v>0</v>
      </c>
      <c r="P145" s="25">
        <f t="shared" si="14"/>
        <v>0</v>
      </c>
      <c r="Q145" s="22"/>
      <c r="R145" s="22"/>
      <c r="S145" s="22"/>
      <c r="T145" s="168"/>
      <c r="U145" s="171">
        <f t="shared" si="15"/>
        <v>0</v>
      </c>
      <c r="V145" s="169"/>
      <c r="W145" s="28"/>
      <c r="X145" s="25" t="str">
        <f>+IF(AND('GRADING PACKING'!L$5=INWARDDATA!J145,'GRADING PACKING'!L$6=INWARDDATA!I145,AB145=0),"TRUE","FALSE")</f>
        <v>FALSE</v>
      </c>
      <c r="Y145" s="29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1"/>
      <c r="AK145" s="31"/>
      <c r="AL145" s="31"/>
      <c r="AM145" s="31"/>
      <c r="AN145" s="32" t="str">
        <f>+IF(AND('GRADING PACKING'!L$5=INWARDDATA!J145,'GRADING PACKING'!L$6=INWARDDATA!I145,AR145=0),"good","bad")</f>
        <v>bad</v>
      </c>
      <c r="AO145" s="33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86"/>
      <c r="BC145" s="86"/>
      <c r="BD145" s="97">
        <f>Table_15[[#This Row],[Wgt-Bag]]-Table_15[[#This Row],[Total Graded]]-Table_15[[#This Row],[UNDERSIZE]]+0.0011</f>
        <v>1.1000000000000001E-3</v>
      </c>
      <c r="BE145" s="86">
        <f>Table_15[[#This Row],[Total Graded]]-Table_15[[#This Row],[Packing Quantity]]+Table_15[[#This Row],[PACKING LOOSE]]</f>
        <v>0</v>
      </c>
      <c r="BF145" s="34">
        <f>IF(Table_15[[#This Row],[GRADED BAGS]]&gt;0,Table_15[[#This Row],[GRADED BAGS]],Table_15[[#This Row],[Bags]])</f>
        <v>0</v>
      </c>
    </row>
    <row r="146" spans="1:58" ht="14.25" hidden="1" customHeight="1" x14ac:dyDescent="0.35">
      <c r="A146" s="22">
        <v>144</v>
      </c>
      <c r="B146" s="22"/>
      <c r="C146" s="23"/>
      <c r="D146" s="23"/>
      <c r="E146" s="24"/>
      <c r="F146" s="23"/>
      <c r="G146" s="100"/>
      <c r="H146" s="101"/>
      <c r="I146" s="102"/>
      <c r="J146" s="102"/>
      <c r="K146" s="233"/>
      <c r="L146" s="22"/>
      <c r="M146" s="25">
        <f t="shared" si="11"/>
        <v>0</v>
      </c>
      <c r="N146" s="25">
        <f t="shared" si="12"/>
        <v>0</v>
      </c>
      <c r="O146" s="25">
        <f t="shared" si="13"/>
        <v>0</v>
      </c>
      <c r="P146" s="25">
        <f t="shared" si="14"/>
        <v>0</v>
      </c>
      <c r="Q146" s="22"/>
      <c r="R146" s="22"/>
      <c r="S146" s="22"/>
      <c r="T146" s="168"/>
      <c r="U146" s="171">
        <f t="shared" si="15"/>
        <v>0</v>
      </c>
      <c r="V146" s="169"/>
      <c r="W146" s="28"/>
      <c r="X146" s="25" t="str">
        <f>+IF(AND('GRADING PACKING'!L$5=INWARDDATA!J146,'GRADING PACKING'!L$6=INWARDDATA!I146,AB146=0),"TRUE","FALSE")</f>
        <v>FALSE</v>
      </c>
      <c r="Y146" s="29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1"/>
      <c r="AK146" s="31"/>
      <c r="AL146" s="31"/>
      <c r="AM146" s="31"/>
      <c r="AN146" s="32" t="str">
        <f>+IF(AND('GRADING PACKING'!L$5=INWARDDATA!J146,'GRADING PACKING'!L$6=INWARDDATA!I146,AR146=0),"good","bad")</f>
        <v>bad</v>
      </c>
      <c r="AO146" s="33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86"/>
      <c r="BC146" s="86"/>
      <c r="BD146" s="97">
        <f>Table_15[[#This Row],[Wgt-Bag]]-Table_15[[#This Row],[Total Graded]]-Table_15[[#This Row],[UNDERSIZE]]+0.0011</f>
        <v>1.1000000000000001E-3</v>
      </c>
      <c r="BE146" s="86">
        <f>Table_15[[#This Row],[Total Graded]]-Table_15[[#This Row],[Packing Quantity]]+Table_15[[#This Row],[PACKING LOOSE]]</f>
        <v>0</v>
      </c>
      <c r="BF146" s="34">
        <f>IF(Table_15[[#This Row],[GRADED BAGS]]&gt;0,Table_15[[#This Row],[GRADED BAGS]],Table_15[[#This Row],[Bags]])</f>
        <v>0</v>
      </c>
    </row>
    <row r="147" spans="1:58" ht="14.25" hidden="1" customHeight="1" x14ac:dyDescent="0.35">
      <c r="A147" s="22">
        <v>145</v>
      </c>
      <c r="B147" s="22"/>
      <c r="C147" s="23"/>
      <c r="D147" s="23"/>
      <c r="E147" s="24"/>
      <c r="F147" s="23"/>
      <c r="G147" s="100"/>
      <c r="H147" s="101"/>
      <c r="I147" s="102"/>
      <c r="J147" s="102"/>
      <c r="K147" s="233"/>
      <c r="L147" s="22"/>
      <c r="M147" s="25">
        <f t="shared" si="11"/>
        <v>0</v>
      </c>
      <c r="N147" s="25">
        <f t="shared" si="12"/>
        <v>0</v>
      </c>
      <c r="O147" s="25">
        <f t="shared" si="13"/>
        <v>0</v>
      </c>
      <c r="P147" s="25">
        <f t="shared" si="14"/>
        <v>0</v>
      </c>
      <c r="Q147" s="22"/>
      <c r="R147" s="22"/>
      <c r="S147" s="22"/>
      <c r="T147" s="168"/>
      <c r="U147" s="171">
        <f t="shared" si="15"/>
        <v>0</v>
      </c>
      <c r="V147" s="169"/>
      <c r="W147" s="28"/>
      <c r="X147" s="25" t="str">
        <f>+IF(AND('GRADING PACKING'!L$5=INWARDDATA!J147,'GRADING PACKING'!L$6=INWARDDATA!I147,AB147=0),"TRUE","FALSE")</f>
        <v>FALSE</v>
      </c>
      <c r="Y147" s="29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1"/>
      <c r="AK147" s="31"/>
      <c r="AL147" s="31"/>
      <c r="AM147" s="31"/>
      <c r="AN147" s="32" t="str">
        <f>+IF(AND('GRADING PACKING'!L$5=INWARDDATA!J147,'GRADING PACKING'!L$6=INWARDDATA!I147,AR147=0),"good","bad")</f>
        <v>bad</v>
      </c>
      <c r="AO147" s="33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86"/>
      <c r="BC147" s="86"/>
      <c r="BD147" s="97">
        <f>Table_15[[#This Row],[Wgt-Bag]]-Table_15[[#This Row],[Total Graded]]-Table_15[[#This Row],[UNDERSIZE]]+0.0011</f>
        <v>1.1000000000000001E-3</v>
      </c>
      <c r="BE147" s="86">
        <f>Table_15[[#This Row],[Total Graded]]-Table_15[[#This Row],[Packing Quantity]]+Table_15[[#This Row],[PACKING LOOSE]]</f>
        <v>0</v>
      </c>
      <c r="BF147" s="34">
        <f>IF(Table_15[[#This Row],[GRADED BAGS]]&gt;0,Table_15[[#This Row],[GRADED BAGS]],Table_15[[#This Row],[Bags]])</f>
        <v>0</v>
      </c>
    </row>
    <row r="148" spans="1:58" ht="14.25" hidden="1" customHeight="1" x14ac:dyDescent="0.35">
      <c r="A148" s="22">
        <v>146</v>
      </c>
      <c r="B148" s="22"/>
      <c r="C148" s="23"/>
      <c r="D148" s="23"/>
      <c r="E148" s="24"/>
      <c r="F148" s="23"/>
      <c r="G148" s="100"/>
      <c r="H148" s="101"/>
      <c r="I148" s="102"/>
      <c r="J148" s="102"/>
      <c r="K148" s="233"/>
      <c r="L148" s="22"/>
      <c r="M148" s="25">
        <f t="shared" si="11"/>
        <v>0</v>
      </c>
      <c r="N148" s="25">
        <f t="shared" si="12"/>
        <v>0</v>
      </c>
      <c r="O148" s="25">
        <f t="shared" si="13"/>
        <v>0</v>
      </c>
      <c r="P148" s="25">
        <f t="shared" si="14"/>
        <v>0</v>
      </c>
      <c r="Q148" s="22"/>
      <c r="R148" s="22"/>
      <c r="S148" s="22"/>
      <c r="T148" s="168"/>
      <c r="U148" s="171">
        <f t="shared" si="15"/>
        <v>0</v>
      </c>
      <c r="V148" s="169"/>
      <c r="W148" s="28"/>
      <c r="X148" s="25" t="str">
        <f>+IF(AND('GRADING PACKING'!L$5=INWARDDATA!J148,'GRADING PACKING'!L$6=INWARDDATA!I148,AB148=0),"TRUE","FALSE")</f>
        <v>FALSE</v>
      </c>
      <c r="Y148" s="29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1"/>
      <c r="AK148" s="31"/>
      <c r="AL148" s="31"/>
      <c r="AM148" s="31"/>
      <c r="AN148" s="32" t="str">
        <f>+IF(AND('GRADING PACKING'!L$5=INWARDDATA!J148,'GRADING PACKING'!L$6=INWARDDATA!I148,AR148=0),"good","bad")</f>
        <v>bad</v>
      </c>
      <c r="AO148" s="33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86"/>
      <c r="BC148" s="86"/>
      <c r="BD148" s="97">
        <f>Table_15[[#This Row],[Wgt-Bag]]-Table_15[[#This Row],[Total Graded]]-Table_15[[#This Row],[UNDERSIZE]]+0.0011</f>
        <v>1.1000000000000001E-3</v>
      </c>
      <c r="BE148" s="86">
        <f>Table_15[[#This Row],[Total Graded]]-Table_15[[#This Row],[Packing Quantity]]+Table_15[[#This Row],[PACKING LOOSE]]</f>
        <v>0</v>
      </c>
      <c r="BF148" s="34">
        <f>IF(Table_15[[#This Row],[GRADED BAGS]]&gt;0,Table_15[[#This Row],[GRADED BAGS]],Table_15[[#This Row],[Bags]])</f>
        <v>0</v>
      </c>
    </row>
    <row r="149" spans="1:58" ht="14.25" hidden="1" customHeight="1" x14ac:dyDescent="0.35">
      <c r="A149" s="22">
        <v>147</v>
      </c>
      <c r="B149" s="22"/>
      <c r="C149" s="23"/>
      <c r="D149" s="23"/>
      <c r="E149" s="24"/>
      <c r="F149" s="23"/>
      <c r="G149" s="100"/>
      <c r="H149" s="101"/>
      <c r="I149" s="102"/>
      <c r="J149" s="102"/>
      <c r="K149" s="233"/>
      <c r="L149" s="22"/>
      <c r="M149" s="25">
        <f t="shared" si="11"/>
        <v>0</v>
      </c>
      <c r="N149" s="25">
        <f t="shared" si="12"/>
        <v>0</v>
      </c>
      <c r="O149" s="25">
        <f t="shared" si="13"/>
        <v>0</v>
      </c>
      <c r="P149" s="25">
        <f t="shared" si="14"/>
        <v>0</v>
      </c>
      <c r="Q149" s="22"/>
      <c r="R149" s="22"/>
      <c r="S149" s="22"/>
      <c r="T149" s="168"/>
      <c r="U149" s="171">
        <f t="shared" si="15"/>
        <v>0</v>
      </c>
      <c r="V149" s="169"/>
      <c r="W149" s="28"/>
      <c r="X149" s="25" t="str">
        <f>+IF(AND('GRADING PACKING'!L$5=INWARDDATA!J149,'GRADING PACKING'!L$6=INWARDDATA!I149,AB149=0),"TRUE","FALSE")</f>
        <v>FALSE</v>
      </c>
      <c r="Y149" s="29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1"/>
      <c r="AK149" s="31"/>
      <c r="AL149" s="31"/>
      <c r="AM149" s="31"/>
      <c r="AN149" s="32" t="str">
        <f>+IF(AND('GRADING PACKING'!L$5=INWARDDATA!J149,'GRADING PACKING'!L$6=INWARDDATA!I149,AR149=0),"good","bad")</f>
        <v>bad</v>
      </c>
      <c r="AO149" s="33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86"/>
      <c r="BC149" s="86"/>
      <c r="BD149" s="97">
        <f>Table_15[[#This Row],[Wgt-Bag]]-Table_15[[#This Row],[Total Graded]]-Table_15[[#This Row],[UNDERSIZE]]+0.0011</f>
        <v>1.1000000000000001E-3</v>
      </c>
      <c r="BE149" s="86">
        <f>Table_15[[#This Row],[Total Graded]]-Table_15[[#This Row],[Packing Quantity]]+Table_15[[#This Row],[PACKING LOOSE]]</f>
        <v>0</v>
      </c>
      <c r="BF149" s="34">
        <f>IF(Table_15[[#This Row],[GRADED BAGS]]&gt;0,Table_15[[#This Row],[GRADED BAGS]],Table_15[[#This Row],[Bags]])</f>
        <v>0</v>
      </c>
    </row>
    <row r="150" spans="1:58" ht="14.25" hidden="1" customHeight="1" x14ac:dyDescent="0.35">
      <c r="A150" s="22">
        <v>148</v>
      </c>
      <c r="B150" s="22"/>
      <c r="C150" s="23"/>
      <c r="D150" s="23"/>
      <c r="E150" s="24"/>
      <c r="F150" s="23"/>
      <c r="G150" s="100"/>
      <c r="H150" s="101"/>
      <c r="I150" s="102"/>
      <c r="J150" s="102"/>
      <c r="K150" s="233"/>
      <c r="L150" s="22"/>
      <c r="M150" s="25">
        <f t="shared" si="11"/>
        <v>0</v>
      </c>
      <c r="N150" s="25">
        <f t="shared" si="12"/>
        <v>0</v>
      </c>
      <c r="O150" s="25">
        <f t="shared" si="13"/>
        <v>0</v>
      </c>
      <c r="P150" s="25">
        <f t="shared" si="14"/>
        <v>0</v>
      </c>
      <c r="Q150" s="22"/>
      <c r="R150" s="22"/>
      <c r="S150" s="22"/>
      <c r="T150" s="168"/>
      <c r="U150" s="171">
        <f t="shared" si="15"/>
        <v>0</v>
      </c>
      <c r="V150" s="169"/>
      <c r="W150" s="28"/>
      <c r="X150" s="25" t="str">
        <f>+IF(AND('GRADING PACKING'!L$5=INWARDDATA!J150,'GRADING PACKING'!L$6=INWARDDATA!I150,AB150=0),"TRUE","FALSE")</f>
        <v>FALSE</v>
      </c>
      <c r="Y150" s="29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1"/>
      <c r="AK150" s="31"/>
      <c r="AL150" s="31"/>
      <c r="AM150" s="31"/>
      <c r="AN150" s="32" t="str">
        <f>+IF(AND('GRADING PACKING'!L$5=INWARDDATA!J150,'GRADING PACKING'!L$6=INWARDDATA!I150,AR150=0),"good","bad")</f>
        <v>bad</v>
      </c>
      <c r="AO150" s="33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86"/>
      <c r="BC150" s="86"/>
      <c r="BD150" s="97">
        <f>Table_15[[#This Row],[Wgt-Bag]]-Table_15[[#This Row],[Total Graded]]-Table_15[[#This Row],[UNDERSIZE]]+0.0011</f>
        <v>1.1000000000000001E-3</v>
      </c>
      <c r="BE150" s="86">
        <f>Table_15[[#This Row],[Total Graded]]-Table_15[[#This Row],[Packing Quantity]]+Table_15[[#This Row],[PACKING LOOSE]]</f>
        <v>0</v>
      </c>
      <c r="BF150" s="34">
        <f>IF(Table_15[[#This Row],[GRADED BAGS]]&gt;0,Table_15[[#This Row],[GRADED BAGS]],Table_15[[#This Row],[Bags]])</f>
        <v>0</v>
      </c>
    </row>
    <row r="151" spans="1:58" ht="14.25" hidden="1" customHeight="1" x14ac:dyDescent="0.35">
      <c r="A151" s="22">
        <v>149</v>
      </c>
      <c r="B151" s="22"/>
      <c r="C151" s="23"/>
      <c r="D151" s="23"/>
      <c r="E151" s="24"/>
      <c r="F151" s="23"/>
      <c r="G151" s="100"/>
      <c r="H151" s="101"/>
      <c r="I151" s="102"/>
      <c r="J151" s="102"/>
      <c r="K151" s="233"/>
      <c r="L151" s="22"/>
      <c r="M151" s="25">
        <f t="shared" si="11"/>
        <v>0</v>
      </c>
      <c r="N151" s="25">
        <f t="shared" si="12"/>
        <v>0</v>
      </c>
      <c r="O151" s="25">
        <f t="shared" si="13"/>
        <v>0</v>
      </c>
      <c r="P151" s="25">
        <f t="shared" si="14"/>
        <v>0</v>
      </c>
      <c r="Q151" s="22"/>
      <c r="R151" s="22"/>
      <c r="S151" s="22"/>
      <c r="T151" s="168"/>
      <c r="U151" s="171">
        <f t="shared" si="15"/>
        <v>0</v>
      </c>
      <c r="V151" s="169"/>
      <c r="W151" s="28"/>
      <c r="X151" s="25" t="str">
        <f>+IF(AND('GRADING PACKING'!L$5=INWARDDATA!J151,'GRADING PACKING'!L$6=INWARDDATA!I151,AB151=0),"TRUE","FALSE")</f>
        <v>FALSE</v>
      </c>
      <c r="Y151" s="29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1"/>
      <c r="AK151" s="31"/>
      <c r="AL151" s="31"/>
      <c r="AM151" s="31"/>
      <c r="AN151" s="32" t="str">
        <f>+IF(AND('GRADING PACKING'!L$5=INWARDDATA!J151,'GRADING PACKING'!L$6=INWARDDATA!I151,AR151=0),"good","bad")</f>
        <v>bad</v>
      </c>
      <c r="AO151" s="33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86"/>
      <c r="BC151" s="86"/>
      <c r="BD151" s="97">
        <f>Table_15[[#This Row],[Wgt-Bag]]-Table_15[[#This Row],[Total Graded]]-Table_15[[#This Row],[UNDERSIZE]]+0.0011</f>
        <v>1.1000000000000001E-3</v>
      </c>
      <c r="BE151" s="86">
        <f>Table_15[[#This Row],[Total Graded]]-Table_15[[#This Row],[Packing Quantity]]+Table_15[[#This Row],[PACKING LOOSE]]</f>
        <v>0</v>
      </c>
      <c r="BF151" s="34">
        <f>IF(Table_15[[#This Row],[GRADED BAGS]]&gt;0,Table_15[[#This Row],[GRADED BAGS]],Table_15[[#This Row],[Bags]])</f>
        <v>0</v>
      </c>
    </row>
    <row r="152" spans="1:58" ht="14.25" hidden="1" customHeight="1" x14ac:dyDescent="0.35">
      <c r="A152" s="22">
        <v>150</v>
      </c>
      <c r="B152" s="22"/>
      <c r="C152" s="23"/>
      <c r="D152" s="23"/>
      <c r="E152" s="24"/>
      <c r="F152" s="23"/>
      <c r="G152" s="100"/>
      <c r="H152" s="101"/>
      <c r="I152" s="102"/>
      <c r="J152" s="102"/>
      <c r="K152" s="233"/>
      <c r="L152" s="22"/>
      <c r="M152" s="25">
        <f t="shared" si="11"/>
        <v>0</v>
      </c>
      <c r="N152" s="25">
        <f t="shared" si="12"/>
        <v>0</v>
      </c>
      <c r="O152" s="25">
        <f t="shared" si="13"/>
        <v>0</v>
      </c>
      <c r="P152" s="25">
        <f t="shared" si="14"/>
        <v>0</v>
      </c>
      <c r="Q152" s="22"/>
      <c r="R152" s="22"/>
      <c r="S152" s="22"/>
      <c r="T152" s="168"/>
      <c r="U152" s="171">
        <f t="shared" si="15"/>
        <v>0</v>
      </c>
      <c r="V152" s="169"/>
      <c r="W152" s="28"/>
      <c r="X152" s="25" t="str">
        <f>+IF(AND('GRADING PACKING'!L$5=INWARDDATA!J152,'GRADING PACKING'!L$6=INWARDDATA!I152,AB152=0),"TRUE","FALSE")</f>
        <v>FALSE</v>
      </c>
      <c r="Y152" s="29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1"/>
      <c r="AK152" s="31"/>
      <c r="AL152" s="31"/>
      <c r="AM152" s="31"/>
      <c r="AN152" s="32" t="str">
        <f>+IF(AND('GRADING PACKING'!L$5=INWARDDATA!J152,'GRADING PACKING'!L$6=INWARDDATA!I152,AR152=0),"good","bad")</f>
        <v>bad</v>
      </c>
      <c r="AO152" s="33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86"/>
      <c r="BC152" s="86"/>
      <c r="BD152" s="97">
        <f>Table_15[[#This Row],[Wgt-Bag]]-Table_15[[#This Row],[Total Graded]]-Table_15[[#This Row],[UNDERSIZE]]+0.0011</f>
        <v>1.1000000000000001E-3</v>
      </c>
      <c r="BE152" s="86">
        <f>Table_15[[#This Row],[Total Graded]]-Table_15[[#This Row],[Packing Quantity]]+Table_15[[#This Row],[PACKING LOOSE]]</f>
        <v>0</v>
      </c>
      <c r="BF152" s="34">
        <f>IF(Table_15[[#This Row],[GRADED BAGS]]&gt;0,Table_15[[#This Row],[GRADED BAGS]],Table_15[[#This Row],[Bags]])</f>
        <v>0</v>
      </c>
    </row>
    <row r="153" spans="1:58" ht="14.25" hidden="1" customHeight="1" x14ac:dyDescent="0.35">
      <c r="A153" s="22">
        <v>151</v>
      </c>
      <c r="B153" s="22"/>
      <c r="C153" s="23"/>
      <c r="D153" s="23"/>
      <c r="E153" s="24"/>
      <c r="F153" s="23"/>
      <c r="G153" s="100"/>
      <c r="H153" s="101"/>
      <c r="I153" s="102"/>
      <c r="J153" s="102"/>
      <c r="K153" s="233"/>
      <c r="L153" s="22"/>
      <c r="M153" s="25">
        <f t="shared" si="11"/>
        <v>0</v>
      </c>
      <c r="N153" s="25">
        <f t="shared" si="12"/>
        <v>0</v>
      </c>
      <c r="O153" s="25">
        <f t="shared" si="13"/>
        <v>0</v>
      </c>
      <c r="P153" s="25">
        <f t="shared" si="14"/>
        <v>0</v>
      </c>
      <c r="Q153" s="22"/>
      <c r="R153" s="22"/>
      <c r="S153" s="22"/>
      <c r="T153" s="168"/>
      <c r="U153" s="171">
        <f t="shared" si="15"/>
        <v>0</v>
      </c>
      <c r="V153" s="169"/>
      <c r="W153" s="28"/>
      <c r="X153" s="25" t="str">
        <f>+IF(AND('GRADING PACKING'!L$5=INWARDDATA!J153,'GRADING PACKING'!L$6=INWARDDATA!I153,AB153=0),"TRUE","FALSE")</f>
        <v>FALSE</v>
      </c>
      <c r="Y153" s="29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1"/>
      <c r="AK153" s="31"/>
      <c r="AL153" s="31"/>
      <c r="AM153" s="31"/>
      <c r="AN153" s="32" t="str">
        <f>+IF(AND('GRADING PACKING'!L$5=INWARDDATA!J153,'GRADING PACKING'!L$6=INWARDDATA!I153,AR153=0),"good","bad")</f>
        <v>bad</v>
      </c>
      <c r="AO153" s="33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86"/>
      <c r="BC153" s="86"/>
      <c r="BD153" s="97">
        <f>Table_15[[#This Row],[Wgt-Bag]]-Table_15[[#This Row],[Total Graded]]-Table_15[[#This Row],[UNDERSIZE]]+0.0011</f>
        <v>1.1000000000000001E-3</v>
      </c>
      <c r="BE153" s="86">
        <f>Table_15[[#This Row],[Total Graded]]-Table_15[[#This Row],[Packing Quantity]]+Table_15[[#This Row],[PACKING LOOSE]]</f>
        <v>0</v>
      </c>
      <c r="BF153" s="34">
        <f>IF(Table_15[[#This Row],[GRADED BAGS]]&gt;0,Table_15[[#This Row],[GRADED BAGS]],Table_15[[#This Row],[Bags]])</f>
        <v>0</v>
      </c>
    </row>
    <row r="154" spans="1:58" ht="14.25" hidden="1" customHeight="1" x14ac:dyDescent="0.35">
      <c r="A154" s="22">
        <v>152</v>
      </c>
      <c r="B154" s="22"/>
      <c r="C154" s="23"/>
      <c r="D154" s="23"/>
      <c r="E154" s="24"/>
      <c r="F154" s="23"/>
      <c r="G154" s="100"/>
      <c r="H154" s="101"/>
      <c r="I154" s="102"/>
      <c r="J154" s="102"/>
      <c r="K154" s="233"/>
      <c r="L154" s="22"/>
      <c r="M154" s="25">
        <f t="shared" si="11"/>
        <v>0</v>
      </c>
      <c r="N154" s="25">
        <f t="shared" si="12"/>
        <v>0</v>
      </c>
      <c r="O154" s="25">
        <f t="shared" si="13"/>
        <v>0</v>
      </c>
      <c r="P154" s="25">
        <f t="shared" si="14"/>
        <v>0</v>
      </c>
      <c r="Q154" s="22"/>
      <c r="R154" s="22"/>
      <c r="S154" s="22"/>
      <c r="T154" s="168"/>
      <c r="U154" s="171">
        <f t="shared" si="15"/>
        <v>0</v>
      </c>
      <c r="V154" s="169"/>
      <c r="W154" s="28"/>
      <c r="X154" s="25" t="str">
        <f>+IF(AND('GRADING PACKING'!L$5=INWARDDATA!J154,'GRADING PACKING'!L$6=INWARDDATA!I154,AB154=0),"TRUE","FALSE")</f>
        <v>FALSE</v>
      </c>
      <c r="Y154" s="29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1"/>
      <c r="AK154" s="31"/>
      <c r="AL154" s="31"/>
      <c r="AM154" s="31"/>
      <c r="AN154" s="32" t="str">
        <f>+IF(AND('GRADING PACKING'!L$5=INWARDDATA!J154,'GRADING PACKING'!L$6=INWARDDATA!I154,AR154=0),"good","bad")</f>
        <v>bad</v>
      </c>
      <c r="AO154" s="33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86"/>
      <c r="BC154" s="86"/>
      <c r="BD154" s="97">
        <f>Table_15[[#This Row],[Wgt-Bag]]-Table_15[[#This Row],[Total Graded]]-Table_15[[#This Row],[UNDERSIZE]]+0.0011</f>
        <v>1.1000000000000001E-3</v>
      </c>
      <c r="BE154" s="86">
        <f>Table_15[[#This Row],[Total Graded]]-Table_15[[#This Row],[Packing Quantity]]+Table_15[[#This Row],[PACKING LOOSE]]</f>
        <v>0</v>
      </c>
      <c r="BF154" s="34">
        <f>IF(Table_15[[#This Row],[GRADED BAGS]]&gt;0,Table_15[[#This Row],[GRADED BAGS]],Table_15[[#This Row],[Bags]])</f>
        <v>0</v>
      </c>
    </row>
    <row r="155" spans="1:58" ht="14.25" hidden="1" customHeight="1" x14ac:dyDescent="0.35">
      <c r="A155" s="22">
        <v>153</v>
      </c>
      <c r="B155" s="22"/>
      <c r="C155" s="23"/>
      <c r="D155" s="23"/>
      <c r="E155" s="24"/>
      <c r="F155" s="23"/>
      <c r="G155" s="100"/>
      <c r="H155" s="101"/>
      <c r="I155" s="102"/>
      <c r="J155" s="102"/>
      <c r="K155" s="233"/>
      <c r="L155" s="22"/>
      <c r="M155" s="25">
        <f t="shared" si="11"/>
        <v>0</v>
      </c>
      <c r="N155" s="25">
        <f t="shared" si="12"/>
        <v>0</v>
      </c>
      <c r="O155" s="25">
        <f t="shared" si="13"/>
        <v>0</v>
      </c>
      <c r="P155" s="25">
        <f t="shared" si="14"/>
        <v>0</v>
      </c>
      <c r="Q155" s="22"/>
      <c r="R155" s="22"/>
      <c r="S155" s="22"/>
      <c r="T155" s="168"/>
      <c r="U155" s="171">
        <f t="shared" si="15"/>
        <v>0</v>
      </c>
      <c r="V155" s="169"/>
      <c r="W155" s="28"/>
      <c r="X155" s="25" t="str">
        <f>+IF(AND('GRADING PACKING'!L$5=INWARDDATA!J155,'GRADING PACKING'!L$6=INWARDDATA!I155,AB155=0),"TRUE","FALSE")</f>
        <v>FALSE</v>
      </c>
      <c r="Y155" s="29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1"/>
      <c r="AK155" s="31"/>
      <c r="AL155" s="31"/>
      <c r="AM155" s="31"/>
      <c r="AN155" s="32" t="str">
        <f>+IF(AND('GRADING PACKING'!L$5=INWARDDATA!J155,'GRADING PACKING'!L$6=INWARDDATA!I155,AR155=0),"good","bad")</f>
        <v>bad</v>
      </c>
      <c r="AO155" s="33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86"/>
      <c r="BC155" s="86"/>
      <c r="BD155" s="97">
        <f>Table_15[[#This Row],[Wgt-Bag]]-Table_15[[#This Row],[Total Graded]]-Table_15[[#This Row],[UNDERSIZE]]+0.0011</f>
        <v>1.1000000000000001E-3</v>
      </c>
      <c r="BE155" s="86">
        <f>Table_15[[#This Row],[Total Graded]]-Table_15[[#This Row],[Packing Quantity]]+Table_15[[#This Row],[PACKING LOOSE]]</f>
        <v>0</v>
      </c>
      <c r="BF155" s="34">
        <f>IF(Table_15[[#This Row],[GRADED BAGS]]&gt;0,Table_15[[#This Row],[GRADED BAGS]],Table_15[[#This Row],[Bags]])</f>
        <v>0</v>
      </c>
    </row>
    <row r="156" spans="1:58" ht="14.25" hidden="1" customHeight="1" x14ac:dyDescent="0.35">
      <c r="A156" s="22">
        <v>154</v>
      </c>
      <c r="B156" s="22"/>
      <c r="C156" s="23"/>
      <c r="D156" s="23"/>
      <c r="E156" s="24"/>
      <c r="F156" s="23"/>
      <c r="G156" s="100"/>
      <c r="H156" s="101"/>
      <c r="I156" s="102"/>
      <c r="J156" s="102"/>
      <c r="K156" s="233"/>
      <c r="L156" s="22"/>
      <c r="M156" s="25">
        <f t="shared" si="11"/>
        <v>0</v>
      </c>
      <c r="N156" s="25">
        <f t="shared" si="12"/>
        <v>0</v>
      </c>
      <c r="O156" s="25">
        <f t="shared" si="13"/>
        <v>0</v>
      </c>
      <c r="P156" s="25">
        <f t="shared" si="14"/>
        <v>0</v>
      </c>
      <c r="Q156" s="22"/>
      <c r="R156" s="22"/>
      <c r="S156" s="22"/>
      <c r="T156" s="168"/>
      <c r="U156" s="171">
        <f t="shared" si="15"/>
        <v>0</v>
      </c>
      <c r="V156" s="169"/>
      <c r="W156" s="28"/>
      <c r="X156" s="25" t="str">
        <f>+IF(AND('GRADING PACKING'!L$5=INWARDDATA!J156,'GRADING PACKING'!L$6=INWARDDATA!I156,AB156=0),"TRUE","FALSE")</f>
        <v>FALSE</v>
      </c>
      <c r="Y156" s="29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1"/>
      <c r="AK156" s="31"/>
      <c r="AL156" s="31"/>
      <c r="AM156" s="31"/>
      <c r="AN156" s="32" t="str">
        <f>+IF(AND('GRADING PACKING'!L$5=INWARDDATA!J156,'GRADING PACKING'!L$6=INWARDDATA!I156,AR156=0),"good","bad")</f>
        <v>bad</v>
      </c>
      <c r="AO156" s="33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86"/>
      <c r="BC156" s="86"/>
      <c r="BD156" s="97">
        <f>Table_15[[#This Row],[Wgt-Bag]]-Table_15[[#This Row],[Total Graded]]-Table_15[[#This Row],[UNDERSIZE]]+0.0011</f>
        <v>1.1000000000000001E-3</v>
      </c>
      <c r="BE156" s="86">
        <f>Table_15[[#This Row],[Total Graded]]-Table_15[[#This Row],[Packing Quantity]]+Table_15[[#This Row],[PACKING LOOSE]]</f>
        <v>0</v>
      </c>
      <c r="BF156" s="34">
        <f>IF(Table_15[[#This Row],[GRADED BAGS]]&gt;0,Table_15[[#This Row],[GRADED BAGS]],Table_15[[#This Row],[Bags]])</f>
        <v>0</v>
      </c>
    </row>
    <row r="157" spans="1:58" ht="14.25" hidden="1" customHeight="1" x14ac:dyDescent="0.35">
      <c r="A157" s="22">
        <v>155</v>
      </c>
      <c r="B157" s="22"/>
      <c r="C157" s="23"/>
      <c r="D157" s="23"/>
      <c r="E157" s="24"/>
      <c r="F157" s="23"/>
      <c r="G157" s="100"/>
      <c r="H157" s="101"/>
      <c r="I157" s="102"/>
      <c r="J157" s="102"/>
      <c r="K157" s="233"/>
      <c r="L157" s="22"/>
      <c r="M157" s="25">
        <f t="shared" si="11"/>
        <v>0</v>
      </c>
      <c r="N157" s="25">
        <f t="shared" si="12"/>
        <v>0</v>
      </c>
      <c r="O157" s="25">
        <f t="shared" si="13"/>
        <v>0</v>
      </c>
      <c r="P157" s="25">
        <f t="shared" si="14"/>
        <v>0</v>
      </c>
      <c r="Q157" s="22"/>
      <c r="R157" s="22"/>
      <c r="S157" s="22"/>
      <c r="T157" s="168"/>
      <c r="U157" s="171">
        <f t="shared" si="15"/>
        <v>0</v>
      </c>
      <c r="V157" s="169"/>
      <c r="W157" s="28"/>
      <c r="X157" s="25" t="str">
        <f>+IF(AND('GRADING PACKING'!L$5=INWARDDATA!J157,'GRADING PACKING'!L$6=INWARDDATA!I157,AB157=0),"TRUE","FALSE")</f>
        <v>FALSE</v>
      </c>
      <c r="Y157" s="29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1"/>
      <c r="AK157" s="31"/>
      <c r="AL157" s="31"/>
      <c r="AM157" s="31"/>
      <c r="AN157" s="32" t="str">
        <f>+IF(AND('GRADING PACKING'!L$5=INWARDDATA!J157,'GRADING PACKING'!L$6=INWARDDATA!I157,AR157=0),"good","bad")</f>
        <v>bad</v>
      </c>
      <c r="AO157" s="33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86"/>
      <c r="BC157" s="86"/>
      <c r="BD157" s="97">
        <f>Table_15[[#This Row],[Wgt-Bag]]-Table_15[[#This Row],[Total Graded]]-Table_15[[#This Row],[UNDERSIZE]]+0.0011</f>
        <v>1.1000000000000001E-3</v>
      </c>
      <c r="BE157" s="86">
        <f>Table_15[[#This Row],[Total Graded]]-Table_15[[#This Row],[Packing Quantity]]+Table_15[[#This Row],[PACKING LOOSE]]</f>
        <v>0</v>
      </c>
      <c r="BF157" s="34">
        <f>IF(Table_15[[#This Row],[GRADED BAGS]]&gt;0,Table_15[[#This Row],[GRADED BAGS]],Table_15[[#This Row],[Bags]])</f>
        <v>0</v>
      </c>
    </row>
    <row r="158" spans="1:58" ht="14.25" hidden="1" customHeight="1" x14ac:dyDescent="0.35">
      <c r="A158" s="22">
        <v>156</v>
      </c>
      <c r="B158" s="22"/>
      <c r="C158" s="23"/>
      <c r="D158" s="23"/>
      <c r="E158" s="24"/>
      <c r="F158" s="23"/>
      <c r="G158" s="100"/>
      <c r="H158" s="101"/>
      <c r="I158" s="102"/>
      <c r="J158" s="102"/>
      <c r="K158" s="233"/>
      <c r="L158" s="22"/>
      <c r="M158" s="25">
        <f t="shared" si="11"/>
        <v>0</v>
      </c>
      <c r="N158" s="25">
        <f t="shared" si="12"/>
        <v>0</v>
      </c>
      <c r="O158" s="25">
        <f t="shared" si="13"/>
        <v>0</v>
      </c>
      <c r="P158" s="25">
        <f t="shared" si="14"/>
        <v>0</v>
      </c>
      <c r="Q158" s="22"/>
      <c r="R158" s="22"/>
      <c r="S158" s="22"/>
      <c r="T158" s="168"/>
      <c r="U158" s="171">
        <f t="shared" si="15"/>
        <v>0</v>
      </c>
      <c r="V158" s="169"/>
      <c r="W158" s="28"/>
      <c r="X158" s="25" t="str">
        <f>+IF(AND('GRADING PACKING'!L$5=INWARDDATA!J158,'GRADING PACKING'!L$6=INWARDDATA!I158,AB158=0),"TRUE","FALSE")</f>
        <v>FALSE</v>
      </c>
      <c r="Y158" s="29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1"/>
      <c r="AK158" s="31"/>
      <c r="AL158" s="31"/>
      <c r="AM158" s="31"/>
      <c r="AN158" s="32" t="str">
        <f>+IF(AND('GRADING PACKING'!L$5=INWARDDATA!J158,'GRADING PACKING'!L$6=INWARDDATA!I158,AR158=0),"good","bad")</f>
        <v>bad</v>
      </c>
      <c r="AO158" s="33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86"/>
      <c r="BC158" s="86"/>
      <c r="BD158" s="97">
        <f>Table_15[[#This Row],[Wgt-Bag]]-Table_15[[#This Row],[Total Graded]]-Table_15[[#This Row],[UNDERSIZE]]+0.0011</f>
        <v>1.1000000000000001E-3</v>
      </c>
      <c r="BE158" s="86">
        <f>Table_15[[#This Row],[Total Graded]]-Table_15[[#This Row],[Packing Quantity]]+Table_15[[#This Row],[PACKING LOOSE]]</f>
        <v>0</v>
      </c>
      <c r="BF158" s="34">
        <f>IF(Table_15[[#This Row],[GRADED BAGS]]&gt;0,Table_15[[#This Row],[GRADED BAGS]],Table_15[[#This Row],[Bags]])</f>
        <v>0</v>
      </c>
    </row>
    <row r="159" spans="1:58" ht="14.25" hidden="1" customHeight="1" x14ac:dyDescent="0.35">
      <c r="A159" s="22">
        <v>157</v>
      </c>
      <c r="B159" s="22"/>
      <c r="C159" s="23"/>
      <c r="D159" s="23"/>
      <c r="E159" s="24"/>
      <c r="F159" s="23"/>
      <c r="G159" s="100"/>
      <c r="H159" s="101"/>
      <c r="I159" s="102"/>
      <c r="J159" s="102"/>
      <c r="K159" s="233"/>
      <c r="L159" s="22"/>
      <c r="M159" s="25">
        <f t="shared" si="11"/>
        <v>0</v>
      </c>
      <c r="N159" s="25">
        <f t="shared" si="12"/>
        <v>0</v>
      </c>
      <c r="O159" s="25">
        <f t="shared" si="13"/>
        <v>0</v>
      </c>
      <c r="P159" s="25">
        <f t="shared" si="14"/>
        <v>0</v>
      </c>
      <c r="Q159" s="22"/>
      <c r="R159" s="22"/>
      <c r="S159" s="22"/>
      <c r="T159" s="168"/>
      <c r="U159" s="171">
        <f t="shared" si="15"/>
        <v>0</v>
      </c>
      <c r="V159" s="169"/>
      <c r="W159" s="28"/>
      <c r="X159" s="25" t="str">
        <f>+IF(AND('GRADING PACKING'!L$5=INWARDDATA!J159,'GRADING PACKING'!L$6=INWARDDATA!I159,AB159=0),"TRUE","FALSE")</f>
        <v>FALSE</v>
      </c>
      <c r="Y159" s="29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1"/>
      <c r="AK159" s="31"/>
      <c r="AL159" s="31"/>
      <c r="AM159" s="31"/>
      <c r="AN159" s="32" t="str">
        <f>+IF(AND('GRADING PACKING'!L$5=INWARDDATA!J159,'GRADING PACKING'!L$6=INWARDDATA!I159,AR159=0),"good","bad")</f>
        <v>bad</v>
      </c>
      <c r="AO159" s="33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86"/>
      <c r="BC159" s="86"/>
      <c r="BD159" s="97">
        <f>Table_15[[#This Row],[Wgt-Bag]]-Table_15[[#This Row],[Total Graded]]-Table_15[[#This Row],[UNDERSIZE]]+0.0011</f>
        <v>1.1000000000000001E-3</v>
      </c>
      <c r="BE159" s="86">
        <f>Table_15[[#This Row],[Total Graded]]-Table_15[[#This Row],[Packing Quantity]]+Table_15[[#This Row],[PACKING LOOSE]]</f>
        <v>0</v>
      </c>
      <c r="BF159" s="34">
        <f>IF(Table_15[[#This Row],[GRADED BAGS]]&gt;0,Table_15[[#This Row],[GRADED BAGS]],Table_15[[#This Row],[Bags]])</f>
        <v>0</v>
      </c>
    </row>
    <row r="160" spans="1:58" ht="14.25" hidden="1" customHeight="1" x14ac:dyDescent="0.35">
      <c r="A160" s="22">
        <v>158</v>
      </c>
      <c r="B160" s="22"/>
      <c r="C160" s="23"/>
      <c r="D160" s="23"/>
      <c r="E160" s="24"/>
      <c r="F160" s="23"/>
      <c r="G160" s="100"/>
      <c r="H160" s="101"/>
      <c r="I160" s="102"/>
      <c r="J160" s="102"/>
      <c r="K160" s="233"/>
      <c r="L160" s="22"/>
      <c r="M160" s="25">
        <f t="shared" si="11"/>
        <v>0</v>
      </c>
      <c r="N160" s="25">
        <f t="shared" si="12"/>
        <v>0</v>
      </c>
      <c r="O160" s="25">
        <f t="shared" si="13"/>
        <v>0</v>
      </c>
      <c r="P160" s="25">
        <f t="shared" si="14"/>
        <v>0</v>
      </c>
      <c r="Q160" s="22"/>
      <c r="R160" s="22"/>
      <c r="S160" s="22"/>
      <c r="T160" s="168"/>
      <c r="U160" s="171">
        <f t="shared" si="15"/>
        <v>0</v>
      </c>
      <c r="V160" s="169"/>
      <c r="W160" s="28"/>
      <c r="X160" s="25" t="str">
        <f>+IF(AND('GRADING PACKING'!L$5=INWARDDATA!J160,'GRADING PACKING'!L$6=INWARDDATA!I160,AB160=0),"TRUE","FALSE")</f>
        <v>FALSE</v>
      </c>
      <c r="Y160" s="29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1"/>
      <c r="AK160" s="31"/>
      <c r="AL160" s="31"/>
      <c r="AM160" s="31"/>
      <c r="AN160" s="32" t="str">
        <f>+IF(AND('GRADING PACKING'!L$5=INWARDDATA!J160,'GRADING PACKING'!L$6=INWARDDATA!I160,AR160=0),"good","bad")</f>
        <v>bad</v>
      </c>
      <c r="AO160" s="33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86"/>
      <c r="BC160" s="86"/>
      <c r="BD160" s="97">
        <f>Table_15[[#This Row],[Wgt-Bag]]-Table_15[[#This Row],[Total Graded]]-Table_15[[#This Row],[UNDERSIZE]]+0.0011</f>
        <v>1.1000000000000001E-3</v>
      </c>
      <c r="BE160" s="86">
        <f>Table_15[[#This Row],[Total Graded]]-Table_15[[#This Row],[Packing Quantity]]+Table_15[[#This Row],[PACKING LOOSE]]</f>
        <v>0</v>
      </c>
      <c r="BF160" s="34">
        <f>IF(Table_15[[#This Row],[GRADED BAGS]]&gt;0,Table_15[[#This Row],[GRADED BAGS]],Table_15[[#This Row],[Bags]])</f>
        <v>0</v>
      </c>
    </row>
    <row r="161" spans="1:58" ht="14.25" hidden="1" customHeight="1" x14ac:dyDescent="0.35">
      <c r="A161" s="22">
        <v>159</v>
      </c>
      <c r="B161" s="22"/>
      <c r="C161" s="23"/>
      <c r="D161" s="23"/>
      <c r="E161" s="24"/>
      <c r="F161" s="23"/>
      <c r="G161" s="100"/>
      <c r="H161" s="101"/>
      <c r="I161" s="102"/>
      <c r="J161" s="102"/>
      <c r="K161" s="233"/>
      <c r="L161" s="22"/>
      <c r="M161" s="25">
        <f t="shared" si="11"/>
        <v>0</v>
      </c>
      <c r="N161" s="25">
        <f t="shared" si="12"/>
        <v>0</v>
      </c>
      <c r="O161" s="25">
        <f t="shared" si="13"/>
        <v>0</v>
      </c>
      <c r="P161" s="25">
        <f t="shared" si="14"/>
        <v>0</v>
      </c>
      <c r="Q161" s="22"/>
      <c r="R161" s="22"/>
      <c r="S161" s="22"/>
      <c r="T161" s="168"/>
      <c r="U161" s="171">
        <f t="shared" si="15"/>
        <v>0</v>
      </c>
      <c r="V161" s="169"/>
      <c r="W161" s="28"/>
      <c r="X161" s="25" t="str">
        <f>+IF(AND('GRADING PACKING'!L$5=INWARDDATA!J161,'GRADING PACKING'!L$6=INWARDDATA!I161,AB161=0),"TRUE","FALSE")</f>
        <v>FALSE</v>
      </c>
      <c r="Y161" s="29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1"/>
      <c r="AK161" s="31"/>
      <c r="AL161" s="31"/>
      <c r="AM161" s="31"/>
      <c r="AN161" s="32" t="str">
        <f>+IF(AND('GRADING PACKING'!L$5=INWARDDATA!J161,'GRADING PACKING'!L$6=INWARDDATA!I161,AR161=0),"good","bad")</f>
        <v>bad</v>
      </c>
      <c r="AO161" s="33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86"/>
      <c r="BC161" s="86"/>
      <c r="BD161" s="97">
        <f>Table_15[[#This Row],[Wgt-Bag]]-Table_15[[#This Row],[Total Graded]]-Table_15[[#This Row],[UNDERSIZE]]+0.0011</f>
        <v>1.1000000000000001E-3</v>
      </c>
      <c r="BE161" s="86">
        <f>Table_15[[#This Row],[Total Graded]]-Table_15[[#This Row],[Packing Quantity]]+Table_15[[#This Row],[PACKING LOOSE]]</f>
        <v>0</v>
      </c>
      <c r="BF161" s="34">
        <f>IF(Table_15[[#This Row],[GRADED BAGS]]&gt;0,Table_15[[#This Row],[GRADED BAGS]],Table_15[[#This Row],[Bags]])</f>
        <v>0</v>
      </c>
    </row>
    <row r="162" spans="1:58" ht="14.25" hidden="1" customHeight="1" x14ac:dyDescent="0.35">
      <c r="A162" s="22">
        <v>160</v>
      </c>
      <c r="B162" s="22"/>
      <c r="C162" s="23"/>
      <c r="D162" s="23"/>
      <c r="E162" s="24"/>
      <c r="F162" s="23"/>
      <c r="G162" s="100"/>
      <c r="H162" s="101"/>
      <c r="I162" s="102"/>
      <c r="J162" s="102"/>
      <c r="K162" s="233"/>
      <c r="L162" s="22"/>
      <c r="M162" s="25">
        <f t="shared" si="11"/>
        <v>0</v>
      </c>
      <c r="N162" s="25">
        <f t="shared" si="12"/>
        <v>0</v>
      </c>
      <c r="O162" s="25">
        <f t="shared" si="13"/>
        <v>0</v>
      </c>
      <c r="P162" s="25">
        <f t="shared" si="14"/>
        <v>0</v>
      </c>
      <c r="Q162" s="22"/>
      <c r="R162" s="22"/>
      <c r="S162" s="22"/>
      <c r="T162" s="168"/>
      <c r="U162" s="171">
        <f t="shared" si="15"/>
        <v>0</v>
      </c>
      <c r="V162" s="169"/>
      <c r="W162" s="28"/>
      <c r="X162" s="25" t="str">
        <f>+IF(AND('GRADING PACKING'!L$5=INWARDDATA!J162,'GRADING PACKING'!L$6=INWARDDATA!I162,AB162=0),"TRUE","FALSE")</f>
        <v>FALSE</v>
      </c>
      <c r="Y162" s="29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1"/>
      <c r="AK162" s="31"/>
      <c r="AL162" s="31"/>
      <c r="AM162" s="31"/>
      <c r="AN162" s="32" t="str">
        <f>+IF(AND('GRADING PACKING'!L$5=INWARDDATA!J162,'GRADING PACKING'!L$6=INWARDDATA!I162,AR162=0),"good","bad")</f>
        <v>bad</v>
      </c>
      <c r="AO162" s="33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86"/>
      <c r="BC162" s="86"/>
      <c r="BD162" s="97">
        <f>Table_15[[#This Row],[Wgt-Bag]]-Table_15[[#This Row],[Total Graded]]-Table_15[[#This Row],[UNDERSIZE]]+0.0011</f>
        <v>1.1000000000000001E-3</v>
      </c>
      <c r="BE162" s="86">
        <f>Table_15[[#This Row],[Total Graded]]-Table_15[[#This Row],[Packing Quantity]]+Table_15[[#This Row],[PACKING LOOSE]]</f>
        <v>0</v>
      </c>
      <c r="BF162" s="34">
        <f>IF(Table_15[[#This Row],[GRADED BAGS]]&gt;0,Table_15[[#This Row],[GRADED BAGS]],Table_15[[#This Row],[Bags]])</f>
        <v>0</v>
      </c>
    </row>
    <row r="163" spans="1:58" ht="14.25" hidden="1" customHeight="1" x14ac:dyDescent="0.35">
      <c r="A163" s="22">
        <v>161</v>
      </c>
      <c r="B163" s="22"/>
      <c r="C163" s="23"/>
      <c r="D163" s="23"/>
      <c r="E163" s="24"/>
      <c r="F163" s="23"/>
      <c r="G163" s="100"/>
      <c r="H163" s="101"/>
      <c r="I163" s="102"/>
      <c r="J163" s="102"/>
      <c r="K163" s="233"/>
      <c r="L163" s="22"/>
      <c r="M163" s="25">
        <f t="shared" si="11"/>
        <v>0</v>
      </c>
      <c r="N163" s="25">
        <f t="shared" si="12"/>
        <v>0</v>
      </c>
      <c r="O163" s="25">
        <f t="shared" si="13"/>
        <v>0</v>
      </c>
      <c r="P163" s="25">
        <f t="shared" si="14"/>
        <v>0</v>
      </c>
      <c r="Q163" s="22"/>
      <c r="R163" s="22"/>
      <c r="S163" s="22"/>
      <c r="T163" s="168"/>
      <c r="U163" s="171">
        <f t="shared" si="15"/>
        <v>0</v>
      </c>
      <c r="V163" s="169"/>
      <c r="W163" s="28"/>
      <c r="X163" s="25" t="str">
        <f>+IF(AND('GRADING PACKING'!L$5=INWARDDATA!J163,'GRADING PACKING'!L$6=INWARDDATA!I163,AB163=0),"TRUE","FALSE")</f>
        <v>FALSE</v>
      </c>
      <c r="Y163" s="29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1"/>
      <c r="AK163" s="31"/>
      <c r="AL163" s="31"/>
      <c r="AM163" s="31"/>
      <c r="AN163" s="32" t="str">
        <f>+IF(AND('GRADING PACKING'!L$5=INWARDDATA!J163,'GRADING PACKING'!L$6=INWARDDATA!I163,AR163=0),"good","bad")</f>
        <v>bad</v>
      </c>
      <c r="AO163" s="33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86"/>
      <c r="BC163" s="86"/>
      <c r="BD163" s="97">
        <f>Table_15[[#This Row],[Wgt-Bag]]-Table_15[[#This Row],[Total Graded]]-Table_15[[#This Row],[UNDERSIZE]]+0.0011</f>
        <v>1.1000000000000001E-3</v>
      </c>
      <c r="BE163" s="86">
        <f>Table_15[[#This Row],[Total Graded]]-Table_15[[#This Row],[Packing Quantity]]+Table_15[[#This Row],[PACKING LOOSE]]</f>
        <v>0</v>
      </c>
      <c r="BF163" s="34">
        <f>IF(Table_15[[#This Row],[GRADED BAGS]]&gt;0,Table_15[[#This Row],[GRADED BAGS]],Table_15[[#This Row],[Bags]])</f>
        <v>0</v>
      </c>
    </row>
    <row r="164" spans="1:58" ht="14.25" hidden="1" customHeight="1" x14ac:dyDescent="0.35">
      <c r="A164" s="22">
        <v>162</v>
      </c>
      <c r="B164" s="22"/>
      <c r="C164" s="23"/>
      <c r="D164" s="23"/>
      <c r="E164" s="24"/>
      <c r="F164" s="23"/>
      <c r="G164" s="100"/>
      <c r="H164" s="101"/>
      <c r="I164" s="102"/>
      <c r="J164" s="102"/>
      <c r="K164" s="233"/>
      <c r="L164" s="22"/>
      <c r="M164" s="25">
        <f t="shared" si="11"/>
        <v>0</v>
      </c>
      <c r="N164" s="25">
        <f t="shared" si="12"/>
        <v>0</v>
      </c>
      <c r="O164" s="25">
        <f t="shared" si="13"/>
        <v>0</v>
      </c>
      <c r="P164" s="25">
        <f t="shared" si="14"/>
        <v>0</v>
      </c>
      <c r="Q164" s="22"/>
      <c r="R164" s="22"/>
      <c r="S164" s="22"/>
      <c r="T164" s="168"/>
      <c r="U164" s="171">
        <f t="shared" si="15"/>
        <v>0</v>
      </c>
      <c r="V164" s="169"/>
      <c r="W164" s="28"/>
      <c r="X164" s="25" t="str">
        <f>+IF(AND('GRADING PACKING'!L$5=INWARDDATA!J164,'GRADING PACKING'!L$6=INWARDDATA!I164,AB164=0),"TRUE","FALSE")</f>
        <v>FALSE</v>
      </c>
      <c r="Y164" s="29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1"/>
      <c r="AK164" s="31"/>
      <c r="AL164" s="31"/>
      <c r="AM164" s="31"/>
      <c r="AN164" s="32" t="str">
        <f>+IF(AND('GRADING PACKING'!L$5=INWARDDATA!J164,'GRADING PACKING'!L$6=INWARDDATA!I164,AR164=0),"good","bad")</f>
        <v>bad</v>
      </c>
      <c r="AO164" s="33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86"/>
      <c r="BC164" s="86"/>
      <c r="BD164" s="97">
        <f>Table_15[[#This Row],[Wgt-Bag]]-Table_15[[#This Row],[Total Graded]]-Table_15[[#This Row],[UNDERSIZE]]+0.0011</f>
        <v>1.1000000000000001E-3</v>
      </c>
      <c r="BE164" s="86">
        <f>Table_15[[#This Row],[Total Graded]]-Table_15[[#This Row],[Packing Quantity]]+Table_15[[#This Row],[PACKING LOOSE]]</f>
        <v>0</v>
      </c>
      <c r="BF164" s="34">
        <f>IF(Table_15[[#This Row],[GRADED BAGS]]&gt;0,Table_15[[#This Row],[GRADED BAGS]],Table_15[[#This Row],[Bags]])</f>
        <v>0</v>
      </c>
    </row>
    <row r="165" spans="1:58" ht="14.25" hidden="1" customHeight="1" x14ac:dyDescent="0.35">
      <c r="A165" s="22">
        <v>163</v>
      </c>
      <c r="B165" s="22"/>
      <c r="C165" s="23"/>
      <c r="D165" s="23"/>
      <c r="E165" s="24"/>
      <c r="F165" s="23"/>
      <c r="G165" s="100"/>
      <c r="H165" s="101"/>
      <c r="I165" s="102"/>
      <c r="J165" s="102"/>
      <c r="K165" s="233"/>
      <c r="L165" s="22"/>
      <c r="M165" s="25">
        <f t="shared" si="11"/>
        <v>0</v>
      </c>
      <c r="N165" s="25">
        <f t="shared" si="12"/>
        <v>0</v>
      </c>
      <c r="O165" s="25">
        <f t="shared" si="13"/>
        <v>0</v>
      </c>
      <c r="P165" s="25">
        <f t="shared" si="14"/>
        <v>0</v>
      </c>
      <c r="Q165" s="22"/>
      <c r="R165" s="22"/>
      <c r="S165" s="22"/>
      <c r="T165" s="168"/>
      <c r="U165" s="171">
        <f t="shared" si="15"/>
        <v>0</v>
      </c>
      <c r="V165" s="169"/>
      <c r="W165" s="28"/>
      <c r="X165" s="25" t="str">
        <f>+IF(AND('GRADING PACKING'!L$5=INWARDDATA!J165,'GRADING PACKING'!L$6=INWARDDATA!I165,AB165=0),"TRUE","FALSE")</f>
        <v>FALSE</v>
      </c>
      <c r="Y165" s="29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1"/>
      <c r="AK165" s="31"/>
      <c r="AL165" s="31"/>
      <c r="AM165" s="31"/>
      <c r="AN165" s="32" t="str">
        <f>+IF(AND('GRADING PACKING'!L$5=INWARDDATA!J165,'GRADING PACKING'!L$6=INWARDDATA!I165,AR165=0),"good","bad")</f>
        <v>bad</v>
      </c>
      <c r="AO165" s="33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86"/>
      <c r="BC165" s="86"/>
      <c r="BD165" s="97">
        <f>Table_15[[#This Row],[Wgt-Bag]]-Table_15[[#This Row],[Total Graded]]-Table_15[[#This Row],[UNDERSIZE]]+0.0011</f>
        <v>1.1000000000000001E-3</v>
      </c>
      <c r="BE165" s="86">
        <f>Table_15[[#This Row],[Total Graded]]-Table_15[[#This Row],[Packing Quantity]]+Table_15[[#This Row],[PACKING LOOSE]]</f>
        <v>0</v>
      </c>
      <c r="BF165" s="34">
        <f>IF(Table_15[[#This Row],[GRADED BAGS]]&gt;0,Table_15[[#This Row],[GRADED BAGS]],Table_15[[#This Row],[Bags]])</f>
        <v>0</v>
      </c>
    </row>
    <row r="166" spans="1:58" ht="14.25" hidden="1" customHeight="1" x14ac:dyDescent="0.35">
      <c r="A166" s="22">
        <v>164</v>
      </c>
      <c r="B166" s="22"/>
      <c r="C166" s="23"/>
      <c r="D166" s="23"/>
      <c r="E166" s="24"/>
      <c r="F166" s="23"/>
      <c r="G166" s="100"/>
      <c r="H166" s="101"/>
      <c r="I166" s="102"/>
      <c r="J166" s="102"/>
      <c r="K166" s="233"/>
      <c r="L166" s="22"/>
      <c r="M166" s="25">
        <f t="shared" si="11"/>
        <v>0</v>
      </c>
      <c r="N166" s="25">
        <f t="shared" si="12"/>
        <v>0</v>
      </c>
      <c r="O166" s="25">
        <f t="shared" si="13"/>
        <v>0</v>
      </c>
      <c r="P166" s="25">
        <f t="shared" si="14"/>
        <v>0</v>
      </c>
      <c r="Q166" s="22"/>
      <c r="R166" s="22"/>
      <c r="S166" s="22"/>
      <c r="T166" s="168"/>
      <c r="U166" s="171">
        <f t="shared" si="15"/>
        <v>0</v>
      </c>
      <c r="V166" s="169"/>
      <c r="W166" s="28"/>
      <c r="X166" s="25" t="str">
        <f>+IF(AND('GRADING PACKING'!L$5=INWARDDATA!J166,'GRADING PACKING'!L$6=INWARDDATA!I166,AB166=0),"TRUE","FALSE")</f>
        <v>FALSE</v>
      </c>
      <c r="Y166" s="29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1"/>
      <c r="AK166" s="31"/>
      <c r="AL166" s="31"/>
      <c r="AM166" s="31"/>
      <c r="AN166" s="32" t="str">
        <f>+IF(AND('GRADING PACKING'!L$5=INWARDDATA!J166,'GRADING PACKING'!L$6=INWARDDATA!I166,AR166=0),"good","bad")</f>
        <v>bad</v>
      </c>
      <c r="AO166" s="33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86"/>
      <c r="BC166" s="86"/>
      <c r="BD166" s="97">
        <f>Table_15[[#This Row],[Wgt-Bag]]-Table_15[[#This Row],[Total Graded]]-Table_15[[#This Row],[UNDERSIZE]]+0.0011</f>
        <v>1.1000000000000001E-3</v>
      </c>
      <c r="BE166" s="86">
        <f>Table_15[[#This Row],[Total Graded]]-Table_15[[#This Row],[Packing Quantity]]+Table_15[[#This Row],[PACKING LOOSE]]</f>
        <v>0</v>
      </c>
      <c r="BF166" s="34">
        <f>IF(Table_15[[#This Row],[GRADED BAGS]]&gt;0,Table_15[[#This Row],[GRADED BAGS]],Table_15[[#This Row],[Bags]])</f>
        <v>0</v>
      </c>
    </row>
    <row r="167" spans="1:58" ht="14.25" hidden="1" customHeight="1" x14ac:dyDescent="0.35">
      <c r="A167" s="22">
        <v>165</v>
      </c>
      <c r="B167" s="22"/>
      <c r="C167" s="23"/>
      <c r="D167" s="23"/>
      <c r="E167" s="24"/>
      <c r="F167" s="23"/>
      <c r="G167" s="100"/>
      <c r="H167" s="101"/>
      <c r="I167" s="102"/>
      <c r="J167" s="102"/>
      <c r="K167" s="233"/>
      <c r="L167" s="22"/>
      <c r="M167" s="25">
        <f t="shared" si="11"/>
        <v>0</v>
      </c>
      <c r="N167" s="25">
        <f t="shared" si="12"/>
        <v>0</v>
      </c>
      <c r="O167" s="25">
        <f t="shared" si="13"/>
        <v>0</v>
      </c>
      <c r="P167" s="25">
        <f t="shared" si="14"/>
        <v>0</v>
      </c>
      <c r="Q167" s="22"/>
      <c r="R167" s="22"/>
      <c r="S167" s="22"/>
      <c r="T167" s="168"/>
      <c r="U167" s="171">
        <f t="shared" si="15"/>
        <v>0</v>
      </c>
      <c r="V167" s="169"/>
      <c r="W167" s="28"/>
      <c r="X167" s="25" t="str">
        <f>+IF(AND('GRADING PACKING'!L$5=INWARDDATA!J167,'GRADING PACKING'!L$6=INWARDDATA!I167,AB167=0),"TRUE","FALSE")</f>
        <v>FALSE</v>
      </c>
      <c r="Y167" s="29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1"/>
      <c r="AK167" s="31"/>
      <c r="AL167" s="31"/>
      <c r="AM167" s="31"/>
      <c r="AN167" s="32" t="str">
        <f>+IF(AND('GRADING PACKING'!L$5=INWARDDATA!J167,'GRADING PACKING'!L$6=INWARDDATA!I167,AR167=0),"good","bad")</f>
        <v>bad</v>
      </c>
      <c r="AO167" s="33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86"/>
      <c r="BC167" s="86"/>
      <c r="BD167" s="97">
        <f>Table_15[[#This Row],[Wgt-Bag]]-Table_15[[#This Row],[Total Graded]]-Table_15[[#This Row],[UNDERSIZE]]+0.0011</f>
        <v>1.1000000000000001E-3</v>
      </c>
      <c r="BE167" s="86">
        <f>Table_15[[#This Row],[Total Graded]]-Table_15[[#This Row],[Packing Quantity]]+Table_15[[#This Row],[PACKING LOOSE]]</f>
        <v>0</v>
      </c>
      <c r="BF167" s="34">
        <f>IF(Table_15[[#This Row],[GRADED BAGS]]&gt;0,Table_15[[#This Row],[GRADED BAGS]],Table_15[[#This Row],[Bags]])</f>
        <v>0</v>
      </c>
    </row>
    <row r="168" spans="1:58" ht="14.25" hidden="1" customHeight="1" x14ac:dyDescent="0.35">
      <c r="A168" s="22">
        <v>166</v>
      </c>
      <c r="B168" s="22"/>
      <c r="C168" s="23"/>
      <c r="D168" s="23"/>
      <c r="E168" s="24"/>
      <c r="F168" s="23"/>
      <c r="G168" s="100"/>
      <c r="H168" s="101"/>
      <c r="I168" s="102"/>
      <c r="J168" s="102"/>
      <c r="K168" s="233"/>
      <c r="L168" s="22"/>
      <c r="M168" s="25">
        <f t="shared" si="11"/>
        <v>0</v>
      </c>
      <c r="N168" s="25">
        <f t="shared" si="12"/>
        <v>0</v>
      </c>
      <c r="O168" s="25">
        <f t="shared" si="13"/>
        <v>0</v>
      </c>
      <c r="P168" s="25">
        <f t="shared" si="14"/>
        <v>0</v>
      </c>
      <c r="Q168" s="22"/>
      <c r="R168" s="22"/>
      <c r="S168" s="22"/>
      <c r="T168" s="168"/>
      <c r="U168" s="171">
        <f t="shared" si="15"/>
        <v>0</v>
      </c>
      <c r="V168" s="169"/>
      <c r="W168" s="28"/>
      <c r="X168" s="25" t="str">
        <f>+IF(AND('GRADING PACKING'!L$5=INWARDDATA!J168,'GRADING PACKING'!L$6=INWARDDATA!I168,AB168=0),"TRUE","FALSE")</f>
        <v>FALSE</v>
      </c>
      <c r="Y168" s="29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1"/>
      <c r="AK168" s="31"/>
      <c r="AL168" s="31"/>
      <c r="AM168" s="31"/>
      <c r="AN168" s="32" t="str">
        <f>+IF(AND('GRADING PACKING'!L$5=INWARDDATA!J168,'GRADING PACKING'!L$6=INWARDDATA!I168,AR168=0),"good","bad")</f>
        <v>bad</v>
      </c>
      <c r="AO168" s="33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86"/>
      <c r="BC168" s="86"/>
      <c r="BD168" s="97">
        <f>Table_15[[#This Row],[Wgt-Bag]]-Table_15[[#This Row],[Total Graded]]-Table_15[[#This Row],[UNDERSIZE]]+0.0011</f>
        <v>1.1000000000000001E-3</v>
      </c>
      <c r="BE168" s="86">
        <f>Table_15[[#This Row],[Total Graded]]-Table_15[[#This Row],[Packing Quantity]]+Table_15[[#This Row],[PACKING LOOSE]]</f>
        <v>0</v>
      </c>
      <c r="BF168" s="34">
        <f>IF(Table_15[[#This Row],[GRADED BAGS]]&gt;0,Table_15[[#This Row],[GRADED BAGS]],Table_15[[#This Row],[Bags]])</f>
        <v>0</v>
      </c>
    </row>
    <row r="169" spans="1:58" ht="14.25" hidden="1" customHeight="1" x14ac:dyDescent="0.35">
      <c r="A169" s="22">
        <v>167</v>
      </c>
      <c r="B169" s="22"/>
      <c r="C169" s="23"/>
      <c r="D169" s="23"/>
      <c r="E169" s="24"/>
      <c r="F169" s="23"/>
      <c r="G169" s="100"/>
      <c r="H169" s="101"/>
      <c r="I169" s="102"/>
      <c r="J169" s="102"/>
      <c r="K169" s="233"/>
      <c r="L169" s="22"/>
      <c r="M169" s="25">
        <f t="shared" si="11"/>
        <v>0</v>
      </c>
      <c r="N169" s="25">
        <f t="shared" si="12"/>
        <v>0</v>
      </c>
      <c r="O169" s="25">
        <f t="shared" si="13"/>
        <v>0</v>
      </c>
      <c r="P169" s="25">
        <f t="shared" si="14"/>
        <v>0</v>
      </c>
      <c r="Q169" s="22"/>
      <c r="R169" s="22"/>
      <c r="S169" s="22"/>
      <c r="T169" s="168"/>
      <c r="U169" s="171">
        <f t="shared" si="15"/>
        <v>0</v>
      </c>
      <c r="V169" s="169"/>
      <c r="W169" s="28"/>
      <c r="X169" s="25" t="str">
        <f>+IF(AND('GRADING PACKING'!L$5=INWARDDATA!J169,'GRADING PACKING'!L$6=INWARDDATA!I169,AB169=0),"TRUE","FALSE")</f>
        <v>FALSE</v>
      </c>
      <c r="Y169" s="29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1"/>
      <c r="AK169" s="31"/>
      <c r="AL169" s="31"/>
      <c r="AM169" s="31"/>
      <c r="AN169" s="32" t="str">
        <f>+IF(AND('GRADING PACKING'!L$5=INWARDDATA!J169,'GRADING PACKING'!L$6=INWARDDATA!I169,AR169=0),"good","bad")</f>
        <v>bad</v>
      </c>
      <c r="AO169" s="33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86"/>
      <c r="BC169" s="86"/>
      <c r="BD169" s="97">
        <f>Table_15[[#This Row],[Wgt-Bag]]-Table_15[[#This Row],[Total Graded]]-Table_15[[#This Row],[UNDERSIZE]]+0.0011</f>
        <v>1.1000000000000001E-3</v>
      </c>
      <c r="BE169" s="86">
        <f>Table_15[[#This Row],[Total Graded]]-Table_15[[#This Row],[Packing Quantity]]+Table_15[[#This Row],[PACKING LOOSE]]</f>
        <v>0</v>
      </c>
      <c r="BF169" s="34">
        <f>IF(Table_15[[#This Row],[GRADED BAGS]]&gt;0,Table_15[[#This Row],[GRADED BAGS]],Table_15[[#This Row],[Bags]])</f>
        <v>0</v>
      </c>
    </row>
    <row r="170" spans="1:58" ht="14.25" hidden="1" customHeight="1" x14ac:dyDescent="0.35">
      <c r="A170" s="22">
        <v>168</v>
      </c>
      <c r="B170" s="22"/>
      <c r="C170" s="23"/>
      <c r="D170" s="23"/>
      <c r="E170" s="24"/>
      <c r="F170" s="23"/>
      <c r="G170" s="100"/>
      <c r="H170" s="101"/>
      <c r="I170" s="102"/>
      <c r="J170" s="102"/>
      <c r="K170" s="233"/>
      <c r="L170" s="22"/>
      <c r="M170" s="25">
        <f t="shared" si="11"/>
        <v>0</v>
      </c>
      <c r="N170" s="25">
        <f t="shared" si="12"/>
        <v>0</v>
      </c>
      <c r="O170" s="25">
        <f t="shared" si="13"/>
        <v>0</v>
      </c>
      <c r="P170" s="25">
        <f t="shared" si="14"/>
        <v>0</v>
      </c>
      <c r="Q170" s="22"/>
      <c r="R170" s="22"/>
      <c r="S170" s="22"/>
      <c r="T170" s="168"/>
      <c r="U170" s="171">
        <f t="shared" si="15"/>
        <v>0</v>
      </c>
      <c r="V170" s="169"/>
      <c r="W170" s="28"/>
      <c r="X170" s="25" t="str">
        <f>+IF(AND('GRADING PACKING'!L$5=INWARDDATA!J170,'GRADING PACKING'!L$6=INWARDDATA!I170,AB170=0),"TRUE","FALSE")</f>
        <v>FALSE</v>
      </c>
      <c r="Y170" s="29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1"/>
      <c r="AK170" s="31"/>
      <c r="AL170" s="31"/>
      <c r="AM170" s="31"/>
      <c r="AN170" s="32" t="str">
        <f>+IF(AND('GRADING PACKING'!L$5=INWARDDATA!J170,'GRADING PACKING'!L$6=INWARDDATA!I170,AR170=0),"good","bad")</f>
        <v>bad</v>
      </c>
      <c r="AO170" s="33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86"/>
      <c r="BC170" s="86"/>
      <c r="BD170" s="97">
        <f>Table_15[[#This Row],[Wgt-Bag]]-Table_15[[#This Row],[Total Graded]]-Table_15[[#This Row],[UNDERSIZE]]+0.0011</f>
        <v>1.1000000000000001E-3</v>
      </c>
      <c r="BE170" s="86">
        <f>Table_15[[#This Row],[Total Graded]]-Table_15[[#This Row],[Packing Quantity]]+Table_15[[#This Row],[PACKING LOOSE]]</f>
        <v>0</v>
      </c>
      <c r="BF170" s="34">
        <f>IF(Table_15[[#This Row],[GRADED BAGS]]&gt;0,Table_15[[#This Row],[GRADED BAGS]],Table_15[[#This Row],[Bags]])</f>
        <v>0</v>
      </c>
    </row>
    <row r="171" spans="1:58" ht="14.25" hidden="1" customHeight="1" x14ac:dyDescent="0.35">
      <c r="A171" s="22">
        <v>169</v>
      </c>
      <c r="B171" s="22"/>
      <c r="C171" s="23"/>
      <c r="D171" s="23"/>
      <c r="E171" s="24"/>
      <c r="F171" s="23"/>
      <c r="G171" s="100"/>
      <c r="H171" s="101"/>
      <c r="I171" s="102"/>
      <c r="J171" s="102"/>
      <c r="K171" s="233"/>
      <c r="L171" s="22"/>
      <c r="M171" s="25">
        <f t="shared" si="11"/>
        <v>0</v>
      </c>
      <c r="N171" s="25">
        <f t="shared" si="12"/>
        <v>0</v>
      </c>
      <c r="O171" s="25">
        <f t="shared" si="13"/>
        <v>0</v>
      </c>
      <c r="P171" s="25">
        <f t="shared" si="14"/>
        <v>0</v>
      </c>
      <c r="Q171" s="22"/>
      <c r="R171" s="22"/>
      <c r="S171" s="22"/>
      <c r="T171" s="168"/>
      <c r="U171" s="171">
        <f t="shared" si="15"/>
        <v>0</v>
      </c>
      <c r="V171" s="169"/>
      <c r="W171" s="28"/>
      <c r="X171" s="25" t="str">
        <f>+IF(AND('GRADING PACKING'!L$5=INWARDDATA!J171,'GRADING PACKING'!L$6=INWARDDATA!I171,AB171=0),"TRUE","FALSE")</f>
        <v>FALSE</v>
      </c>
      <c r="Y171" s="29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1"/>
      <c r="AK171" s="31"/>
      <c r="AL171" s="31"/>
      <c r="AM171" s="31"/>
      <c r="AN171" s="32" t="str">
        <f>+IF(AND('GRADING PACKING'!L$5=INWARDDATA!J171,'GRADING PACKING'!L$6=INWARDDATA!I171,AR171=0),"good","bad")</f>
        <v>bad</v>
      </c>
      <c r="AO171" s="33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86"/>
      <c r="BC171" s="86"/>
      <c r="BD171" s="97">
        <f>Table_15[[#This Row],[Wgt-Bag]]-Table_15[[#This Row],[Total Graded]]-Table_15[[#This Row],[UNDERSIZE]]+0.0011</f>
        <v>1.1000000000000001E-3</v>
      </c>
      <c r="BE171" s="86">
        <f>Table_15[[#This Row],[Total Graded]]-Table_15[[#This Row],[Packing Quantity]]+Table_15[[#This Row],[PACKING LOOSE]]</f>
        <v>0</v>
      </c>
      <c r="BF171" s="34">
        <f>IF(Table_15[[#This Row],[GRADED BAGS]]&gt;0,Table_15[[#This Row],[GRADED BAGS]],Table_15[[#This Row],[Bags]])</f>
        <v>0</v>
      </c>
    </row>
    <row r="172" spans="1:58" ht="14.25" hidden="1" customHeight="1" x14ac:dyDescent="0.35">
      <c r="A172" s="22">
        <v>170</v>
      </c>
      <c r="B172" s="22"/>
      <c r="C172" s="23"/>
      <c r="D172" s="23"/>
      <c r="E172" s="24"/>
      <c r="F172" s="23"/>
      <c r="G172" s="100"/>
      <c r="H172" s="101"/>
      <c r="I172" s="102"/>
      <c r="J172" s="102"/>
      <c r="K172" s="233"/>
      <c r="L172" s="22"/>
      <c r="M172" s="25">
        <f t="shared" si="11"/>
        <v>0</v>
      </c>
      <c r="N172" s="25">
        <f t="shared" si="12"/>
        <v>0</v>
      </c>
      <c r="O172" s="25">
        <f t="shared" si="13"/>
        <v>0</v>
      </c>
      <c r="P172" s="25">
        <f t="shared" si="14"/>
        <v>0</v>
      </c>
      <c r="Q172" s="22"/>
      <c r="R172" s="22"/>
      <c r="S172" s="22"/>
      <c r="T172" s="168"/>
      <c r="U172" s="171">
        <f t="shared" si="15"/>
        <v>0</v>
      </c>
      <c r="V172" s="169"/>
      <c r="W172" s="28"/>
      <c r="X172" s="25" t="str">
        <f>+IF(AND('GRADING PACKING'!L$5=INWARDDATA!J172,'GRADING PACKING'!L$6=INWARDDATA!I172,AB172=0),"TRUE","FALSE")</f>
        <v>FALSE</v>
      </c>
      <c r="Y172" s="29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1"/>
      <c r="AK172" s="31"/>
      <c r="AL172" s="31"/>
      <c r="AM172" s="31"/>
      <c r="AN172" s="32" t="str">
        <f>+IF(AND('GRADING PACKING'!L$5=INWARDDATA!J172,'GRADING PACKING'!L$6=INWARDDATA!I172,AR172=0),"good","bad")</f>
        <v>bad</v>
      </c>
      <c r="AO172" s="33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86"/>
      <c r="BC172" s="86"/>
      <c r="BD172" s="97">
        <f>Table_15[[#This Row],[Wgt-Bag]]-Table_15[[#This Row],[Total Graded]]-Table_15[[#This Row],[UNDERSIZE]]+0.0011</f>
        <v>1.1000000000000001E-3</v>
      </c>
      <c r="BE172" s="86">
        <f>Table_15[[#This Row],[Total Graded]]-Table_15[[#This Row],[Packing Quantity]]+Table_15[[#This Row],[PACKING LOOSE]]</f>
        <v>0</v>
      </c>
      <c r="BF172" s="34">
        <f>IF(Table_15[[#This Row],[GRADED BAGS]]&gt;0,Table_15[[#This Row],[GRADED BAGS]],Table_15[[#This Row],[Bags]])</f>
        <v>0</v>
      </c>
    </row>
    <row r="173" spans="1:58" ht="14.25" hidden="1" customHeight="1" x14ac:dyDescent="0.35">
      <c r="A173" s="22">
        <v>171</v>
      </c>
      <c r="B173" s="22"/>
      <c r="C173" s="23"/>
      <c r="D173" s="23"/>
      <c r="E173" s="24"/>
      <c r="F173" s="23"/>
      <c r="G173" s="100"/>
      <c r="H173" s="101"/>
      <c r="I173" s="102"/>
      <c r="J173" s="102"/>
      <c r="K173" s="233"/>
      <c r="L173" s="22"/>
      <c r="M173" s="25">
        <f t="shared" si="11"/>
        <v>0</v>
      </c>
      <c r="N173" s="25">
        <f t="shared" si="12"/>
        <v>0</v>
      </c>
      <c r="O173" s="25">
        <f t="shared" si="13"/>
        <v>0</v>
      </c>
      <c r="P173" s="25">
        <f t="shared" si="14"/>
        <v>0</v>
      </c>
      <c r="Q173" s="22"/>
      <c r="R173" s="22"/>
      <c r="S173" s="22"/>
      <c r="T173" s="168"/>
      <c r="U173" s="171">
        <f t="shared" si="15"/>
        <v>0</v>
      </c>
      <c r="V173" s="169"/>
      <c r="W173" s="28"/>
      <c r="X173" s="25" t="str">
        <f>+IF(AND('GRADING PACKING'!L$5=INWARDDATA!J173,'GRADING PACKING'!L$6=INWARDDATA!I173,AB173=0),"TRUE","FALSE")</f>
        <v>FALSE</v>
      </c>
      <c r="Y173" s="29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1"/>
      <c r="AK173" s="31"/>
      <c r="AL173" s="31"/>
      <c r="AM173" s="31"/>
      <c r="AN173" s="32" t="str">
        <f>+IF(AND('GRADING PACKING'!L$5=INWARDDATA!J173,'GRADING PACKING'!L$6=INWARDDATA!I173,AR173=0),"good","bad")</f>
        <v>bad</v>
      </c>
      <c r="AO173" s="33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86"/>
      <c r="BC173" s="86"/>
      <c r="BD173" s="97">
        <f>Table_15[[#This Row],[Wgt-Bag]]-Table_15[[#This Row],[Total Graded]]-Table_15[[#This Row],[UNDERSIZE]]+0.0011</f>
        <v>1.1000000000000001E-3</v>
      </c>
      <c r="BE173" s="86">
        <f>Table_15[[#This Row],[Total Graded]]-Table_15[[#This Row],[Packing Quantity]]+Table_15[[#This Row],[PACKING LOOSE]]</f>
        <v>0</v>
      </c>
      <c r="BF173" s="34">
        <f>IF(Table_15[[#This Row],[GRADED BAGS]]&gt;0,Table_15[[#This Row],[GRADED BAGS]],Table_15[[#This Row],[Bags]])</f>
        <v>0</v>
      </c>
    </row>
    <row r="174" spans="1:58" ht="14.25" hidden="1" customHeight="1" x14ac:dyDescent="0.35">
      <c r="A174" s="22">
        <v>172</v>
      </c>
      <c r="B174" s="22"/>
      <c r="C174" s="23"/>
      <c r="D174" s="23"/>
      <c r="E174" s="24"/>
      <c r="F174" s="23"/>
      <c r="G174" s="100"/>
      <c r="H174" s="101"/>
      <c r="I174" s="102"/>
      <c r="J174" s="102"/>
      <c r="K174" s="233"/>
      <c r="L174" s="22"/>
      <c r="M174" s="25">
        <f t="shared" si="11"/>
        <v>0</v>
      </c>
      <c r="N174" s="25">
        <f t="shared" si="12"/>
        <v>0</v>
      </c>
      <c r="O174" s="25">
        <f t="shared" si="13"/>
        <v>0</v>
      </c>
      <c r="P174" s="25">
        <f t="shared" si="14"/>
        <v>0</v>
      </c>
      <c r="Q174" s="22"/>
      <c r="R174" s="22"/>
      <c r="S174" s="22"/>
      <c r="T174" s="168"/>
      <c r="U174" s="171">
        <f t="shared" si="15"/>
        <v>0</v>
      </c>
      <c r="V174" s="169"/>
      <c r="W174" s="28"/>
      <c r="X174" s="25" t="str">
        <f>+IF(AND('GRADING PACKING'!L$5=INWARDDATA!J174,'GRADING PACKING'!L$6=INWARDDATA!I174,AB174=0),"TRUE","FALSE")</f>
        <v>FALSE</v>
      </c>
      <c r="Y174" s="29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1"/>
      <c r="AK174" s="31"/>
      <c r="AL174" s="31"/>
      <c r="AM174" s="31"/>
      <c r="AN174" s="32" t="str">
        <f>+IF(AND('GRADING PACKING'!L$5=INWARDDATA!J174,'GRADING PACKING'!L$6=INWARDDATA!I174,AR174=0),"good","bad")</f>
        <v>bad</v>
      </c>
      <c r="AO174" s="33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86"/>
      <c r="BC174" s="86"/>
      <c r="BD174" s="97">
        <f>Table_15[[#This Row],[Wgt-Bag]]-Table_15[[#This Row],[Total Graded]]-Table_15[[#This Row],[UNDERSIZE]]+0.0011</f>
        <v>1.1000000000000001E-3</v>
      </c>
      <c r="BE174" s="86">
        <f>Table_15[[#This Row],[Total Graded]]-Table_15[[#This Row],[Packing Quantity]]+Table_15[[#This Row],[PACKING LOOSE]]</f>
        <v>0</v>
      </c>
      <c r="BF174" s="34">
        <f>IF(Table_15[[#This Row],[GRADED BAGS]]&gt;0,Table_15[[#This Row],[GRADED BAGS]],Table_15[[#This Row],[Bags]])</f>
        <v>0</v>
      </c>
    </row>
    <row r="175" spans="1:58" ht="14.25" hidden="1" customHeight="1" x14ac:dyDescent="0.35">
      <c r="A175" s="22">
        <v>173</v>
      </c>
      <c r="B175" s="22"/>
      <c r="C175" s="23"/>
      <c r="D175" s="23"/>
      <c r="E175" s="24"/>
      <c r="F175" s="23"/>
      <c r="G175" s="100"/>
      <c r="H175" s="101"/>
      <c r="I175" s="102"/>
      <c r="J175" s="102"/>
      <c r="K175" s="233"/>
      <c r="L175" s="22"/>
      <c r="M175" s="25">
        <f t="shared" si="11"/>
        <v>0</v>
      </c>
      <c r="N175" s="25">
        <f t="shared" si="12"/>
        <v>0</v>
      </c>
      <c r="O175" s="25">
        <f t="shared" si="13"/>
        <v>0</v>
      </c>
      <c r="P175" s="25">
        <f t="shared" si="14"/>
        <v>0</v>
      </c>
      <c r="Q175" s="22"/>
      <c r="R175" s="22"/>
      <c r="S175" s="22"/>
      <c r="T175" s="168"/>
      <c r="U175" s="171">
        <f t="shared" si="15"/>
        <v>0</v>
      </c>
      <c r="V175" s="169"/>
      <c r="W175" s="28"/>
      <c r="X175" s="25" t="str">
        <f>+IF(AND('GRADING PACKING'!L$5=INWARDDATA!J175,'GRADING PACKING'!L$6=INWARDDATA!I175,AB175=0),"TRUE","FALSE")</f>
        <v>FALSE</v>
      </c>
      <c r="Y175" s="29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1"/>
      <c r="AK175" s="31"/>
      <c r="AL175" s="31"/>
      <c r="AM175" s="31"/>
      <c r="AN175" s="32" t="str">
        <f>+IF(AND('GRADING PACKING'!L$5=INWARDDATA!J175,'GRADING PACKING'!L$6=INWARDDATA!I175,AR175=0),"good","bad")</f>
        <v>bad</v>
      </c>
      <c r="AO175" s="33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86"/>
      <c r="BC175" s="86"/>
      <c r="BD175" s="97">
        <f>Table_15[[#This Row],[Wgt-Bag]]-Table_15[[#This Row],[Total Graded]]-Table_15[[#This Row],[UNDERSIZE]]+0.0011</f>
        <v>1.1000000000000001E-3</v>
      </c>
      <c r="BE175" s="86">
        <f>Table_15[[#This Row],[Total Graded]]-Table_15[[#This Row],[Packing Quantity]]+Table_15[[#This Row],[PACKING LOOSE]]</f>
        <v>0</v>
      </c>
      <c r="BF175" s="34">
        <f>IF(Table_15[[#This Row],[GRADED BAGS]]&gt;0,Table_15[[#This Row],[GRADED BAGS]],Table_15[[#This Row],[Bags]])</f>
        <v>0</v>
      </c>
    </row>
    <row r="176" spans="1:58" ht="14.25" hidden="1" customHeight="1" x14ac:dyDescent="0.35">
      <c r="A176" s="22">
        <v>174</v>
      </c>
      <c r="B176" s="22"/>
      <c r="C176" s="23"/>
      <c r="D176" s="23"/>
      <c r="E176" s="24"/>
      <c r="F176" s="23"/>
      <c r="G176" s="100"/>
      <c r="H176" s="101"/>
      <c r="I176" s="102"/>
      <c r="J176" s="102"/>
      <c r="K176" s="233"/>
      <c r="L176" s="22"/>
      <c r="M176" s="25">
        <f t="shared" si="11"/>
        <v>0</v>
      </c>
      <c r="N176" s="25">
        <f t="shared" si="12"/>
        <v>0</v>
      </c>
      <c r="O176" s="25">
        <f t="shared" si="13"/>
        <v>0</v>
      </c>
      <c r="P176" s="25">
        <f t="shared" si="14"/>
        <v>0</v>
      </c>
      <c r="Q176" s="22"/>
      <c r="R176" s="22"/>
      <c r="S176" s="22"/>
      <c r="T176" s="168"/>
      <c r="U176" s="171">
        <f t="shared" si="15"/>
        <v>0</v>
      </c>
      <c r="V176" s="169"/>
      <c r="W176" s="28"/>
      <c r="X176" s="25" t="str">
        <f>+IF(AND('GRADING PACKING'!L$5=INWARDDATA!J176,'GRADING PACKING'!L$6=INWARDDATA!I176,AB176=0),"TRUE","FALSE")</f>
        <v>FALSE</v>
      </c>
      <c r="Y176" s="29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1"/>
      <c r="AK176" s="31"/>
      <c r="AL176" s="31"/>
      <c r="AM176" s="31"/>
      <c r="AN176" s="32" t="str">
        <f>+IF(AND('GRADING PACKING'!L$5=INWARDDATA!J176,'GRADING PACKING'!L$6=INWARDDATA!I176,AR176=0),"good","bad")</f>
        <v>bad</v>
      </c>
      <c r="AO176" s="33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86"/>
      <c r="BC176" s="86"/>
      <c r="BD176" s="97">
        <f>Table_15[[#This Row],[Wgt-Bag]]-Table_15[[#This Row],[Total Graded]]-Table_15[[#This Row],[UNDERSIZE]]+0.0011</f>
        <v>1.1000000000000001E-3</v>
      </c>
      <c r="BE176" s="86">
        <f>Table_15[[#This Row],[Total Graded]]-Table_15[[#This Row],[Packing Quantity]]+Table_15[[#This Row],[PACKING LOOSE]]</f>
        <v>0</v>
      </c>
      <c r="BF176" s="34">
        <f>IF(Table_15[[#This Row],[GRADED BAGS]]&gt;0,Table_15[[#This Row],[GRADED BAGS]],Table_15[[#This Row],[Bags]])</f>
        <v>0</v>
      </c>
    </row>
    <row r="177" spans="1:58" ht="14.25" hidden="1" customHeight="1" x14ac:dyDescent="0.35">
      <c r="A177" s="22">
        <v>175</v>
      </c>
      <c r="B177" s="22"/>
      <c r="C177" s="23"/>
      <c r="D177" s="23"/>
      <c r="E177" s="24"/>
      <c r="F177" s="23"/>
      <c r="G177" s="100"/>
      <c r="H177" s="101"/>
      <c r="I177" s="102"/>
      <c r="J177" s="102"/>
      <c r="K177" s="233"/>
      <c r="L177" s="22"/>
      <c r="M177" s="25">
        <f t="shared" si="11"/>
        <v>0</v>
      </c>
      <c r="N177" s="25">
        <f t="shared" si="12"/>
        <v>0</v>
      </c>
      <c r="O177" s="25">
        <f t="shared" si="13"/>
        <v>0</v>
      </c>
      <c r="P177" s="25">
        <f t="shared" si="14"/>
        <v>0</v>
      </c>
      <c r="Q177" s="22"/>
      <c r="R177" s="22"/>
      <c r="S177" s="22"/>
      <c r="T177" s="168"/>
      <c r="U177" s="171">
        <f t="shared" si="15"/>
        <v>0</v>
      </c>
      <c r="V177" s="169"/>
      <c r="W177" s="28"/>
      <c r="X177" s="25" t="str">
        <f>+IF(AND('GRADING PACKING'!L$5=INWARDDATA!J177,'GRADING PACKING'!L$6=INWARDDATA!I177,AB177=0),"TRUE","FALSE")</f>
        <v>FALSE</v>
      </c>
      <c r="Y177" s="29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1"/>
      <c r="AK177" s="31"/>
      <c r="AL177" s="31"/>
      <c r="AM177" s="31"/>
      <c r="AN177" s="32" t="str">
        <f>+IF(AND('GRADING PACKING'!L$5=INWARDDATA!J177,'GRADING PACKING'!L$6=INWARDDATA!I177,AR177=0),"good","bad")</f>
        <v>bad</v>
      </c>
      <c r="AO177" s="33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86"/>
      <c r="BC177" s="86"/>
      <c r="BD177" s="97">
        <f>Table_15[[#This Row],[Wgt-Bag]]-Table_15[[#This Row],[Total Graded]]-Table_15[[#This Row],[UNDERSIZE]]+0.0011</f>
        <v>1.1000000000000001E-3</v>
      </c>
      <c r="BE177" s="86">
        <f>Table_15[[#This Row],[Total Graded]]-Table_15[[#This Row],[Packing Quantity]]+Table_15[[#This Row],[PACKING LOOSE]]</f>
        <v>0</v>
      </c>
      <c r="BF177" s="34">
        <f>IF(Table_15[[#This Row],[GRADED BAGS]]&gt;0,Table_15[[#This Row],[GRADED BAGS]],Table_15[[#This Row],[Bags]])</f>
        <v>0</v>
      </c>
    </row>
    <row r="178" spans="1:58" ht="14.25" hidden="1" customHeight="1" x14ac:dyDescent="0.35">
      <c r="A178" s="22">
        <v>176</v>
      </c>
      <c r="B178" s="22"/>
      <c r="C178" s="23"/>
      <c r="D178" s="23"/>
      <c r="E178" s="24"/>
      <c r="F178" s="23"/>
      <c r="G178" s="100"/>
      <c r="H178" s="101"/>
      <c r="I178" s="102"/>
      <c r="J178" s="102"/>
      <c r="K178" s="233"/>
      <c r="L178" s="22"/>
      <c r="M178" s="25">
        <f t="shared" si="11"/>
        <v>0</v>
      </c>
      <c r="N178" s="25">
        <f t="shared" si="12"/>
        <v>0</v>
      </c>
      <c r="O178" s="25">
        <f t="shared" si="13"/>
        <v>0</v>
      </c>
      <c r="P178" s="25">
        <f t="shared" si="14"/>
        <v>0</v>
      </c>
      <c r="Q178" s="22"/>
      <c r="R178" s="22"/>
      <c r="S178" s="22"/>
      <c r="T178" s="168"/>
      <c r="U178" s="171">
        <f t="shared" si="15"/>
        <v>0</v>
      </c>
      <c r="V178" s="169"/>
      <c r="W178" s="28"/>
      <c r="X178" s="25" t="str">
        <f>+IF(AND('GRADING PACKING'!L$5=INWARDDATA!J178,'GRADING PACKING'!L$6=INWARDDATA!I178,AB178=0),"TRUE","FALSE")</f>
        <v>FALSE</v>
      </c>
      <c r="Y178" s="29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1"/>
      <c r="AK178" s="31"/>
      <c r="AL178" s="31"/>
      <c r="AM178" s="31"/>
      <c r="AN178" s="32" t="str">
        <f>+IF(AND('GRADING PACKING'!L$5=INWARDDATA!J178,'GRADING PACKING'!L$6=INWARDDATA!I178,AR178=0),"good","bad")</f>
        <v>bad</v>
      </c>
      <c r="AO178" s="33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86"/>
      <c r="BC178" s="86"/>
      <c r="BD178" s="97">
        <f>Table_15[[#This Row],[Wgt-Bag]]-Table_15[[#This Row],[Total Graded]]-Table_15[[#This Row],[UNDERSIZE]]+0.0011</f>
        <v>1.1000000000000001E-3</v>
      </c>
      <c r="BE178" s="86">
        <f>Table_15[[#This Row],[Total Graded]]-Table_15[[#This Row],[Packing Quantity]]+Table_15[[#This Row],[PACKING LOOSE]]</f>
        <v>0</v>
      </c>
      <c r="BF178" s="34">
        <f>IF(Table_15[[#This Row],[GRADED BAGS]]&gt;0,Table_15[[#This Row],[GRADED BAGS]],Table_15[[#This Row],[Bags]])</f>
        <v>0</v>
      </c>
    </row>
    <row r="179" spans="1:58" ht="14.25" hidden="1" customHeight="1" x14ac:dyDescent="0.35">
      <c r="A179" s="22">
        <v>177</v>
      </c>
      <c r="B179" s="22"/>
      <c r="C179" s="23"/>
      <c r="D179" s="23"/>
      <c r="E179" s="24"/>
      <c r="F179" s="23"/>
      <c r="G179" s="100"/>
      <c r="H179" s="101"/>
      <c r="I179" s="102"/>
      <c r="J179" s="102"/>
      <c r="K179" s="233"/>
      <c r="L179" s="22"/>
      <c r="M179" s="25">
        <f t="shared" si="11"/>
        <v>0</v>
      </c>
      <c r="N179" s="25">
        <f t="shared" si="12"/>
        <v>0</v>
      </c>
      <c r="O179" s="25">
        <f t="shared" si="13"/>
        <v>0</v>
      </c>
      <c r="P179" s="25">
        <f t="shared" si="14"/>
        <v>0</v>
      </c>
      <c r="Q179" s="22"/>
      <c r="R179" s="22"/>
      <c r="S179" s="22"/>
      <c r="T179" s="168"/>
      <c r="U179" s="171">
        <f t="shared" si="15"/>
        <v>0</v>
      </c>
      <c r="V179" s="169"/>
      <c r="W179" s="28"/>
      <c r="X179" s="25" t="str">
        <f>+IF(AND('GRADING PACKING'!L$5=INWARDDATA!J179,'GRADING PACKING'!L$6=INWARDDATA!I179,AB179=0),"TRUE","FALSE")</f>
        <v>FALSE</v>
      </c>
      <c r="Y179" s="29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1"/>
      <c r="AK179" s="31"/>
      <c r="AL179" s="31"/>
      <c r="AM179" s="31"/>
      <c r="AN179" s="32" t="str">
        <f>+IF(AND('GRADING PACKING'!L$5=INWARDDATA!J179,'GRADING PACKING'!L$6=INWARDDATA!I179,AR179=0),"good","bad")</f>
        <v>bad</v>
      </c>
      <c r="AO179" s="33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86"/>
      <c r="BC179" s="86"/>
      <c r="BD179" s="97">
        <f>Table_15[[#This Row],[Wgt-Bag]]-Table_15[[#This Row],[Total Graded]]-Table_15[[#This Row],[UNDERSIZE]]+0.0011</f>
        <v>1.1000000000000001E-3</v>
      </c>
      <c r="BE179" s="86">
        <f>Table_15[[#This Row],[Total Graded]]-Table_15[[#This Row],[Packing Quantity]]+Table_15[[#This Row],[PACKING LOOSE]]</f>
        <v>0</v>
      </c>
      <c r="BF179" s="34">
        <f>IF(Table_15[[#This Row],[GRADED BAGS]]&gt;0,Table_15[[#This Row],[GRADED BAGS]],Table_15[[#This Row],[Bags]])</f>
        <v>0</v>
      </c>
    </row>
    <row r="180" spans="1:58" ht="14.25" hidden="1" customHeight="1" x14ac:dyDescent="0.35">
      <c r="A180" s="22">
        <v>178</v>
      </c>
      <c r="B180" s="22"/>
      <c r="C180" s="23"/>
      <c r="D180" s="23"/>
      <c r="E180" s="24"/>
      <c r="F180" s="23"/>
      <c r="G180" s="100"/>
      <c r="H180" s="101"/>
      <c r="I180" s="102"/>
      <c r="J180" s="102"/>
      <c r="K180" s="233"/>
      <c r="L180" s="22"/>
      <c r="M180" s="25">
        <f t="shared" si="11"/>
        <v>0</v>
      </c>
      <c r="N180" s="25">
        <f t="shared" si="12"/>
        <v>0</v>
      </c>
      <c r="O180" s="25">
        <f t="shared" si="13"/>
        <v>0</v>
      </c>
      <c r="P180" s="25">
        <f t="shared" si="14"/>
        <v>0</v>
      </c>
      <c r="Q180" s="22"/>
      <c r="R180" s="22"/>
      <c r="S180" s="22"/>
      <c r="T180" s="168"/>
      <c r="U180" s="171">
        <f t="shared" si="15"/>
        <v>0</v>
      </c>
      <c r="V180" s="169"/>
      <c r="W180" s="28"/>
      <c r="X180" s="25" t="str">
        <f>+IF(AND('GRADING PACKING'!L$5=INWARDDATA!J180,'GRADING PACKING'!L$6=INWARDDATA!I180,AB180=0),"TRUE","FALSE")</f>
        <v>FALSE</v>
      </c>
      <c r="Y180" s="29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1"/>
      <c r="AK180" s="31"/>
      <c r="AL180" s="31"/>
      <c r="AM180" s="31"/>
      <c r="AN180" s="32" t="str">
        <f>+IF(AND('GRADING PACKING'!L$5=INWARDDATA!J180,'GRADING PACKING'!L$6=INWARDDATA!I180,AR180=0),"good","bad")</f>
        <v>bad</v>
      </c>
      <c r="AO180" s="33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86"/>
      <c r="BC180" s="86"/>
      <c r="BD180" s="97">
        <f>Table_15[[#This Row],[Wgt-Bag]]-Table_15[[#This Row],[Total Graded]]-Table_15[[#This Row],[UNDERSIZE]]+0.0011</f>
        <v>1.1000000000000001E-3</v>
      </c>
      <c r="BE180" s="86">
        <f>Table_15[[#This Row],[Total Graded]]-Table_15[[#This Row],[Packing Quantity]]+Table_15[[#This Row],[PACKING LOOSE]]</f>
        <v>0</v>
      </c>
      <c r="BF180" s="34">
        <f>IF(Table_15[[#This Row],[GRADED BAGS]]&gt;0,Table_15[[#This Row],[GRADED BAGS]],Table_15[[#This Row],[Bags]])</f>
        <v>0</v>
      </c>
    </row>
    <row r="181" spans="1:58" ht="14.25" hidden="1" customHeight="1" x14ac:dyDescent="0.35">
      <c r="A181" s="22">
        <v>179</v>
      </c>
      <c r="B181" s="22"/>
      <c r="C181" s="23"/>
      <c r="D181" s="23"/>
      <c r="E181" s="24"/>
      <c r="F181" s="23"/>
      <c r="G181" s="100"/>
      <c r="H181" s="101"/>
      <c r="I181" s="102"/>
      <c r="J181" s="102"/>
      <c r="K181" s="233"/>
      <c r="L181" s="22"/>
      <c r="M181" s="25">
        <f t="shared" si="11"/>
        <v>0</v>
      </c>
      <c r="N181" s="25">
        <f t="shared" si="12"/>
        <v>0</v>
      </c>
      <c r="O181" s="25">
        <f t="shared" si="13"/>
        <v>0</v>
      </c>
      <c r="P181" s="25">
        <f t="shared" si="14"/>
        <v>0</v>
      </c>
      <c r="Q181" s="22"/>
      <c r="R181" s="22"/>
      <c r="S181" s="22"/>
      <c r="T181" s="168"/>
      <c r="U181" s="171">
        <f t="shared" si="15"/>
        <v>0</v>
      </c>
      <c r="V181" s="169"/>
      <c r="W181" s="28"/>
      <c r="X181" s="25" t="str">
        <f>+IF(AND('GRADING PACKING'!L$5=INWARDDATA!J181,'GRADING PACKING'!L$6=INWARDDATA!I181,AB181=0),"TRUE","FALSE")</f>
        <v>FALSE</v>
      </c>
      <c r="Y181" s="29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1"/>
      <c r="AK181" s="31"/>
      <c r="AL181" s="31"/>
      <c r="AM181" s="31"/>
      <c r="AN181" s="32" t="str">
        <f>+IF(AND('GRADING PACKING'!L$5=INWARDDATA!J181,'GRADING PACKING'!L$6=INWARDDATA!I181,AR181=0),"good","bad")</f>
        <v>bad</v>
      </c>
      <c r="AO181" s="33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86"/>
      <c r="BC181" s="86"/>
      <c r="BD181" s="97">
        <f>Table_15[[#This Row],[Wgt-Bag]]-Table_15[[#This Row],[Total Graded]]-Table_15[[#This Row],[UNDERSIZE]]+0.0011</f>
        <v>1.1000000000000001E-3</v>
      </c>
      <c r="BE181" s="86">
        <f>Table_15[[#This Row],[Total Graded]]-Table_15[[#This Row],[Packing Quantity]]+Table_15[[#This Row],[PACKING LOOSE]]</f>
        <v>0</v>
      </c>
      <c r="BF181" s="34">
        <f>IF(Table_15[[#This Row],[GRADED BAGS]]&gt;0,Table_15[[#This Row],[GRADED BAGS]],Table_15[[#This Row],[Bags]])</f>
        <v>0</v>
      </c>
    </row>
    <row r="182" spans="1:58" ht="14.25" hidden="1" customHeight="1" x14ac:dyDescent="0.35">
      <c r="A182" s="22">
        <v>180</v>
      </c>
      <c r="B182" s="22"/>
      <c r="C182" s="23"/>
      <c r="D182" s="23"/>
      <c r="E182" s="24"/>
      <c r="F182" s="23"/>
      <c r="G182" s="100"/>
      <c r="H182" s="101"/>
      <c r="I182" s="102"/>
      <c r="J182" s="102"/>
      <c r="K182" s="233"/>
      <c r="L182" s="22"/>
      <c r="M182" s="25">
        <f t="shared" si="11"/>
        <v>0</v>
      </c>
      <c r="N182" s="25">
        <f t="shared" si="12"/>
        <v>0</v>
      </c>
      <c r="O182" s="25">
        <f t="shared" si="13"/>
        <v>0</v>
      </c>
      <c r="P182" s="25">
        <f t="shared" si="14"/>
        <v>0</v>
      </c>
      <c r="Q182" s="22"/>
      <c r="R182" s="22"/>
      <c r="S182" s="22"/>
      <c r="T182" s="168"/>
      <c r="U182" s="171">
        <f t="shared" si="15"/>
        <v>0</v>
      </c>
      <c r="V182" s="169"/>
      <c r="W182" s="28"/>
      <c r="X182" s="25" t="str">
        <f>+IF(AND('GRADING PACKING'!L$5=INWARDDATA!J182,'GRADING PACKING'!L$6=INWARDDATA!I182,AB182=0),"TRUE","FALSE")</f>
        <v>FALSE</v>
      </c>
      <c r="Y182" s="29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1"/>
      <c r="AK182" s="31"/>
      <c r="AL182" s="31"/>
      <c r="AM182" s="31"/>
      <c r="AN182" s="32" t="str">
        <f>+IF(AND('GRADING PACKING'!L$5=INWARDDATA!J182,'GRADING PACKING'!L$6=INWARDDATA!I182,AR182=0),"good","bad")</f>
        <v>bad</v>
      </c>
      <c r="AO182" s="33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86"/>
      <c r="BC182" s="86"/>
      <c r="BD182" s="97">
        <f>Table_15[[#This Row],[Wgt-Bag]]-Table_15[[#This Row],[Total Graded]]-Table_15[[#This Row],[UNDERSIZE]]+0.0011</f>
        <v>1.1000000000000001E-3</v>
      </c>
      <c r="BE182" s="86">
        <f>Table_15[[#This Row],[Total Graded]]-Table_15[[#This Row],[Packing Quantity]]+Table_15[[#This Row],[PACKING LOOSE]]</f>
        <v>0</v>
      </c>
      <c r="BF182" s="34">
        <f>IF(Table_15[[#This Row],[GRADED BAGS]]&gt;0,Table_15[[#This Row],[GRADED BAGS]],Table_15[[#This Row],[Bags]])</f>
        <v>0</v>
      </c>
    </row>
    <row r="183" spans="1:58" ht="14.25" hidden="1" customHeight="1" x14ac:dyDescent="0.35">
      <c r="A183" s="22">
        <v>181</v>
      </c>
      <c r="B183" s="22"/>
      <c r="C183" s="23"/>
      <c r="D183" s="23"/>
      <c r="E183" s="24"/>
      <c r="F183" s="23"/>
      <c r="G183" s="100"/>
      <c r="H183" s="101"/>
      <c r="I183" s="102"/>
      <c r="J183" s="102"/>
      <c r="K183" s="233"/>
      <c r="L183" s="22"/>
      <c r="M183" s="25">
        <f t="shared" si="11"/>
        <v>0</v>
      </c>
      <c r="N183" s="25">
        <f t="shared" si="12"/>
        <v>0</v>
      </c>
      <c r="O183" s="25">
        <f t="shared" si="13"/>
        <v>0</v>
      </c>
      <c r="P183" s="25">
        <f t="shared" si="14"/>
        <v>0</v>
      </c>
      <c r="Q183" s="22"/>
      <c r="R183" s="22"/>
      <c r="S183" s="22"/>
      <c r="T183" s="168"/>
      <c r="U183" s="171">
        <f t="shared" si="15"/>
        <v>0</v>
      </c>
      <c r="V183" s="169"/>
      <c r="W183" s="28"/>
      <c r="X183" s="25" t="str">
        <f>+IF(AND('GRADING PACKING'!L$5=INWARDDATA!J183,'GRADING PACKING'!L$6=INWARDDATA!I183,AB183=0),"TRUE","FALSE")</f>
        <v>FALSE</v>
      </c>
      <c r="Y183" s="29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1"/>
      <c r="AK183" s="31"/>
      <c r="AL183" s="31"/>
      <c r="AM183" s="31"/>
      <c r="AN183" s="32" t="str">
        <f>+IF(AND('GRADING PACKING'!L$5=INWARDDATA!J183,'GRADING PACKING'!L$6=INWARDDATA!I183,AR183=0),"good","bad")</f>
        <v>bad</v>
      </c>
      <c r="AO183" s="33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86"/>
      <c r="BC183" s="86"/>
      <c r="BD183" s="97">
        <f>Table_15[[#This Row],[Wgt-Bag]]-Table_15[[#This Row],[Total Graded]]-Table_15[[#This Row],[UNDERSIZE]]+0.0011</f>
        <v>1.1000000000000001E-3</v>
      </c>
      <c r="BE183" s="86">
        <f>Table_15[[#This Row],[Total Graded]]-Table_15[[#This Row],[Packing Quantity]]+Table_15[[#This Row],[PACKING LOOSE]]</f>
        <v>0</v>
      </c>
      <c r="BF183" s="34">
        <f>IF(Table_15[[#This Row],[GRADED BAGS]]&gt;0,Table_15[[#This Row],[GRADED BAGS]],Table_15[[#This Row],[Bags]])</f>
        <v>0</v>
      </c>
    </row>
    <row r="184" spans="1:58" ht="14.25" hidden="1" customHeight="1" x14ac:dyDescent="0.35">
      <c r="A184" s="22">
        <v>182</v>
      </c>
      <c r="B184" s="22"/>
      <c r="C184" s="23"/>
      <c r="D184" s="23"/>
      <c r="E184" s="24"/>
      <c r="F184" s="23"/>
      <c r="G184" s="100"/>
      <c r="H184" s="101"/>
      <c r="I184" s="102"/>
      <c r="J184" s="102"/>
      <c r="K184" s="233"/>
      <c r="L184" s="22"/>
      <c r="M184" s="25">
        <f t="shared" si="11"/>
        <v>0</v>
      </c>
      <c r="N184" s="25">
        <f t="shared" si="12"/>
        <v>0</v>
      </c>
      <c r="O184" s="25">
        <f t="shared" si="13"/>
        <v>0</v>
      </c>
      <c r="P184" s="25">
        <f t="shared" si="14"/>
        <v>0</v>
      </c>
      <c r="Q184" s="22"/>
      <c r="R184" s="22"/>
      <c r="S184" s="22"/>
      <c r="T184" s="168"/>
      <c r="U184" s="171">
        <f t="shared" si="15"/>
        <v>0</v>
      </c>
      <c r="V184" s="169"/>
      <c r="W184" s="28"/>
      <c r="X184" s="25" t="str">
        <f>+IF(AND('GRADING PACKING'!L$5=INWARDDATA!J184,'GRADING PACKING'!L$6=INWARDDATA!I184,AB184=0),"TRUE","FALSE")</f>
        <v>FALSE</v>
      </c>
      <c r="Y184" s="29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1"/>
      <c r="AK184" s="31"/>
      <c r="AL184" s="31"/>
      <c r="AM184" s="31"/>
      <c r="AN184" s="32" t="str">
        <f>+IF(AND('GRADING PACKING'!L$5=INWARDDATA!J184,'GRADING PACKING'!L$6=INWARDDATA!I184,AR184=0),"good","bad")</f>
        <v>bad</v>
      </c>
      <c r="AO184" s="33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86"/>
      <c r="BC184" s="86"/>
      <c r="BD184" s="97">
        <f>Table_15[[#This Row],[Wgt-Bag]]-Table_15[[#This Row],[Total Graded]]-Table_15[[#This Row],[UNDERSIZE]]+0.0011</f>
        <v>1.1000000000000001E-3</v>
      </c>
      <c r="BE184" s="86">
        <f>Table_15[[#This Row],[Total Graded]]-Table_15[[#This Row],[Packing Quantity]]+Table_15[[#This Row],[PACKING LOOSE]]</f>
        <v>0</v>
      </c>
      <c r="BF184" s="34">
        <f>IF(Table_15[[#This Row],[GRADED BAGS]]&gt;0,Table_15[[#This Row],[GRADED BAGS]],Table_15[[#This Row],[Bags]])</f>
        <v>0</v>
      </c>
    </row>
    <row r="185" spans="1:58" ht="14.25" hidden="1" customHeight="1" x14ac:dyDescent="0.35">
      <c r="A185" s="22">
        <v>183</v>
      </c>
      <c r="B185" s="22"/>
      <c r="C185" s="23"/>
      <c r="D185" s="23"/>
      <c r="E185" s="24"/>
      <c r="F185" s="23"/>
      <c r="G185" s="100"/>
      <c r="H185" s="101"/>
      <c r="I185" s="102"/>
      <c r="J185" s="102"/>
      <c r="K185" s="233"/>
      <c r="L185" s="22"/>
      <c r="M185" s="25">
        <f t="shared" si="11"/>
        <v>0</v>
      </c>
      <c r="N185" s="25">
        <f t="shared" si="12"/>
        <v>0</v>
      </c>
      <c r="O185" s="25">
        <f t="shared" si="13"/>
        <v>0</v>
      </c>
      <c r="P185" s="25">
        <f t="shared" si="14"/>
        <v>0</v>
      </c>
      <c r="Q185" s="22"/>
      <c r="R185" s="22"/>
      <c r="S185" s="22"/>
      <c r="T185" s="168"/>
      <c r="U185" s="171">
        <f t="shared" si="15"/>
        <v>0</v>
      </c>
      <c r="V185" s="169"/>
      <c r="W185" s="28"/>
      <c r="X185" s="25" t="str">
        <f>+IF(AND('GRADING PACKING'!L$5=INWARDDATA!J185,'GRADING PACKING'!L$6=INWARDDATA!I185,AB185=0),"TRUE","FALSE")</f>
        <v>FALSE</v>
      </c>
      <c r="Y185" s="29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1"/>
      <c r="AK185" s="31"/>
      <c r="AL185" s="31"/>
      <c r="AM185" s="31"/>
      <c r="AN185" s="32" t="str">
        <f>+IF(AND('GRADING PACKING'!L$5=INWARDDATA!J185,'GRADING PACKING'!L$6=INWARDDATA!I185,AR185=0),"good","bad")</f>
        <v>bad</v>
      </c>
      <c r="AO185" s="33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86"/>
      <c r="BC185" s="86"/>
      <c r="BD185" s="97">
        <f>Table_15[[#This Row],[Wgt-Bag]]-Table_15[[#This Row],[Total Graded]]-Table_15[[#This Row],[UNDERSIZE]]+0.0011</f>
        <v>1.1000000000000001E-3</v>
      </c>
      <c r="BE185" s="86">
        <f>Table_15[[#This Row],[Total Graded]]-Table_15[[#This Row],[Packing Quantity]]+Table_15[[#This Row],[PACKING LOOSE]]</f>
        <v>0</v>
      </c>
      <c r="BF185" s="34">
        <f>IF(Table_15[[#This Row],[GRADED BAGS]]&gt;0,Table_15[[#This Row],[GRADED BAGS]],Table_15[[#This Row],[Bags]])</f>
        <v>0</v>
      </c>
    </row>
    <row r="186" spans="1:58" ht="14.25" hidden="1" customHeight="1" x14ac:dyDescent="0.35">
      <c r="A186" s="22">
        <v>184</v>
      </c>
      <c r="B186" s="22"/>
      <c r="C186" s="23"/>
      <c r="D186" s="23"/>
      <c r="E186" s="24"/>
      <c r="F186" s="23"/>
      <c r="G186" s="100"/>
      <c r="H186" s="101"/>
      <c r="I186" s="102"/>
      <c r="J186" s="102"/>
      <c r="K186" s="233"/>
      <c r="L186" s="22"/>
      <c r="M186" s="25">
        <f t="shared" si="11"/>
        <v>0</v>
      </c>
      <c r="N186" s="25">
        <f t="shared" si="12"/>
        <v>0</v>
      </c>
      <c r="O186" s="25">
        <f t="shared" si="13"/>
        <v>0</v>
      </c>
      <c r="P186" s="25">
        <f t="shared" si="14"/>
        <v>0</v>
      </c>
      <c r="Q186" s="22"/>
      <c r="R186" s="22"/>
      <c r="S186" s="22"/>
      <c r="T186" s="168"/>
      <c r="U186" s="171">
        <f t="shared" si="15"/>
        <v>0</v>
      </c>
      <c r="V186" s="169"/>
      <c r="W186" s="28"/>
      <c r="X186" s="25" t="str">
        <f>+IF(AND('GRADING PACKING'!L$5=INWARDDATA!J186,'GRADING PACKING'!L$6=INWARDDATA!I186,AB186=0),"TRUE","FALSE")</f>
        <v>FALSE</v>
      </c>
      <c r="Y186" s="29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1"/>
      <c r="AK186" s="31"/>
      <c r="AL186" s="31"/>
      <c r="AM186" s="31"/>
      <c r="AN186" s="32" t="str">
        <f>+IF(AND('GRADING PACKING'!L$5=INWARDDATA!J186,'GRADING PACKING'!L$6=INWARDDATA!I186,AR186=0),"good","bad")</f>
        <v>bad</v>
      </c>
      <c r="AO186" s="33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86"/>
      <c r="BC186" s="86"/>
      <c r="BD186" s="97">
        <f>Table_15[[#This Row],[Wgt-Bag]]-Table_15[[#This Row],[Total Graded]]-Table_15[[#This Row],[UNDERSIZE]]+0.0011</f>
        <v>1.1000000000000001E-3</v>
      </c>
      <c r="BE186" s="86">
        <f>Table_15[[#This Row],[Total Graded]]-Table_15[[#This Row],[Packing Quantity]]+Table_15[[#This Row],[PACKING LOOSE]]</f>
        <v>0</v>
      </c>
      <c r="BF186" s="34">
        <f>IF(Table_15[[#This Row],[GRADED BAGS]]&gt;0,Table_15[[#This Row],[GRADED BAGS]],Table_15[[#This Row],[Bags]])</f>
        <v>0</v>
      </c>
    </row>
    <row r="187" spans="1:58" ht="14.25" hidden="1" customHeight="1" x14ac:dyDescent="0.35">
      <c r="A187" s="22">
        <v>185</v>
      </c>
      <c r="B187" s="22"/>
      <c r="C187" s="23"/>
      <c r="D187" s="23"/>
      <c r="E187" s="24"/>
      <c r="F187" s="23"/>
      <c r="G187" s="100"/>
      <c r="H187" s="101"/>
      <c r="I187" s="102"/>
      <c r="J187" s="102"/>
      <c r="K187" s="233"/>
      <c r="L187" s="22"/>
      <c r="M187" s="25">
        <f t="shared" si="11"/>
        <v>0</v>
      </c>
      <c r="N187" s="25">
        <f t="shared" si="12"/>
        <v>0</v>
      </c>
      <c r="O187" s="25">
        <f t="shared" si="13"/>
        <v>0</v>
      </c>
      <c r="P187" s="25">
        <f t="shared" si="14"/>
        <v>0</v>
      </c>
      <c r="Q187" s="22"/>
      <c r="R187" s="22"/>
      <c r="S187" s="22"/>
      <c r="T187" s="168"/>
      <c r="U187" s="171">
        <f t="shared" si="15"/>
        <v>0</v>
      </c>
      <c r="V187" s="169"/>
      <c r="W187" s="28"/>
      <c r="X187" s="25" t="str">
        <f>+IF(AND('GRADING PACKING'!L$5=INWARDDATA!J187,'GRADING PACKING'!L$6=INWARDDATA!I187,AB187=0),"TRUE","FALSE")</f>
        <v>FALSE</v>
      </c>
      <c r="Y187" s="29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1"/>
      <c r="AK187" s="31"/>
      <c r="AL187" s="31"/>
      <c r="AM187" s="31"/>
      <c r="AN187" s="32" t="str">
        <f>+IF(AND('GRADING PACKING'!L$5=INWARDDATA!J187,'GRADING PACKING'!L$6=INWARDDATA!I187,AR187=0),"good","bad")</f>
        <v>bad</v>
      </c>
      <c r="AO187" s="33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86"/>
      <c r="BC187" s="86"/>
      <c r="BD187" s="97">
        <f>Table_15[[#This Row],[Wgt-Bag]]-Table_15[[#This Row],[Total Graded]]-Table_15[[#This Row],[UNDERSIZE]]+0.0011</f>
        <v>1.1000000000000001E-3</v>
      </c>
      <c r="BE187" s="86">
        <f>Table_15[[#This Row],[Total Graded]]-Table_15[[#This Row],[Packing Quantity]]+Table_15[[#This Row],[PACKING LOOSE]]</f>
        <v>0</v>
      </c>
      <c r="BF187" s="34">
        <f>IF(Table_15[[#This Row],[GRADED BAGS]]&gt;0,Table_15[[#This Row],[GRADED BAGS]],Table_15[[#This Row],[Bags]])</f>
        <v>0</v>
      </c>
    </row>
    <row r="188" spans="1:58" ht="14.25" hidden="1" customHeight="1" x14ac:dyDescent="0.35">
      <c r="A188" s="22">
        <v>186</v>
      </c>
      <c r="B188" s="22"/>
      <c r="C188" s="23"/>
      <c r="D188" s="23"/>
      <c r="E188" s="24"/>
      <c r="F188" s="23"/>
      <c r="G188" s="100"/>
      <c r="H188" s="101"/>
      <c r="I188" s="102"/>
      <c r="J188" s="102"/>
      <c r="K188" s="233"/>
      <c r="L188" s="22"/>
      <c r="M188" s="25">
        <f t="shared" si="11"/>
        <v>0</v>
      </c>
      <c r="N188" s="25">
        <f t="shared" si="12"/>
        <v>0</v>
      </c>
      <c r="O188" s="25">
        <f t="shared" si="13"/>
        <v>0</v>
      </c>
      <c r="P188" s="25">
        <f t="shared" si="14"/>
        <v>0</v>
      </c>
      <c r="Q188" s="22"/>
      <c r="R188" s="22"/>
      <c r="S188" s="22"/>
      <c r="T188" s="168"/>
      <c r="U188" s="171">
        <f t="shared" si="15"/>
        <v>0</v>
      </c>
      <c r="V188" s="169"/>
      <c r="W188" s="28"/>
      <c r="X188" s="25" t="str">
        <f>+IF(AND('GRADING PACKING'!L$5=INWARDDATA!J188,'GRADING PACKING'!L$6=INWARDDATA!I188,AB188=0),"TRUE","FALSE")</f>
        <v>FALSE</v>
      </c>
      <c r="Y188" s="29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1"/>
      <c r="AK188" s="31"/>
      <c r="AL188" s="31"/>
      <c r="AM188" s="31"/>
      <c r="AN188" s="32" t="str">
        <f>+IF(AND('GRADING PACKING'!L$5=INWARDDATA!J188,'GRADING PACKING'!L$6=INWARDDATA!I188,AR188=0),"good","bad")</f>
        <v>bad</v>
      </c>
      <c r="AO188" s="33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86"/>
      <c r="BC188" s="86"/>
      <c r="BD188" s="97">
        <f>Table_15[[#This Row],[Wgt-Bag]]-Table_15[[#This Row],[Total Graded]]-Table_15[[#This Row],[UNDERSIZE]]+0.0011</f>
        <v>1.1000000000000001E-3</v>
      </c>
      <c r="BE188" s="86">
        <f>Table_15[[#This Row],[Total Graded]]-Table_15[[#This Row],[Packing Quantity]]+Table_15[[#This Row],[PACKING LOOSE]]</f>
        <v>0</v>
      </c>
      <c r="BF188" s="34">
        <f>IF(Table_15[[#This Row],[GRADED BAGS]]&gt;0,Table_15[[#This Row],[GRADED BAGS]],Table_15[[#This Row],[Bags]])</f>
        <v>0</v>
      </c>
    </row>
    <row r="189" spans="1:58" ht="14.25" hidden="1" customHeight="1" x14ac:dyDescent="0.35">
      <c r="A189" s="22">
        <v>187</v>
      </c>
      <c r="B189" s="22"/>
      <c r="C189" s="23"/>
      <c r="D189" s="23"/>
      <c r="E189" s="24"/>
      <c r="F189" s="23"/>
      <c r="G189" s="100"/>
      <c r="H189" s="101"/>
      <c r="I189" s="102"/>
      <c r="J189" s="102"/>
      <c r="K189" s="233"/>
      <c r="L189" s="22"/>
      <c r="M189" s="25">
        <f t="shared" si="11"/>
        <v>0</v>
      </c>
      <c r="N189" s="25">
        <f t="shared" si="12"/>
        <v>0</v>
      </c>
      <c r="O189" s="25">
        <f t="shared" si="13"/>
        <v>0</v>
      </c>
      <c r="P189" s="25">
        <f t="shared" si="14"/>
        <v>0</v>
      </c>
      <c r="Q189" s="22"/>
      <c r="R189" s="22"/>
      <c r="S189" s="22"/>
      <c r="T189" s="168"/>
      <c r="U189" s="171">
        <f t="shared" si="15"/>
        <v>0</v>
      </c>
      <c r="V189" s="169"/>
      <c r="W189" s="28"/>
      <c r="X189" s="25" t="str">
        <f>+IF(AND('GRADING PACKING'!L$5=INWARDDATA!J189,'GRADING PACKING'!L$6=INWARDDATA!I189,AB189=0),"TRUE","FALSE")</f>
        <v>FALSE</v>
      </c>
      <c r="Y189" s="29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1"/>
      <c r="AK189" s="31"/>
      <c r="AL189" s="31"/>
      <c r="AM189" s="31"/>
      <c r="AN189" s="32" t="str">
        <f>+IF(AND('GRADING PACKING'!L$5=INWARDDATA!J189,'GRADING PACKING'!L$6=INWARDDATA!I189,AR189=0),"good","bad")</f>
        <v>bad</v>
      </c>
      <c r="AO189" s="33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86"/>
      <c r="BC189" s="86"/>
      <c r="BD189" s="97">
        <f>Table_15[[#This Row],[Wgt-Bag]]-Table_15[[#This Row],[Total Graded]]-Table_15[[#This Row],[UNDERSIZE]]+0.0011</f>
        <v>1.1000000000000001E-3</v>
      </c>
      <c r="BE189" s="86">
        <f>Table_15[[#This Row],[Total Graded]]-Table_15[[#This Row],[Packing Quantity]]+Table_15[[#This Row],[PACKING LOOSE]]</f>
        <v>0</v>
      </c>
      <c r="BF189" s="34">
        <f>IF(Table_15[[#This Row],[GRADED BAGS]]&gt;0,Table_15[[#This Row],[GRADED BAGS]],Table_15[[#This Row],[Bags]])</f>
        <v>0</v>
      </c>
    </row>
    <row r="190" spans="1:58" ht="14.25" hidden="1" customHeight="1" x14ac:dyDescent="0.35">
      <c r="A190" s="22">
        <v>188</v>
      </c>
      <c r="B190" s="22"/>
      <c r="C190" s="23"/>
      <c r="D190" s="23"/>
      <c r="E190" s="24"/>
      <c r="F190" s="23"/>
      <c r="G190" s="100"/>
      <c r="H190" s="101"/>
      <c r="I190" s="102"/>
      <c r="J190" s="102"/>
      <c r="K190" s="233"/>
      <c r="L190" s="22"/>
      <c r="M190" s="25">
        <f t="shared" si="11"/>
        <v>0</v>
      </c>
      <c r="N190" s="25">
        <f t="shared" si="12"/>
        <v>0</v>
      </c>
      <c r="O190" s="25">
        <f t="shared" si="13"/>
        <v>0</v>
      </c>
      <c r="P190" s="25">
        <f t="shared" si="14"/>
        <v>0</v>
      </c>
      <c r="Q190" s="22"/>
      <c r="R190" s="22"/>
      <c r="S190" s="22"/>
      <c r="T190" s="168"/>
      <c r="U190" s="171">
        <f t="shared" si="15"/>
        <v>0</v>
      </c>
      <c r="V190" s="169"/>
      <c r="W190" s="28"/>
      <c r="X190" s="25" t="str">
        <f>+IF(AND('GRADING PACKING'!L$5=INWARDDATA!J190,'GRADING PACKING'!L$6=INWARDDATA!I190,AB190=0),"TRUE","FALSE")</f>
        <v>FALSE</v>
      </c>
      <c r="Y190" s="29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1"/>
      <c r="AK190" s="31"/>
      <c r="AL190" s="31"/>
      <c r="AM190" s="31"/>
      <c r="AN190" s="32" t="str">
        <f>+IF(AND('GRADING PACKING'!L$5=INWARDDATA!J190,'GRADING PACKING'!L$6=INWARDDATA!I190,AR190=0),"good","bad")</f>
        <v>bad</v>
      </c>
      <c r="AO190" s="33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86"/>
      <c r="BC190" s="86"/>
      <c r="BD190" s="97">
        <f>Table_15[[#This Row],[Wgt-Bag]]-Table_15[[#This Row],[Total Graded]]-Table_15[[#This Row],[UNDERSIZE]]+0.0011</f>
        <v>1.1000000000000001E-3</v>
      </c>
      <c r="BE190" s="86">
        <f>Table_15[[#This Row],[Total Graded]]-Table_15[[#This Row],[Packing Quantity]]+Table_15[[#This Row],[PACKING LOOSE]]</f>
        <v>0</v>
      </c>
      <c r="BF190" s="34">
        <f>IF(Table_15[[#This Row],[GRADED BAGS]]&gt;0,Table_15[[#This Row],[GRADED BAGS]],Table_15[[#This Row],[Bags]])</f>
        <v>0</v>
      </c>
    </row>
    <row r="191" spans="1:58" ht="14.25" hidden="1" customHeight="1" x14ac:dyDescent="0.35">
      <c r="A191" s="22">
        <v>189</v>
      </c>
      <c r="B191" s="22"/>
      <c r="C191" s="23"/>
      <c r="D191" s="23"/>
      <c r="E191" s="24"/>
      <c r="F191" s="23"/>
      <c r="G191" s="100"/>
      <c r="H191" s="101"/>
      <c r="I191" s="102"/>
      <c r="J191" s="102"/>
      <c r="K191" s="233"/>
      <c r="L191" s="22"/>
      <c r="M191" s="25">
        <f t="shared" si="11"/>
        <v>0</v>
      </c>
      <c r="N191" s="25">
        <f t="shared" si="12"/>
        <v>0</v>
      </c>
      <c r="O191" s="25">
        <f t="shared" si="13"/>
        <v>0</v>
      </c>
      <c r="P191" s="25">
        <f t="shared" si="14"/>
        <v>0</v>
      </c>
      <c r="Q191" s="22"/>
      <c r="R191" s="22"/>
      <c r="S191" s="22"/>
      <c r="T191" s="168"/>
      <c r="U191" s="171">
        <f t="shared" si="15"/>
        <v>0</v>
      </c>
      <c r="V191" s="169"/>
      <c r="W191" s="28"/>
      <c r="X191" s="25" t="str">
        <f>+IF(AND('GRADING PACKING'!L$5=INWARDDATA!J191,'GRADING PACKING'!L$6=INWARDDATA!I191,AB191=0),"TRUE","FALSE")</f>
        <v>FALSE</v>
      </c>
      <c r="Y191" s="29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1"/>
      <c r="AK191" s="31"/>
      <c r="AL191" s="31"/>
      <c r="AM191" s="31"/>
      <c r="AN191" s="32" t="str">
        <f>+IF(AND('GRADING PACKING'!L$5=INWARDDATA!J191,'GRADING PACKING'!L$6=INWARDDATA!I191,AR191=0),"good","bad")</f>
        <v>bad</v>
      </c>
      <c r="AO191" s="33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86"/>
      <c r="BC191" s="86"/>
      <c r="BD191" s="97">
        <f>Table_15[[#This Row],[Wgt-Bag]]-Table_15[[#This Row],[Total Graded]]-Table_15[[#This Row],[UNDERSIZE]]+0.0011</f>
        <v>1.1000000000000001E-3</v>
      </c>
      <c r="BE191" s="86">
        <f>Table_15[[#This Row],[Total Graded]]-Table_15[[#This Row],[Packing Quantity]]+Table_15[[#This Row],[PACKING LOOSE]]</f>
        <v>0</v>
      </c>
      <c r="BF191" s="34">
        <f>IF(Table_15[[#This Row],[GRADED BAGS]]&gt;0,Table_15[[#This Row],[GRADED BAGS]],Table_15[[#This Row],[Bags]])</f>
        <v>0</v>
      </c>
    </row>
    <row r="192" spans="1:58" ht="14.25" hidden="1" customHeight="1" x14ac:dyDescent="0.35">
      <c r="A192" s="22">
        <v>190</v>
      </c>
      <c r="B192" s="22"/>
      <c r="C192" s="23"/>
      <c r="D192" s="23"/>
      <c r="E192" s="24"/>
      <c r="F192" s="23"/>
      <c r="G192" s="100"/>
      <c r="H192" s="101"/>
      <c r="I192" s="102"/>
      <c r="J192" s="102"/>
      <c r="K192" s="233"/>
      <c r="L192" s="22"/>
      <c r="M192" s="25">
        <f t="shared" si="11"/>
        <v>0</v>
      </c>
      <c r="N192" s="25">
        <f t="shared" si="12"/>
        <v>0</v>
      </c>
      <c r="O192" s="25">
        <f t="shared" si="13"/>
        <v>0</v>
      </c>
      <c r="P192" s="25">
        <f t="shared" si="14"/>
        <v>0</v>
      </c>
      <c r="Q192" s="22"/>
      <c r="R192" s="22"/>
      <c r="S192" s="22"/>
      <c r="T192" s="168"/>
      <c r="U192" s="171">
        <f t="shared" si="15"/>
        <v>0</v>
      </c>
      <c r="V192" s="169"/>
      <c r="W192" s="28"/>
      <c r="X192" s="25" t="str">
        <f>+IF(AND('GRADING PACKING'!L$5=INWARDDATA!J192,'GRADING PACKING'!L$6=INWARDDATA!I192,AB192=0),"TRUE","FALSE")</f>
        <v>FALSE</v>
      </c>
      <c r="Y192" s="29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1"/>
      <c r="AK192" s="31"/>
      <c r="AL192" s="31"/>
      <c r="AM192" s="31"/>
      <c r="AN192" s="32" t="str">
        <f>+IF(AND('GRADING PACKING'!L$5=INWARDDATA!J192,'GRADING PACKING'!L$6=INWARDDATA!I192,AR192=0),"good","bad")</f>
        <v>bad</v>
      </c>
      <c r="AO192" s="33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86"/>
      <c r="BC192" s="86"/>
      <c r="BD192" s="97">
        <f>Table_15[[#This Row],[Wgt-Bag]]-Table_15[[#This Row],[Total Graded]]-Table_15[[#This Row],[UNDERSIZE]]+0.0011</f>
        <v>1.1000000000000001E-3</v>
      </c>
      <c r="BE192" s="86">
        <f>Table_15[[#This Row],[Total Graded]]-Table_15[[#This Row],[Packing Quantity]]+Table_15[[#This Row],[PACKING LOOSE]]</f>
        <v>0</v>
      </c>
      <c r="BF192" s="34">
        <f>IF(Table_15[[#This Row],[GRADED BAGS]]&gt;0,Table_15[[#This Row],[GRADED BAGS]],Table_15[[#This Row],[Bags]])</f>
        <v>0</v>
      </c>
    </row>
    <row r="193" spans="1:58" ht="14.25" hidden="1" customHeight="1" x14ac:dyDescent="0.35">
      <c r="A193" s="22">
        <v>191</v>
      </c>
      <c r="B193" s="22"/>
      <c r="C193" s="23"/>
      <c r="D193" s="23"/>
      <c r="E193" s="24"/>
      <c r="F193" s="23"/>
      <c r="G193" s="100"/>
      <c r="H193" s="101"/>
      <c r="I193" s="102"/>
      <c r="J193" s="102"/>
      <c r="K193" s="233"/>
      <c r="L193" s="22"/>
      <c r="M193" s="25">
        <f t="shared" si="11"/>
        <v>0</v>
      </c>
      <c r="N193" s="25">
        <f t="shared" si="12"/>
        <v>0</v>
      </c>
      <c r="O193" s="25">
        <f t="shared" si="13"/>
        <v>0</v>
      </c>
      <c r="P193" s="25">
        <f t="shared" si="14"/>
        <v>0</v>
      </c>
      <c r="Q193" s="22"/>
      <c r="R193" s="22"/>
      <c r="S193" s="22"/>
      <c r="T193" s="168"/>
      <c r="U193" s="171">
        <f t="shared" si="15"/>
        <v>0</v>
      </c>
      <c r="V193" s="169"/>
      <c r="W193" s="28"/>
      <c r="X193" s="25" t="str">
        <f>+IF(AND('GRADING PACKING'!L$5=INWARDDATA!J193,'GRADING PACKING'!L$6=INWARDDATA!I193,AB193=0),"TRUE","FALSE")</f>
        <v>FALSE</v>
      </c>
      <c r="Y193" s="29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1"/>
      <c r="AK193" s="31"/>
      <c r="AL193" s="31"/>
      <c r="AM193" s="31"/>
      <c r="AN193" s="32" t="str">
        <f>+IF(AND('GRADING PACKING'!L$5=INWARDDATA!J193,'GRADING PACKING'!L$6=INWARDDATA!I193,AR193=0),"good","bad")</f>
        <v>bad</v>
      </c>
      <c r="AO193" s="33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86"/>
      <c r="BC193" s="86"/>
      <c r="BD193" s="97">
        <f>Table_15[[#This Row],[Wgt-Bag]]-Table_15[[#This Row],[Total Graded]]-Table_15[[#This Row],[UNDERSIZE]]+0.0011</f>
        <v>1.1000000000000001E-3</v>
      </c>
      <c r="BE193" s="86">
        <f>Table_15[[#This Row],[Total Graded]]-Table_15[[#This Row],[Packing Quantity]]+Table_15[[#This Row],[PACKING LOOSE]]</f>
        <v>0</v>
      </c>
      <c r="BF193" s="34">
        <f>IF(Table_15[[#This Row],[GRADED BAGS]]&gt;0,Table_15[[#This Row],[GRADED BAGS]],Table_15[[#This Row],[Bags]])</f>
        <v>0</v>
      </c>
    </row>
    <row r="194" spans="1:58" ht="14.25" hidden="1" customHeight="1" x14ac:dyDescent="0.35">
      <c r="A194" s="22">
        <v>192</v>
      </c>
      <c r="B194" s="22"/>
      <c r="C194" s="23"/>
      <c r="D194" s="23"/>
      <c r="E194" s="24"/>
      <c r="F194" s="23"/>
      <c r="G194" s="100"/>
      <c r="H194" s="101"/>
      <c r="I194" s="102"/>
      <c r="J194" s="102"/>
      <c r="K194" s="233"/>
      <c r="L194" s="22"/>
      <c r="M194" s="25">
        <f t="shared" si="11"/>
        <v>0</v>
      </c>
      <c r="N194" s="25">
        <f t="shared" si="12"/>
        <v>0</v>
      </c>
      <c r="O194" s="25">
        <f t="shared" si="13"/>
        <v>0</v>
      </c>
      <c r="P194" s="25">
        <f t="shared" si="14"/>
        <v>0</v>
      </c>
      <c r="Q194" s="22"/>
      <c r="R194" s="22"/>
      <c r="S194" s="22"/>
      <c r="T194" s="168"/>
      <c r="U194" s="171">
        <f t="shared" si="15"/>
        <v>0</v>
      </c>
      <c r="V194" s="169"/>
      <c r="W194" s="28"/>
      <c r="X194" s="25" t="str">
        <f>+IF(AND('GRADING PACKING'!L$5=INWARDDATA!J194,'GRADING PACKING'!L$6=INWARDDATA!I194,AB194=0),"TRUE","FALSE")</f>
        <v>FALSE</v>
      </c>
      <c r="Y194" s="29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1"/>
      <c r="AK194" s="31"/>
      <c r="AL194" s="31"/>
      <c r="AM194" s="31"/>
      <c r="AN194" s="32" t="str">
        <f>+IF(AND('GRADING PACKING'!L$5=INWARDDATA!J194,'GRADING PACKING'!L$6=INWARDDATA!I194,AR194=0),"good","bad")</f>
        <v>bad</v>
      </c>
      <c r="AO194" s="33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86"/>
      <c r="BC194" s="86"/>
      <c r="BD194" s="97">
        <f>Table_15[[#This Row],[Wgt-Bag]]-Table_15[[#This Row],[Total Graded]]-Table_15[[#This Row],[UNDERSIZE]]+0.0011</f>
        <v>1.1000000000000001E-3</v>
      </c>
      <c r="BE194" s="86">
        <f>Table_15[[#This Row],[Total Graded]]-Table_15[[#This Row],[Packing Quantity]]+Table_15[[#This Row],[PACKING LOOSE]]</f>
        <v>0</v>
      </c>
      <c r="BF194" s="34">
        <f>IF(Table_15[[#This Row],[GRADED BAGS]]&gt;0,Table_15[[#This Row],[GRADED BAGS]],Table_15[[#This Row],[Bags]])</f>
        <v>0</v>
      </c>
    </row>
    <row r="195" spans="1:58" ht="14.25" hidden="1" customHeight="1" x14ac:dyDescent="0.35">
      <c r="A195" s="22">
        <v>193</v>
      </c>
      <c r="B195" s="22"/>
      <c r="C195" s="23"/>
      <c r="D195" s="23"/>
      <c r="E195" s="24"/>
      <c r="F195" s="23"/>
      <c r="G195" s="100"/>
      <c r="H195" s="101"/>
      <c r="I195" s="102"/>
      <c r="J195" s="102"/>
      <c r="K195" s="233"/>
      <c r="L195" s="22"/>
      <c r="M195" s="25">
        <f t="shared" ref="M195:M258" si="16">ROUNDUP((K195*L195),0)</f>
        <v>0</v>
      </c>
      <c r="N195" s="25">
        <f t="shared" ref="N195:N258" si="17">(H195-M195)/100</f>
        <v>0</v>
      </c>
      <c r="O195" s="25">
        <f t="shared" ref="O195:O258" si="18">ROUNDUP((H195/90)*0.003,2)</f>
        <v>0</v>
      </c>
      <c r="P195" s="25">
        <f t="shared" ref="P195:P258" si="19">(N195)-O195</f>
        <v>0</v>
      </c>
      <c r="Q195" s="22"/>
      <c r="R195" s="22"/>
      <c r="S195" s="22"/>
      <c r="T195" s="168"/>
      <c r="U195" s="171">
        <f t="shared" ref="U195:U258" si="20">T195*P195</f>
        <v>0</v>
      </c>
      <c r="V195" s="169"/>
      <c r="W195" s="28"/>
      <c r="X195" s="25" t="str">
        <f>+IF(AND('GRADING PACKING'!L$5=INWARDDATA!J195,'GRADING PACKING'!L$6=INWARDDATA!I195,AB195=0),"TRUE","FALSE")</f>
        <v>FALSE</v>
      </c>
      <c r="Y195" s="29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1"/>
      <c r="AK195" s="31"/>
      <c r="AL195" s="31"/>
      <c r="AM195" s="31"/>
      <c r="AN195" s="32" t="str">
        <f>+IF(AND('GRADING PACKING'!L$5=INWARDDATA!J195,'GRADING PACKING'!L$6=INWARDDATA!I195,AR195=0),"good","bad")</f>
        <v>bad</v>
      </c>
      <c r="AO195" s="33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86"/>
      <c r="BC195" s="86"/>
      <c r="BD195" s="97">
        <f>Table_15[[#This Row],[Wgt-Bag]]-Table_15[[#This Row],[Total Graded]]-Table_15[[#This Row],[UNDERSIZE]]+0.0011</f>
        <v>1.1000000000000001E-3</v>
      </c>
      <c r="BE195" s="86">
        <f>Table_15[[#This Row],[Total Graded]]-Table_15[[#This Row],[Packing Quantity]]+Table_15[[#This Row],[PACKING LOOSE]]</f>
        <v>0</v>
      </c>
      <c r="BF195" s="34">
        <f>IF(Table_15[[#This Row],[GRADED BAGS]]&gt;0,Table_15[[#This Row],[GRADED BAGS]],Table_15[[#This Row],[Bags]])</f>
        <v>0</v>
      </c>
    </row>
    <row r="196" spans="1:58" ht="14.25" hidden="1" customHeight="1" x14ac:dyDescent="0.35">
      <c r="A196" s="22">
        <v>194</v>
      </c>
      <c r="B196" s="22"/>
      <c r="C196" s="23"/>
      <c r="D196" s="23"/>
      <c r="E196" s="24"/>
      <c r="F196" s="23"/>
      <c r="G196" s="100"/>
      <c r="H196" s="101"/>
      <c r="I196" s="102"/>
      <c r="J196" s="102"/>
      <c r="K196" s="233"/>
      <c r="L196" s="22"/>
      <c r="M196" s="25">
        <f t="shared" si="16"/>
        <v>0</v>
      </c>
      <c r="N196" s="25">
        <f t="shared" si="17"/>
        <v>0</v>
      </c>
      <c r="O196" s="25">
        <f t="shared" si="18"/>
        <v>0</v>
      </c>
      <c r="P196" s="25">
        <f t="shared" si="19"/>
        <v>0</v>
      </c>
      <c r="Q196" s="22"/>
      <c r="R196" s="22"/>
      <c r="S196" s="22"/>
      <c r="T196" s="168"/>
      <c r="U196" s="171">
        <f t="shared" si="20"/>
        <v>0</v>
      </c>
      <c r="V196" s="169"/>
      <c r="W196" s="28"/>
      <c r="X196" s="25" t="str">
        <f>+IF(AND('GRADING PACKING'!L$5=INWARDDATA!J196,'GRADING PACKING'!L$6=INWARDDATA!I196,AB196=0),"TRUE","FALSE")</f>
        <v>FALSE</v>
      </c>
      <c r="Y196" s="29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1"/>
      <c r="AK196" s="31"/>
      <c r="AL196" s="31"/>
      <c r="AM196" s="31"/>
      <c r="AN196" s="32" t="str">
        <f>+IF(AND('GRADING PACKING'!L$5=INWARDDATA!J196,'GRADING PACKING'!L$6=INWARDDATA!I196,AR196=0),"good","bad")</f>
        <v>bad</v>
      </c>
      <c r="AO196" s="33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151"/>
      <c r="BA196" s="34"/>
      <c r="BB196" s="86"/>
      <c r="BC196" s="34"/>
      <c r="BD196" s="97">
        <f>Table_15[[#This Row],[Wgt-Bag]]-Table_15[[#This Row],[Total Graded]]-Table_15[[#This Row],[UNDERSIZE]]+0.0011</f>
        <v>1.1000000000000001E-3</v>
      </c>
      <c r="BE196" s="86">
        <f>Table_15[[#This Row],[Total Graded]]-Table_15[[#This Row],[Packing Quantity]]+Table_15[[#This Row],[PACKING LOOSE]]</f>
        <v>0</v>
      </c>
      <c r="BF196" s="34">
        <f>IF(Table_15[[#This Row],[GRADED BAGS]]&gt;0,Table_15[[#This Row],[GRADED BAGS]],Table_15[[#This Row],[Bags]])</f>
        <v>0</v>
      </c>
    </row>
    <row r="197" spans="1:58" ht="14.25" hidden="1" customHeight="1" x14ac:dyDescent="0.35">
      <c r="A197" s="22">
        <v>195</v>
      </c>
      <c r="B197" s="22"/>
      <c r="C197" s="23"/>
      <c r="D197" s="23"/>
      <c r="E197" s="24"/>
      <c r="F197" s="23"/>
      <c r="G197" s="100"/>
      <c r="H197" s="101"/>
      <c r="I197" s="102"/>
      <c r="J197" s="102"/>
      <c r="K197" s="233"/>
      <c r="L197" s="22"/>
      <c r="M197" s="25">
        <f t="shared" si="16"/>
        <v>0</v>
      </c>
      <c r="N197" s="25">
        <f t="shared" si="17"/>
        <v>0</v>
      </c>
      <c r="O197" s="25">
        <f t="shared" si="18"/>
        <v>0</v>
      </c>
      <c r="P197" s="25">
        <f t="shared" si="19"/>
        <v>0</v>
      </c>
      <c r="Q197" s="22"/>
      <c r="R197" s="22"/>
      <c r="S197" s="22"/>
      <c r="T197" s="168"/>
      <c r="U197" s="171">
        <f t="shared" si="20"/>
        <v>0</v>
      </c>
      <c r="V197" s="169"/>
      <c r="W197" s="28"/>
      <c r="X197" s="25" t="str">
        <f>+IF(AND('GRADING PACKING'!L$5=INWARDDATA!J197,'GRADING PACKING'!L$6=INWARDDATA!I197,AB197=0),"TRUE","FALSE")</f>
        <v>FALSE</v>
      </c>
      <c r="Y197" s="29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1"/>
      <c r="AK197" s="31"/>
      <c r="AL197" s="31"/>
      <c r="AM197" s="31"/>
      <c r="AN197" s="32" t="str">
        <f>+IF(AND('GRADING PACKING'!L$5=INWARDDATA!J197,'GRADING PACKING'!L$6=INWARDDATA!I197,AR197=0),"good","bad")</f>
        <v>bad</v>
      </c>
      <c r="AO197" s="33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151"/>
      <c r="BA197" s="34"/>
      <c r="BB197" s="86"/>
      <c r="BC197" s="34"/>
      <c r="BD197" s="97">
        <f>Table_15[[#This Row],[Wgt-Bag]]-Table_15[[#This Row],[Total Graded]]-Table_15[[#This Row],[UNDERSIZE]]+0.0011</f>
        <v>1.1000000000000001E-3</v>
      </c>
      <c r="BE197" s="86">
        <f>Table_15[[#This Row],[Total Graded]]-Table_15[[#This Row],[Packing Quantity]]+Table_15[[#This Row],[PACKING LOOSE]]</f>
        <v>0</v>
      </c>
      <c r="BF197" s="34">
        <f>IF(Table_15[[#This Row],[GRADED BAGS]]&gt;0,Table_15[[#This Row],[GRADED BAGS]],Table_15[[#This Row],[Bags]])</f>
        <v>0</v>
      </c>
    </row>
    <row r="198" spans="1:58" ht="14.25" hidden="1" customHeight="1" x14ac:dyDescent="0.35">
      <c r="A198" s="22">
        <v>196</v>
      </c>
      <c r="B198" s="22"/>
      <c r="C198" s="23"/>
      <c r="D198" s="23"/>
      <c r="E198" s="24"/>
      <c r="F198" s="23"/>
      <c r="G198" s="100"/>
      <c r="H198" s="101"/>
      <c r="I198" s="102"/>
      <c r="J198" s="102"/>
      <c r="K198" s="233"/>
      <c r="L198" s="22"/>
      <c r="M198" s="25">
        <f t="shared" si="16"/>
        <v>0</v>
      </c>
      <c r="N198" s="25">
        <f t="shared" si="17"/>
        <v>0</v>
      </c>
      <c r="O198" s="25">
        <f t="shared" si="18"/>
        <v>0</v>
      </c>
      <c r="P198" s="25">
        <f t="shared" si="19"/>
        <v>0</v>
      </c>
      <c r="Q198" s="22"/>
      <c r="R198" s="22"/>
      <c r="S198" s="22"/>
      <c r="T198" s="168"/>
      <c r="U198" s="171">
        <f t="shared" si="20"/>
        <v>0</v>
      </c>
      <c r="V198" s="169"/>
      <c r="W198" s="28"/>
      <c r="X198" s="25" t="str">
        <f>+IF(AND('GRADING PACKING'!L$5=INWARDDATA!J198,'GRADING PACKING'!L$6=INWARDDATA!I198,AB198=0),"TRUE","FALSE")</f>
        <v>FALSE</v>
      </c>
      <c r="Y198" s="29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1"/>
      <c r="AK198" s="31"/>
      <c r="AL198" s="31"/>
      <c r="AM198" s="31"/>
      <c r="AN198" s="32" t="str">
        <f>+IF(AND('GRADING PACKING'!L$5=INWARDDATA!J198,'GRADING PACKING'!L$6=INWARDDATA!I198,AR198=0),"good","bad")</f>
        <v>bad</v>
      </c>
      <c r="AO198" s="33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86"/>
      <c r="BC198" s="86"/>
      <c r="BD198" s="97">
        <f>Table_15[[#This Row],[Wgt-Bag]]-Table_15[[#This Row],[Total Graded]]-Table_15[[#This Row],[UNDERSIZE]]+0.0011</f>
        <v>1.1000000000000001E-3</v>
      </c>
      <c r="BE198" s="86">
        <f>Table_15[[#This Row],[Total Graded]]-Table_15[[#This Row],[Packing Quantity]]+Table_15[[#This Row],[PACKING LOOSE]]</f>
        <v>0</v>
      </c>
      <c r="BF198" s="34">
        <f>IF(Table_15[[#This Row],[GRADED BAGS]]&gt;0,Table_15[[#This Row],[GRADED BAGS]],Table_15[[#This Row],[Bags]])</f>
        <v>0</v>
      </c>
    </row>
    <row r="199" spans="1:58" ht="14.25" hidden="1" customHeight="1" x14ac:dyDescent="0.35">
      <c r="A199" s="22">
        <v>197</v>
      </c>
      <c r="B199" s="22"/>
      <c r="C199" s="23"/>
      <c r="D199" s="23"/>
      <c r="E199" s="24"/>
      <c r="F199" s="23"/>
      <c r="G199" s="100"/>
      <c r="H199" s="101"/>
      <c r="I199" s="102"/>
      <c r="J199" s="102"/>
      <c r="K199" s="233"/>
      <c r="L199" s="22"/>
      <c r="M199" s="25">
        <f t="shared" si="16"/>
        <v>0</v>
      </c>
      <c r="N199" s="25">
        <f t="shared" si="17"/>
        <v>0</v>
      </c>
      <c r="O199" s="25">
        <f t="shared" si="18"/>
        <v>0</v>
      </c>
      <c r="P199" s="25">
        <f t="shared" si="19"/>
        <v>0</v>
      </c>
      <c r="Q199" s="22"/>
      <c r="R199" s="22"/>
      <c r="S199" s="22"/>
      <c r="T199" s="168"/>
      <c r="U199" s="171">
        <f t="shared" si="20"/>
        <v>0</v>
      </c>
      <c r="V199" s="169"/>
      <c r="W199" s="28"/>
      <c r="X199" s="25" t="str">
        <f>+IF(AND('GRADING PACKING'!L$5=INWARDDATA!J199,'GRADING PACKING'!L$6=INWARDDATA!I199,AB199=0),"TRUE","FALSE")</f>
        <v>FALSE</v>
      </c>
      <c r="Y199" s="29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1"/>
      <c r="AK199" s="31"/>
      <c r="AL199" s="31"/>
      <c r="AM199" s="31"/>
      <c r="AN199" s="32" t="str">
        <f>+IF(AND('GRADING PACKING'!L$5=INWARDDATA!J199,'GRADING PACKING'!L$6=INWARDDATA!I199,AR199=0),"good","bad")</f>
        <v>bad</v>
      </c>
      <c r="AO199" s="33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86"/>
      <c r="BC199" s="34"/>
      <c r="BD199" s="97">
        <f>Table_15[[#This Row],[Wgt-Bag]]-Table_15[[#This Row],[Total Graded]]-Table_15[[#This Row],[UNDERSIZE]]+0.0011</f>
        <v>1.1000000000000001E-3</v>
      </c>
      <c r="BE199" s="86">
        <f>Table_15[[#This Row],[Total Graded]]-Table_15[[#This Row],[Packing Quantity]]+Table_15[[#This Row],[PACKING LOOSE]]</f>
        <v>0</v>
      </c>
      <c r="BF199" s="34">
        <f>IF(Table_15[[#This Row],[GRADED BAGS]]&gt;0,Table_15[[#This Row],[GRADED BAGS]],Table_15[[#This Row],[Bags]])</f>
        <v>0</v>
      </c>
    </row>
    <row r="200" spans="1:58" ht="14.25" hidden="1" customHeight="1" x14ac:dyDescent="0.35">
      <c r="A200" s="22">
        <v>198</v>
      </c>
      <c r="B200" s="22"/>
      <c r="C200" s="23"/>
      <c r="D200" s="23"/>
      <c r="E200" s="24"/>
      <c r="F200" s="23"/>
      <c r="G200" s="100"/>
      <c r="H200" s="101"/>
      <c r="I200" s="102"/>
      <c r="J200" s="102"/>
      <c r="K200" s="233"/>
      <c r="L200" s="22"/>
      <c r="M200" s="25">
        <f t="shared" si="16"/>
        <v>0</v>
      </c>
      <c r="N200" s="25">
        <f t="shared" si="17"/>
        <v>0</v>
      </c>
      <c r="O200" s="25">
        <f t="shared" si="18"/>
        <v>0</v>
      </c>
      <c r="P200" s="25">
        <f t="shared" si="19"/>
        <v>0</v>
      </c>
      <c r="Q200" s="22"/>
      <c r="R200" s="22"/>
      <c r="S200" s="22"/>
      <c r="T200" s="168"/>
      <c r="U200" s="171">
        <f t="shared" si="20"/>
        <v>0</v>
      </c>
      <c r="V200" s="169"/>
      <c r="W200" s="28"/>
      <c r="X200" s="25" t="str">
        <f>+IF(AND('GRADING PACKING'!L$5=INWARDDATA!J200,'GRADING PACKING'!L$6=INWARDDATA!I200,AB200=0),"TRUE","FALSE")</f>
        <v>FALSE</v>
      </c>
      <c r="Y200" s="29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1"/>
      <c r="AK200" s="31"/>
      <c r="AL200" s="31"/>
      <c r="AM200" s="31"/>
      <c r="AN200" s="32" t="str">
        <f>+IF(AND('GRADING PACKING'!L$5=INWARDDATA!J200,'GRADING PACKING'!L$6=INWARDDATA!I200,AR200=0),"good","bad")</f>
        <v>bad</v>
      </c>
      <c r="AO200" s="33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86"/>
      <c r="BC200" s="86"/>
      <c r="BD200" s="97">
        <f>Table_15[[#This Row],[Wgt-Bag]]-Table_15[[#This Row],[Total Graded]]-Table_15[[#This Row],[UNDERSIZE]]+0.0011</f>
        <v>1.1000000000000001E-3</v>
      </c>
      <c r="BE200" s="86">
        <f>Table_15[[#This Row],[Total Graded]]-Table_15[[#This Row],[Packing Quantity]]+Table_15[[#This Row],[PACKING LOOSE]]</f>
        <v>0</v>
      </c>
      <c r="BF200" s="34">
        <f>IF(Table_15[[#This Row],[GRADED BAGS]]&gt;0,Table_15[[#This Row],[GRADED BAGS]],Table_15[[#This Row],[Bags]])</f>
        <v>0</v>
      </c>
    </row>
    <row r="201" spans="1:58" ht="14.25" hidden="1" customHeight="1" x14ac:dyDescent="0.35">
      <c r="A201" s="22">
        <v>199</v>
      </c>
      <c r="B201" s="22"/>
      <c r="C201" s="23"/>
      <c r="D201" s="23"/>
      <c r="E201" s="24"/>
      <c r="F201" s="23"/>
      <c r="G201" s="100"/>
      <c r="H201" s="101"/>
      <c r="I201" s="102"/>
      <c r="J201" s="102"/>
      <c r="K201" s="233"/>
      <c r="L201" s="22"/>
      <c r="M201" s="25">
        <f t="shared" si="16"/>
        <v>0</v>
      </c>
      <c r="N201" s="25">
        <f t="shared" si="17"/>
        <v>0</v>
      </c>
      <c r="O201" s="25">
        <f t="shared" si="18"/>
        <v>0</v>
      </c>
      <c r="P201" s="25">
        <f t="shared" si="19"/>
        <v>0</v>
      </c>
      <c r="Q201" s="22"/>
      <c r="R201" s="22"/>
      <c r="S201" s="22"/>
      <c r="T201" s="168"/>
      <c r="U201" s="171">
        <f t="shared" si="20"/>
        <v>0</v>
      </c>
      <c r="V201" s="169"/>
      <c r="W201" s="28"/>
      <c r="X201" s="25" t="str">
        <f>+IF(AND('GRADING PACKING'!L$5=INWARDDATA!J201,'GRADING PACKING'!L$6=INWARDDATA!I201,AB201=0),"TRUE","FALSE")</f>
        <v>FALSE</v>
      </c>
      <c r="Y201" s="29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1"/>
      <c r="AK201" s="31"/>
      <c r="AL201" s="31"/>
      <c r="AM201" s="31"/>
      <c r="AN201" s="32" t="str">
        <f>+IF(AND('GRADING PACKING'!L$5=INWARDDATA!J201,'GRADING PACKING'!L$6=INWARDDATA!I201,AR201=0),"good","bad")</f>
        <v>bad</v>
      </c>
      <c r="AO201" s="33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86"/>
      <c r="BC201" s="86"/>
      <c r="BD201" s="97">
        <f>Table_15[[#This Row],[Wgt-Bag]]-Table_15[[#This Row],[Total Graded]]-Table_15[[#This Row],[UNDERSIZE]]+0.0011</f>
        <v>1.1000000000000001E-3</v>
      </c>
      <c r="BE201" s="86">
        <f>Table_15[[#This Row],[Total Graded]]-Table_15[[#This Row],[Packing Quantity]]+Table_15[[#This Row],[PACKING LOOSE]]</f>
        <v>0</v>
      </c>
      <c r="BF201" s="34">
        <f>IF(Table_15[[#This Row],[GRADED BAGS]]&gt;0,Table_15[[#This Row],[GRADED BAGS]],Table_15[[#This Row],[Bags]])</f>
        <v>0</v>
      </c>
    </row>
    <row r="202" spans="1:58" ht="14.25" hidden="1" customHeight="1" x14ac:dyDescent="0.35">
      <c r="A202" s="22">
        <v>200</v>
      </c>
      <c r="B202" s="22"/>
      <c r="C202" s="23"/>
      <c r="D202" s="23"/>
      <c r="E202" s="24"/>
      <c r="F202" s="23"/>
      <c r="G202" s="100"/>
      <c r="H202" s="101"/>
      <c r="I202" s="102"/>
      <c r="J202" s="102"/>
      <c r="K202" s="233"/>
      <c r="L202" s="22"/>
      <c r="M202" s="25">
        <f t="shared" si="16"/>
        <v>0</v>
      </c>
      <c r="N202" s="25">
        <f t="shared" si="17"/>
        <v>0</v>
      </c>
      <c r="O202" s="25">
        <f t="shared" si="18"/>
        <v>0</v>
      </c>
      <c r="P202" s="25">
        <f t="shared" si="19"/>
        <v>0</v>
      </c>
      <c r="Q202" s="22"/>
      <c r="R202" s="22"/>
      <c r="S202" s="22"/>
      <c r="T202" s="168"/>
      <c r="U202" s="171">
        <f t="shared" si="20"/>
        <v>0</v>
      </c>
      <c r="V202" s="169"/>
      <c r="W202" s="28"/>
      <c r="X202" s="25" t="str">
        <f>+IF(AND('GRADING PACKING'!L$5=INWARDDATA!J202,'GRADING PACKING'!L$6=INWARDDATA!I202,AB202=0),"TRUE","FALSE")</f>
        <v>FALSE</v>
      </c>
      <c r="Y202" s="29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1"/>
      <c r="AK202" s="31"/>
      <c r="AL202" s="31"/>
      <c r="AM202" s="31"/>
      <c r="AN202" s="32" t="str">
        <f>+IF(AND('GRADING PACKING'!L$5=INWARDDATA!J202,'GRADING PACKING'!L$6=INWARDDATA!I202,AR202=0),"good","bad")</f>
        <v>bad</v>
      </c>
      <c r="AO202" s="33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86"/>
      <c r="BC202" s="86"/>
      <c r="BD202" s="97">
        <f>Table_15[[#This Row],[Wgt-Bag]]-Table_15[[#This Row],[Total Graded]]-Table_15[[#This Row],[UNDERSIZE]]+0.0011</f>
        <v>1.1000000000000001E-3</v>
      </c>
      <c r="BE202" s="86">
        <f>Table_15[[#This Row],[Total Graded]]-Table_15[[#This Row],[Packing Quantity]]+Table_15[[#This Row],[PACKING LOOSE]]</f>
        <v>0</v>
      </c>
      <c r="BF202" s="34">
        <f>IF(Table_15[[#This Row],[GRADED BAGS]]&gt;0,Table_15[[#This Row],[GRADED BAGS]],Table_15[[#This Row],[Bags]])</f>
        <v>0</v>
      </c>
    </row>
    <row r="203" spans="1:58" ht="14.25" hidden="1" customHeight="1" x14ac:dyDescent="0.35">
      <c r="A203" s="22">
        <v>201</v>
      </c>
      <c r="B203" s="22"/>
      <c r="C203" s="23"/>
      <c r="D203" s="23"/>
      <c r="E203" s="24"/>
      <c r="F203" s="23"/>
      <c r="G203" s="100"/>
      <c r="H203" s="101"/>
      <c r="I203" s="102"/>
      <c r="J203" s="102"/>
      <c r="K203" s="233"/>
      <c r="L203" s="22"/>
      <c r="M203" s="25">
        <f t="shared" si="16"/>
        <v>0</v>
      </c>
      <c r="N203" s="25">
        <f t="shared" si="17"/>
        <v>0</v>
      </c>
      <c r="O203" s="25">
        <f t="shared" si="18"/>
        <v>0</v>
      </c>
      <c r="P203" s="25">
        <f t="shared" si="19"/>
        <v>0</v>
      </c>
      <c r="Q203" s="22"/>
      <c r="R203" s="22"/>
      <c r="S203" s="22"/>
      <c r="T203" s="168"/>
      <c r="U203" s="171">
        <f t="shared" si="20"/>
        <v>0</v>
      </c>
      <c r="V203" s="169"/>
      <c r="W203" s="28"/>
      <c r="X203" s="25" t="str">
        <f>+IF(AND('GRADING PACKING'!L$5=INWARDDATA!J203,'GRADING PACKING'!L$6=INWARDDATA!I203,AB203=0),"TRUE","FALSE")</f>
        <v>FALSE</v>
      </c>
      <c r="Y203" s="29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1"/>
      <c r="AK203" s="31"/>
      <c r="AL203" s="31"/>
      <c r="AM203" s="31"/>
      <c r="AN203" s="32" t="str">
        <f>+IF(AND('GRADING PACKING'!L$5=INWARDDATA!J203,'GRADING PACKING'!L$6=INWARDDATA!I203,AR203=0),"good","bad")</f>
        <v>bad</v>
      </c>
      <c r="AO203" s="33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86"/>
      <c r="BC203" s="86"/>
      <c r="BD203" s="97">
        <f>Table_15[[#This Row],[Wgt-Bag]]-Table_15[[#This Row],[Total Graded]]-Table_15[[#This Row],[UNDERSIZE]]+0.0011</f>
        <v>1.1000000000000001E-3</v>
      </c>
      <c r="BE203" s="86">
        <f>Table_15[[#This Row],[Total Graded]]-Table_15[[#This Row],[Packing Quantity]]+Table_15[[#This Row],[PACKING LOOSE]]</f>
        <v>0</v>
      </c>
      <c r="BF203" s="34">
        <f>IF(Table_15[[#This Row],[GRADED BAGS]]&gt;0,Table_15[[#This Row],[GRADED BAGS]],Table_15[[#This Row],[Bags]])</f>
        <v>0</v>
      </c>
    </row>
    <row r="204" spans="1:58" ht="14.25" hidden="1" customHeight="1" x14ac:dyDescent="0.35">
      <c r="A204" s="22">
        <v>202</v>
      </c>
      <c r="B204" s="22"/>
      <c r="C204" s="23"/>
      <c r="D204" s="23"/>
      <c r="E204" s="24"/>
      <c r="F204" s="23"/>
      <c r="G204" s="100"/>
      <c r="H204" s="101"/>
      <c r="I204" s="102"/>
      <c r="J204" s="102"/>
      <c r="K204" s="233"/>
      <c r="L204" s="22"/>
      <c r="M204" s="25">
        <f t="shared" si="16"/>
        <v>0</v>
      </c>
      <c r="N204" s="25">
        <f t="shared" si="17"/>
        <v>0</v>
      </c>
      <c r="O204" s="25">
        <f t="shared" si="18"/>
        <v>0</v>
      </c>
      <c r="P204" s="25">
        <f t="shared" si="19"/>
        <v>0</v>
      </c>
      <c r="Q204" s="22"/>
      <c r="R204" s="22"/>
      <c r="S204" s="22"/>
      <c r="T204" s="168"/>
      <c r="U204" s="171">
        <f t="shared" si="20"/>
        <v>0</v>
      </c>
      <c r="V204" s="169"/>
      <c r="W204" s="28"/>
      <c r="X204" s="25" t="str">
        <f>+IF(AND('GRADING PACKING'!L$5=INWARDDATA!J204,'GRADING PACKING'!L$6=INWARDDATA!I204,AB204=0),"TRUE","FALSE")</f>
        <v>FALSE</v>
      </c>
      <c r="Y204" s="29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1"/>
      <c r="AK204" s="31"/>
      <c r="AL204" s="31"/>
      <c r="AM204" s="31"/>
      <c r="AN204" s="32" t="str">
        <f>+IF(AND('GRADING PACKING'!L$5=INWARDDATA!J204,'GRADING PACKING'!L$6=INWARDDATA!I204,AR204=0),"good","bad")</f>
        <v>bad</v>
      </c>
      <c r="AO204" s="33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86"/>
      <c r="BC204" s="86"/>
      <c r="BD204" s="97">
        <f>Table_15[[#This Row],[Wgt-Bag]]-Table_15[[#This Row],[Total Graded]]-Table_15[[#This Row],[UNDERSIZE]]+0.0011</f>
        <v>1.1000000000000001E-3</v>
      </c>
      <c r="BE204" s="86">
        <f>Table_15[[#This Row],[Total Graded]]-Table_15[[#This Row],[Packing Quantity]]+Table_15[[#This Row],[PACKING LOOSE]]</f>
        <v>0</v>
      </c>
      <c r="BF204" s="34">
        <f>IF(Table_15[[#This Row],[GRADED BAGS]]&gt;0,Table_15[[#This Row],[GRADED BAGS]],Table_15[[#This Row],[Bags]])</f>
        <v>0</v>
      </c>
    </row>
    <row r="205" spans="1:58" ht="14.25" hidden="1" customHeight="1" x14ac:dyDescent="0.35">
      <c r="A205" s="22">
        <v>203</v>
      </c>
      <c r="B205" s="22"/>
      <c r="C205" s="23"/>
      <c r="D205" s="23"/>
      <c r="E205" s="24"/>
      <c r="F205" s="23"/>
      <c r="G205" s="100"/>
      <c r="H205" s="101"/>
      <c r="I205" s="102"/>
      <c r="J205" s="102"/>
      <c r="K205" s="233"/>
      <c r="L205" s="22"/>
      <c r="M205" s="25">
        <f t="shared" si="16"/>
        <v>0</v>
      </c>
      <c r="N205" s="25">
        <f t="shared" si="17"/>
        <v>0</v>
      </c>
      <c r="O205" s="25">
        <f t="shared" si="18"/>
        <v>0</v>
      </c>
      <c r="P205" s="25">
        <f t="shared" si="19"/>
        <v>0</v>
      </c>
      <c r="Q205" s="22"/>
      <c r="R205" s="22"/>
      <c r="S205" s="22"/>
      <c r="T205" s="168"/>
      <c r="U205" s="171">
        <f t="shared" si="20"/>
        <v>0</v>
      </c>
      <c r="V205" s="169"/>
      <c r="W205" s="28"/>
      <c r="X205" s="25" t="str">
        <f>+IF(AND('GRADING PACKING'!L$5=INWARDDATA!J205,'GRADING PACKING'!L$6=INWARDDATA!I205,AB205=0),"TRUE","FALSE")</f>
        <v>FALSE</v>
      </c>
      <c r="Y205" s="29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1"/>
      <c r="AK205" s="31"/>
      <c r="AL205" s="31"/>
      <c r="AM205" s="31"/>
      <c r="AN205" s="32" t="str">
        <f>+IF(AND('GRADING PACKING'!L$5=INWARDDATA!J205,'GRADING PACKING'!L$6=INWARDDATA!I205,AR205=0),"good","bad")</f>
        <v>bad</v>
      </c>
      <c r="AO205" s="33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86"/>
      <c r="BC205" s="86"/>
      <c r="BD205" s="97">
        <f>Table_15[[#This Row],[Wgt-Bag]]-Table_15[[#This Row],[Total Graded]]-Table_15[[#This Row],[UNDERSIZE]]+0.0011</f>
        <v>1.1000000000000001E-3</v>
      </c>
      <c r="BE205" s="86">
        <f>Table_15[[#This Row],[Total Graded]]-Table_15[[#This Row],[Packing Quantity]]+Table_15[[#This Row],[PACKING LOOSE]]</f>
        <v>0</v>
      </c>
      <c r="BF205" s="34">
        <f>IF(Table_15[[#This Row],[GRADED BAGS]]&gt;0,Table_15[[#This Row],[GRADED BAGS]],Table_15[[#This Row],[Bags]])</f>
        <v>0</v>
      </c>
    </row>
    <row r="206" spans="1:58" ht="14.25" hidden="1" customHeight="1" x14ac:dyDescent="0.35">
      <c r="A206" s="22">
        <v>204</v>
      </c>
      <c r="B206" s="22"/>
      <c r="C206" s="23"/>
      <c r="D206" s="23"/>
      <c r="E206" s="24"/>
      <c r="F206" s="23"/>
      <c r="G206" s="100"/>
      <c r="H206" s="101"/>
      <c r="I206" s="102"/>
      <c r="J206" s="102"/>
      <c r="K206" s="233"/>
      <c r="L206" s="22"/>
      <c r="M206" s="25">
        <f t="shared" si="16"/>
        <v>0</v>
      </c>
      <c r="N206" s="25">
        <f t="shared" si="17"/>
        <v>0</v>
      </c>
      <c r="O206" s="25">
        <f t="shared" si="18"/>
        <v>0</v>
      </c>
      <c r="P206" s="25">
        <f t="shared" si="19"/>
        <v>0</v>
      </c>
      <c r="Q206" s="22"/>
      <c r="R206" s="22"/>
      <c r="S206" s="22"/>
      <c r="T206" s="168"/>
      <c r="U206" s="171">
        <f t="shared" si="20"/>
        <v>0</v>
      </c>
      <c r="V206" s="169"/>
      <c r="W206" s="28"/>
      <c r="X206" s="25" t="str">
        <f>+IF(AND('GRADING PACKING'!L$5=INWARDDATA!J206,'GRADING PACKING'!L$6=INWARDDATA!I206,AB206=0),"TRUE","FALSE")</f>
        <v>FALSE</v>
      </c>
      <c r="Y206" s="29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1"/>
      <c r="AK206" s="31"/>
      <c r="AL206" s="31"/>
      <c r="AM206" s="31"/>
      <c r="AN206" s="32" t="str">
        <f>+IF(AND('GRADING PACKING'!L$5=INWARDDATA!J206,'GRADING PACKING'!L$6=INWARDDATA!I206,AR206=0),"good","bad")</f>
        <v>bad</v>
      </c>
      <c r="AO206" s="33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86"/>
      <c r="BC206" s="86"/>
      <c r="BD206" s="97">
        <f>Table_15[[#This Row],[Wgt-Bag]]-Table_15[[#This Row],[Total Graded]]-Table_15[[#This Row],[UNDERSIZE]]+0.0011</f>
        <v>1.1000000000000001E-3</v>
      </c>
      <c r="BE206" s="86">
        <f>Table_15[[#This Row],[Total Graded]]-Table_15[[#This Row],[Packing Quantity]]+Table_15[[#This Row],[PACKING LOOSE]]</f>
        <v>0</v>
      </c>
      <c r="BF206" s="34">
        <f>IF(Table_15[[#This Row],[GRADED BAGS]]&gt;0,Table_15[[#This Row],[GRADED BAGS]],Table_15[[#This Row],[Bags]])</f>
        <v>0</v>
      </c>
    </row>
    <row r="207" spans="1:58" ht="14.25" hidden="1" customHeight="1" x14ac:dyDescent="0.35">
      <c r="A207" s="22">
        <v>205</v>
      </c>
      <c r="B207" s="22"/>
      <c r="C207" s="23"/>
      <c r="D207" s="23"/>
      <c r="E207" s="24"/>
      <c r="F207" s="23"/>
      <c r="G207" s="100"/>
      <c r="H207" s="101"/>
      <c r="I207" s="102"/>
      <c r="J207" s="102"/>
      <c r="K207" s="233"/>
      <c r="L207" s="22"/>
      <c r="M207" s="25">
        <f t="shared" si="16"/>
        <v>0</v>
      </c>
      <c r="N207" s="25">
        <f t="shared" si="17"/>
        <v>0</v>
      </c>
      <c r="O207" s="25">
        <f t="shared" si="18"/>
        <v>0</v>
      </c>
      <c r="P207" s="25">
        <f t="shared" si="19"/>
        <v>0</v>
      </c>
      <c r="Q207" s="22"/>
      <c r="R207" s="22"/>
      <c r="S207" s="22"/>
      <c r="T207" s="168"/>
      <c r="U207" s="171">
        <f t="shared" si="20"/>
        <v>0</v>
      </c>
      <c r="V207" s="169"/>
      <c r="W207" s="28"/>
      <c r="X207" s="25" t="str">
        <f>+IF(AND('GRADING PACKING'!L$5=INWARDDATA!J207,'GRADING PACKING'!L$6=INWARDDATA!I207,AB207=0),"TRUE","FALSE")</f>
        <v>FALSE</v>
      </c>
      <c r="Y207" s="29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1"/>
      <c r="AK207" s="31"/>
      <c r="AL207" s="31"/>
      <c r="AM207" s="31"/>
      <c r="AN207" s="32" t="str">
        <f>+IF(AND('GRADING PACKING'!L$5=INWARDDATA!J207,'GRADING PACKING'!L$6=INWARDDATA!I207,AR207=0),"good","bad")</f>
        <v>bad</v>
      </c>
      <c r="AO207" s="33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86"/>
      <c r="BC207" s="86"/>
      <c r="BD207" s="97">
        <f>Table_15[[#This Row],[Wgt-Bag]]-Table_15[[#This Row],[Total Graded]]-Table_15[[#This Row],[UNDERSIZE]]+0.0011</f>
        <v>1.1000000000000001E-3</v>
      </c>
      <c r="BE207" s="86">
        <f>Table_15[[#This Row],[Total Graded]]-Table_15[[#This Row],[Packing Quantity]]+Table_15[[#This Row],[PACKING LOOSE]]</f>
        <v>0</v>
      </c>
      <c r="BF207" s="34">
        <f>IF(Table_15[[#This Row],[GRADED BAGS]]&gt;0,Table_15[[#This Row],[GRADED BAGS]],Table_15[[#This Row],[Bags]])</f>
        <v>0</v>
      </c>
    </row>
    <row r="208" spans="1:58" ht="14.25" hidden="1" customHeight="1" x14ac:dyDescent="0.35">
      <c r="A208" s="22">
        <v>206</v>
      </c>
      <c r="B208" s="22"/>
      <c r="C208" s="23"/>
      <c r="D208" s="23"/>
      <c r="E208" s="24"/>
      <c r="F208" s="23"/>
      <c r="G208" s="100"/>
      <c r="H208" s="101"/>
      <c r="I208" s="102"/>
      <c r="J208" s="102"/>
      <c r="K208" s="233"/>
      <c r="L208" s="22"/>
      <c r="M208" s="25">
        <f t="shared" si="16"/>
        <v>0</v>
      </c>
      <c r="N208" s="25">
        <f t="shared" si="17"/>
        <v>0</v>
      </c>
      <c r="O208" s="25">
        <f t="shared" si="18"/>
        <v>0</v>
      </c>
      <c r="P208" s="25">
        <f t="shared" si="19"/>
        <v>0</v>
      </c>
      <c r="Q208" s="22"/>
      <c r="R208" s="22"/>
      <c r="S208" s="22"/>
      <c r="T208" s="168"/>
      <c r="U208" s="171">
        <f t="shared" si="20"/>
        <v>0</v>
      </c>
      <c r="V208" s="169"/>
      <c r="W208" s="28"/>
      <c r="X208" s="25" t="str">
        <f>+IF(AND('GRADING PACKING'!L$5=INWARDDATA!J208,'GRADING PACKING'!L$6=INWARDDATA!I208,AB208=0),"TRUE","FALSE")</f>
        <v>FALSE</v>
      </c>
      <c r="Y208" s="29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1"/>
      <c r="AK208" s="31"/>
      <c r="AL208" s="31"/>
      <c r="AM208" s="31"/>
      <c r="AN208" s="32" t="str">
        <f>+IF(AND('GRADING PACKING'!L$5=INWARDDATA!J208,'GRADING PACKING'!L$6=INWARDDATA!I208,AR208=0),"good","bad")</f>
        <v>bad</v>
      </c>
      <c r="AO208" s="33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86"/>
      <c r="BC208" s="86"/>
      <c r="BD208" s="97">
        <f>Table_15[[#This Row],[Wgt-Bag]]-Table_15[[#This Row],[Total Graded]]-Table_15[[#This Row],[UNDERSIZE]]+0.0011</f>
        <v>1.1000000000000001E-3</v>
      </c>
      <c r="BE208" s="86">
        <f>Table_15[[#This Row],[Total Graded]]-Table_15[[#This Row],[Packing Quantity]]+Table_15[[#This Row],[PACKING LOOSE]]</f>
        <v>0</v>
      </c>
      <c r="BF208" s="34">
        <f>IF(Table_15[[#This Row],[GRADED BAGS]]&gt;0,Table_15[[#This Row],[GRADED BAGS]],Table_15[[#This Row],[Bags]])</f>
        <v>0</v>
      </c>
    </row>
    <row r="209" spans="1:58" ht="14.25" hidden="1" customHeight="1" x14ac:dyDescent="0.35">
      <c r="A209" s="22">
        <v>207</v>
      </c>
      <c r="B209" s="22"/>
      <c r="C209" s="23"/>
      <c r="D209" s="23"/>
      <c r="E209" s="24"/>
      <c r="F209" s="23"/>
      <c r="G209" s="100"/>
      <c r="H209" s="101"/>
      <c r="I209" s="102"/>
      <c r="J209" s="102"/>
      <c r="K209" s="233"/>
      <c r="L209" s="22"/>
      <c r="M209" s="25">
        <f t="shared" si="16"/>
        <v>0</v>
      </c>
      <c r="N209" s="25">
        <f t="shared" si="17"/>
        <v>0</v>
      </c>
      <c r="O209" s="25">
        <f t="shared" si="18"/>
        <v>0</v>
      </c>
      <c r="P209" s="25">
        <f t="shared" si="19"/>
        <v>0</v>
      </c>
      <c r="Q209" s="22"/>
      <c r="R209" s="22"/>
      <c r="S209" s="22"/>
      <c r="T209" s="168"/>
      <c r="U209" s="171">
        <f t="shared" si="20"/>
        <v>0</v>
      </c>
      <c r="V209" s="169"/>
      <c r="W209" s="28"/>
      <c r="X209" s="25" t="str">
        <f>+IF(AND('GRADING PACKING'!L$5=INWARDDATA!J209,'GRADING PACKING'!L$6=INWARDDATA!I209,AB209=0),"TRUE","FALSE")</f>
        <v>FALSE</v>
      </c>
      <c r="Y209" s="29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1"/>
      <c r="AK209" s="31"/>
      <c r="AL209" s="31"/>
      <c r="AM209" s="31"/>
      <c r="AN209" s="32" t="str">
        <f>+IF(AND('GRADING PACKING'!L$5=INWARDDATA!J209,'GRADING PACKING'!L$6=INWARDDATA!I209,AR209=0),"good","bad")</f>
        <v>bad</v>
      </c>
      <c r="AO209" s="33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86"/>
      <c r="BC209" s="86"/>
      <c r="BD209" s="97">
        <f>Table_15[[#This Row],[Wgt-Bag]]-Table_15[[#This Row],[Total Graded]]-Table_15[[#This Row],[UNDERSIZE]]+0.0011</f>
        <v>1.1000000000000001E-3</v>
      </c>
      <c r="BE209" s="86">
        <f>Table_15[[#This Row],[Total Graded]]-Table_15[[#This Row],[Packing Quantity]]+Table_15[[#This Row],[PACKING LOOSE]]</f>
        <v>0</v>
      </c>
      <c r="BF209" s="34">
        <f>IF(Table_15[[#This Row],[GRADED BAGS]]&gt;0,Table_15[[#This Row],[GRADED BAGS]],Table_15[[#This Row],[Bags]])</f>
        <v>0</v>
      </c>
    </row>
    <row r="210" spans="1:58" ht="14.25" hidden="1" customHeight="1" x14ac:dyDescent="0.35">
      <c r="A210" s="22">
        <v>208</v>
      </c>
      <c r="B210" s="22"/>
      <c r="C210" s="23"/>
      <c r="D210" s="23"/>
      <c r="E210" s="24"/>
      <c r="F210" s="23"/>
      <c r="G210" s="100"/>
      <c r="H210" s="101"/>
      <c r="I210" s="102"/>
      <c r="J210" s="102"/>
      <c r="K210" s="233"/>
      <c r="L210" s="22"/>
      <c r="M210" s="25">
        <f t="shared" si="16"/>
        <v>0</v>
      </c>
      <c r="N210" s="25">
        <f t="shared" si="17"/>
        <v>0</v>
      </c>
      <c r="O210" s="25">
        <f t="shared" si="18"/>
        <v>0</v>
      </c>
      <c r="P210" s="25">
        <f t="shared" si="19"/>
        <v>0</v>
      </c>
      <c r="Q210" s="22"/>
      <c r="R210" s="22"/>
      <c r="S210" s="22"/>
      <c r="T210" s="168"/>
      <c r="U210" s="171">
        <f t="shared" si="20"/>
        <v>0</v>
      </c>
      <c r="V210" s="169"/>
      <c r="W210" s="28"/>
      <c r="X210" s="25" t="str">
        <f>+IF(AND('GRADING PACKING'!L$5=INWARDDATA!J210,'GRADING PACKING'!L$6=INWARDDATA!I210,AB210=0),"TRUE","FALSE")</f>
        <v>FALSE</v>
      </c>
      <c r="Y210" s="29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1"/>
      <c r="AK210" s="31"/>
      <c r="AL210" s="31"/>
      <c r="AM210" s="31"/>
      <c r="AN210" s="32" t="str">
        <f>+IF(AND('GRADING PACKING'!L$5=INWARDDATA!J210,'GRADING PACKING'!L$6=INWARDDATA!I210,AR210=0),"good","bad")</f>
        <v>bad</v>
      </c>
      <c r="AO210" s="33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86"/>
      <c r="BC210" s="86"/>
      <c r="BD210" s="97">
        <f>Table_15[[#This Row],[Wgt-Bag]]-Table_15[[#This Row],[Total Graded]]-Table_15[[#This Row],[UNDERSIZE]]+0.0011</f>
        <v>1.1000000000000001E-3</v>
      </c>
      <c r="BE210" s="86">
        <f>Table_15[[#This Row],[Total Graded]]-Table_15[[#This Row],[Packing Quantity]]+Table_15[[#This Row],[PACKING LOOSE]]</f>
        <v>0</v>
      </c>
      <c r="BF210" s="34">
        <f>IF(Table_15[[#This Row],[GRADED BAGS]]&gt;0,Table_15[[#This Row],[GRADED BAGS]],Table_15[[#This Row],[Bags]])</f>
        <v>0</v>
      </c>
    </row>
    <row r="211" spans="1:58" ht="14.25" hidden="1" customHeight="1" x14ac:dyDescent="0.35">
      <c r="A211" s="22">
        <v>209</v>
      </c>
      <c r="B211" s="22"/>
      <c r="C211" s="23"/>
      <c r="D211" s="23"/>
      <c r="E211" s="24"/>
      <c r="F211" s="23"/>
      <c r="G211" s="100"/>
      <c r="H211" s="101"/>
      <c r="I211" s="102"/>
      <c r="J211" s="102"/>
      <c r="K211" s="233"/>
      <c r="L211" s="22"/>
      <c r="M211" s="25">
        <f t="shared" si="16"/>
        <v>0</v>
      </c>
      <c r="N211" s="25">
        <f t="shared" si="17"/>
        <v>0</v>
      </c>
      <c r="O211" s="25">
        <f t="shared" si="18"/>
        <v>0</v>
      </c>
      <c r="P211" s="25">
        <f t="shared" si="19"/>
        <v>0</v>
      </c>
      <c r="Q211" s="22"/>
      <c r="R211" s="22"/>
      <c r="S211" s="22"/>
      <c r="T211" s="168"/>
      <c r="U211" s="171">
        <f t="shared" si="20"/>
        <v>0</v>
      </c>
      <c r="V211" s="169"/>
      <c r="W211" s="28"/>
      <c r="X211" s="25" t="str">
        <f>+IF(AND('GRADING PACKING'!L$5=INWARDDATA!J211,'GRADING PACKING'!L$6=INWARDDATA!I211,AB211=0),"TRUE","FALSE")</f>
        <v>FALSE</v>
      </c>
      <c r="Y211" s="29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1"/>
      <c r="AK211" s="31"/>
      <c r="AL211" s="31"/>
      <c r="AM211" s="31"/>
      <c r="AN211" s="32" t="str">
        <f>+IF(AND('GRADING PACKING'!L$5=INWARDDATA!J211,'GRADING PACKING'!L$6=INWARDDATA!I211,AR211=0),"good","bad")</f>
        <v>bad</v>
      </c>
      <c r="AO211" s="33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86"/>
      <c r="BC211" s="86"/>
      <c r="BD211" s="97">
        <f>Table_15[[#This Row],[Wgt-Bag]]-Table_15[[#This Row],[Total Graded]]-Table_15[[#This Row],[UNDERSIZE]]+0.0011</f>
        <v>1.1000000000000001E-3</v>
      </c>
      <c r="BE211" s="86">
        <f>Table_15[[#This Row],[Total Graded]]-Table_15[[#This Row],[Packing Quantity]]+Table_15[[#This Row],[PACKING LOOSE]]</f>
        <v>0</v>
      </c>
      <c r="BF211" s="34">
        <f>IF(Table_15[[#This Row],[GRADED BAGS]]&gt;0,Table_15[[#This Row],[GRADED BAGS]],Table_15[[#This Row],[Bags]])</f>
        <v>0</v>
      </c>
    </row>
    <row r="212" spans="1:58" ht="14.25" hidden="1" customHeight="1" x14ac:dyDescent="0.35">
      <c r="A212" s="22">
        <v>210</v>
      </c>
      <c r="B212" s="22"/>
      <c r="C212" s="23"/>
      <c r="D212" s="23"/>
      <c r="E212" s="24"/>
      <c r="F212" s="23"/>
      <c r="G212" s="100"/>
      <c r="H212" s="101"/>
      <c r="I212" s="102"/>
      <c r="J212" s="102"/>
      <c r="K212" s="233"/>
      <c r="L212" s="22"/>
      <c r="M212" s="25">
        <f t="shared" si="16"/>
        <v>0</v>
      </c>
      <c r="N212" s="25">
        <f t="shared" si="17"/>
        <v>0</v>
      </c>
      <c r="O212" s="25">
        <f t="shared" si="18"/>
        <v>0</v>
      </c>
      <c r="P212" s="25">
        <f t="shared" si="19"/>
        <v>0</v>
      </c>
      <c r="Q212" s="22"/>
      <c r="R212" s="22"/>
      <c r="S212" s="22"/>
      <c r="T212" s="168"/>
      <c r="U212" s="171">
        <f t="shared" si="20"/>
        <v>0</v>
      </c>
      <c r="V212" s="169"/>
      <c r="W212" s="28"/>
      <c r="X212" s="25" t="str">
        <f>+IF(AND('GRADING PACKING'!L$5=INWARDDATA!J212,'GRADING PACKING'!L$6=INWARDDATA!I212,AB212=0),"TRUE","FALSE")</f>
        <v>FALSE</v>
      </c>
      <c r="Y212" s="29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1"/>
      <c r="AK212" s="31"/>
      <c r="AL212" s="31"/>
      <c r="AM212" s="31"/>
      <c r="AN212" s="32" t="str">
        <f>+IF(AND('GRADING PACKING'!L$5=INWARDDATA!J212,'GRADING PACKING'!L$6=INWARDDATA!I212,AR212=0),"good","bad")</f>
        <v>bad</v>
      </c>
      <c r="AO212" s="33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86"/>
      <c r="BC212" s="86"/>
      <c r="BD212" s="97">
        <f>Table_15[[#This Row],[Wgt-Bag]]-Table_15[[#This Row],[Total Graded]]-Table_15[[#This Row],[UNDERSIZE]]+0.0011</f>
        <v>1.1000000000000001E-3</v>
      </c>
      <c r="BE212" s="86">
        <f>Table_15[[#This Row],[Total Graded]]-Table_15[[#This Row],[Packing Quantity]]+Table_15[[#This Row],[PACKING LOOSE]]</f>
        <v>0</v>
      </c>
      <c r="BF212" s="34">
        <f>IF(Table_15[[#This Row],[GRADED BAGS]]&gt;0,Table_15[[#This Row],[GRADED BAGS]],Table_15[[#This Row],[Bags]])</f>
        <v>0</v>
      </c>
    </row>
    <row r="213" spans="1:58" ht="14.25" hidden="1" customHeight="1" x14ac:dyDescent="0.35">
      <c r="A213" s="22">
        <v>211</v>
      </c>
      <c r="B213" s="22"/>
      <c r="C213" s="23"/>
      <c r="D213" s="23"/>
      <c r="E213" s="24"/>
      <c r="F213" s="23"/>
      <c r="G213" s="100"/>
      <c r="H213" s="101"/>
      <c r="I213" s="102"/>
      <c r="J213" s="102"/>
      <c r="K213" s="233"/>
      <c r="L213" s="22"/>
      <c r="M213" s="25">
        <f t="shared" si="16"/>
        <v>0</v>
      </c>
      <c r="N213" s="25">
        <f t="shared" si="17"/>
        <v>0</v>
      </c>
      <c r="O213" s="25">
        <f t="shared" si="18"/>
        <v>0</v>
      </c>
      <c r="P213" s="25">
        <f t="shared" si="19"/>
        <v>0</v>
      </c>
      <c r="Q213" s="22"/>
      <c r="R213" s="22"/>
      <c r="S213" s="22"/>
      <c r="T213" s="168"/>
      <c r="U213" s="171">
        <f t="shared" si="20"/>
        <v>0</v>
      </c>
      <c r="V213" s="169"/>
      <c r="W213" s="28"/>
      <c r="X213" s="25" t="str">
        <f>+IF(AND('GRADING PACKING'!L$5=INWARDDATA!J213,'GRADING PACKING'!L$6=INWARDDATA!I213,AB213=0),"TRUE","FALSE")</f>
        <v>FALSE</v>
      </c>
      <c r="Y213" s="29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1"/>
      <c r="AK213" s="31"/>
      <c r="AL213" s="31"/>
      <c r="AM213" s="31"/>
      <c r="AN213" s="32" t="str">
        <f>+IF(AND('GRADING PACKING'!L$5=INWARDDATA!J213,'GRADING PACKING'!L$6=INWARDDATA!I213,AR213=0),"good","bad")</f>
        <v>bad</v>
      </c>
      <c r="AO213" s="33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86"/>
      <c r="BC213" s="86"/>
      <c r="BD213" s="97">
        <f>Table_15[[#This Row],[Wgt-Bag]]-Table_15[[#This Row],[Total Graded]]-Table_15[[#This Row],[UNDERSIZE]]+0.0011</f>
        <v>1.1000000000000001E-3</v>
      </c>
      <c r="BE213" s="86">
        <f>Table_15[[#This Row],[Total Graded]]-Table_15[[#This Row],[Packing Quantity]]+Table_15[[#This Row],[PACKING LOOSE]]</f>
        <v>0</v>
      </c>
      <c r="BF213" s="34">
        <f>IF(Table_15[[#This Row],[GRADED BAGS]]&gt;0,Table_15[[#This Row],[GRADED BAGS]],Table_15[[#This Row],[Bags]])</f>
        <v>0</v>
      </c>
    </row>
    <row r="214" spans="1:58" ht="14.25" hidden="1" customHeight="1" x14ac:dyDescent="0.35">
      <c r="A214" s="22">
        <v>212</v>
      </c>
      <c r="B214" s="22"/>
      <c r="C214" s="23"/>
      <c r="D214" s="23"/>
      <c r="E214" s="24"/>
      <c r="F214" s="23"/>
      <c r="G214" s="100"/>
      <c r="H214" s="101"/>
      <c r="I214" s="102"/>
      <c r="J214" s="102"/>
      <c r="K214" s="233"/>
      <c r="L214" s="22"/>
      <c r="M214" s="25">
        <f t="shared" si="16"/>
        <v>0</v>
      </c>
      <c r="N214" s="25">
        <f t="shared" si="17"/>
        <v>0</v>
      </c>
      <c r="O214" s="25">
        <f t="shared" si="18"/>
        <v>0</v>
      </c>
      <c r="P214" s="25">
        <f t="shared" si="19"/>
        <v>0</v>
      </c>
      <c r="Q214" s="22"/>
      <c r="R214" s="22"/>
      <c r="S214" s="22"/>
      <c r="T214" s="168"/>
      <c r="U214" s="171">
        <f t="shared" si="20"/>
        <v>0</v>
      </c>
      <c r="V214" s="169"/>
      <c r="W214" s="28"/>
      <c r="X214" s="25" t="str">
        <f>+IF(AND('GRADING PACKING'!L$5=INWARDDATA!J214,'GRADING PACKING'!L$6=INWARDDATA!I214,AB214=0),"TRUE","FALSE")</f>
        <v>FALSE</v>
      </c>
      <c r="Y214" s="29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1"/>
      <c r="AK214" s="31"/>
      <c r="AL214" s="31"/>
      <c r="AM214" s="31"/>
      <c r="AN214" s="32" t="str">
        <f>+IF(AND('GRADING PACKING'!L$5=INWARDDATA!J214,'GRADING PACKING'!L$6=INWARDDATA!I214,AR214=0),"good","bad")</f>
        <v>bad</v>
      </c>
      <c r="AO214" s="33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86"/>
      <c r="BC214" s="86"/>
      <c r="BD214" s="97">
        <f>Table_15[[#This Row],[Wgt-Bag]]-Table_15[[#This Row],[Total Graded]]-Table_15[[#This Row],[UNDERSIZE]]+0.0011</f>
        <v>1.1000000000000001E-3</v>
      </c>
      <c r="BE214" s="86">
        <f>Table_15[[#This Row],[Total Graded]]-Table_15[[#This Row],[Packing Quantity]]+Table_15[[#This Row],[PACKING LOOSE]]</f>
        <v>0</v>
      </c>
      <c r="BF214" s="34">
        <f>IF(Table_15[[#This Row],[GRADED BAGS]]&gt;0,Table_15[[#This Row],[GRADED BAGS]],Table_15[[#This Row],[Bags]])</f>
        <v>0</v>
      </c>
    </row>
    <row r="215" spans="1:58" ht="14.25" hidden="1" customHeight="1" x14ac:dyDescent="0.35">
      <c r="A215" s="22">
        <v>213</v>
      </c>
      <c r="B215" s="22"/>
      <c r="C215" s="23"/>
      <c r="D215" s="23"/>
      <c r="E215" s="24"/>
      <c r="F215" s="23"/>
      <c r="G215" s="100"/>
      <c r="H215" s="101"/>
      <c r="I215" s="102"/>
      <c r="J215" s="102"/>
      <c r="K215" s="233"/>
      <c r="L215" s="22"/>
      <c r="M215" s="25">
        <f t="shared" si="16"/>
        <v>0</v>
      </c>
      <c r="N215" s="25">
        <f t="shared" si="17"/>
        <v>0</v>
      </c>
      <c r="O215" s="25">
        <f t="shared" si="18"/>
        <v>0</v>
      </c>
      <c r="P215" s="25">
        <f t="shared" si="19"/>
        <v>0</v>
      </c>
      <c r="Q215" s="22"/>
      <c r="R215" s="22"/>
      <c r="S215" s="22"/>
      <c r="T215" s="168"/>
      <c r="U215" s="171">
        <f t="shared" si="20"/>
        <v>0</v>
      </c>
      <c r="V215" s="169"/>
      <c r="W215" s="28"/>
      <c r="X215" s="25" t="str">
        <f>+IF(AND('GRADING PACKING'!L$5=INWARDDATA!J215,'GRADING PACKING'!L$6=INWARDDATA!I215,AB215=0),"TRUE","FALSE")</f>
        <v>FALSE</v>
      </c>
      <c r="Y215" s="29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1"/>
      <c r="AK215" s="31"/>
      <c r="AL215" s="31"/>
      <c r="AM215" s="31"/>
      <c r="AN215" s="32" t="str">
        <f>+IF(AND('GRADING PACKING'!L$5=INWARDDATA!J215,'GRADING PACKING'!L$6=INWARDDATA!I215,AR215=0),"good","bad")</f>
        <v>bad</v>
      </c>
      <c r="AO215" s="33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86"/>
      <c r="BC215" s="86"/>
      <c r="BD215" s="97">
        <f>Table_15[[#This Row],[Wgt-Bag]]-Table_15[[#This Row],[Total Graded]]-Table_15[[#This Row],[UNDERSIZE]]+0.0011</f>
        <v>1.1000000000000001E-3</v>
      </c>
      <c r="BE215" s="86">
        <f>Table_15[[#This Row],[Total Graded]]-Table_15[[#This Row],[Packing Quantity]]+Table_15[[#This Row],[PACKING LOOSE]]</f>
        <v>0</v>
      </c>
      <c r="BF215" s="34">
        <f>IF(Table_15[[#This Row],[GRADED BAGS]]&gt;0,Table_15[[#This Row],[GRADED BAGS]],Table_15[[#This Row],[Bags]])</f>
        <v>0</v>
      </c>
    </row>
    <row r="216" spans="1:58" ht="14.25" hidden="1" customHeight="1" x14ac:dyDescent="0.35">
      <c r="A216" s="22">
        <v>214</v>
      </c>
      <c r="B216" s="22"/>
      <c r="C216" s="23"/>
      <c r="D216" s="23"/>
      <c r="E216" s="24"/>
      <c r="F216" s="23"/>
      <c r="G216" s="100"/>
      <c r="H216" s="101"/>
      <c r="I216" s="102"/>
      <c r="J216" s="102"/>
      <c r="K216" s="233"/>
      <c r="L216" s="22"/>
      <c r="M216" s="25">
        <f t="shared" si="16"/>
        <v>0</v>
      </c>
      <c r="N216" s="25">
        <f t="shared" si="17"/>
        <v>0</v>
      </c>
      <c r="O216" s="25">
        <f t="shared" si="18"/>
        <v>0</v>
      </c>
      <c r="P216" s="25">
        <f t="shared" si="19"/>
        <v>0</v>
      </c>
      <c r="Q216" s="22"/>
      <c r="R216" s="22"/>
      <c r="S216" s="22"/>
      <c r="T216" s="168"/>
      <c r="U216" s="171">
        <f t="shared" si="20"/>
        <v>0</v>
      </c>
      <c r="V216" s="169"/>
      <c r="W216" s="28"/>
      <c r="X216" s="25" t="str">
        <f>+IF(AND('GRADING PACKING'!L$5=INWARDDATA!J216,'GRADING PACKING'!L$6=INWARDDATA!I216,AB216=0),"TRUE","FALSE")</f>
        <v>FALSE</v>
      </c>
      <c r="Y216" s="29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1"/>
      <c r="AK216" s="31"/>
      <c r="AL216" s="31"/>
      <c r="AM216" s="31"/>
      <c r="AN216" s="32" t="str">
        <f>+IF(AND('GRADING PACKING'!L$5=INWARDDATA!J216,'GRADING PACKING'!L$6=INWARDDATA!I216,AR216=0),"good","bad")</f>
        <v>bad</v>
      </c>
      <c r="AO216" s="33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86"/>
      <c r="BC216" s="86"/>
      <c r="BD216" s="97">
        <f>Table_15[[#This Row],[Wgt-Bag]]-Table_15[[#This Row],[Total Graded]]-Table_15[[#This Row],[UNDERSIZE]]+0.0011</f>
        <v>1.1000000000000001E-3</v>
      </c>
      <c r="BE216" s="86">
        <f>Table_15[[#This Row],[Total Graded]]-Table_15[[#This Row],[Packing Quantity]]+Table_15[[#This Row],[PACKING LOOSE]]</f>
        <v>0</v>
      </c>
      <c r="BF216" s="34">
        <f>IF(Table_15[[#This Row],[GRADED BAGS]]&gt;0,Table_15[[#This Row],[GRADED BAGS]],Table_15[[#This Row],[Bags]])</f>
        <v>0</v>
      </c>
    </row>
    <row r="217" spans="1:58" ht="14.25" hidden="1" customHeight="1" x14ac:dyDescent="0.35">
      <c r="A217" s="22">
        <v>215</v>
      </c>
      <c r="B217" s="22"/>
      <c r="C217" s="23"/>
      <c r="D217" s="23"/>
      <c r="E217" s="24"/>
      <c r="F217" s="23"/>
      <c r="G217" s="100"/>
      <c r="H217" s="101"/>
      <c r="I217" s="102"/>
      <c r="J217" s="102"/>
      <c r="K217" s="233"/>
      <c r="L217" s="22"/>
      <c r="M217" s="25">
        <f t="shared" si="16"/>
        <v>0</v>
      </c>
      <c r="N217" s="25">
        <f t="shared" si="17"/>
        <v>0</v>
      </c>
      <c r="O217" s="25">
        <f t="shared" si="18"/>
        <v>0</v>
      </c>
      <c r="P217" s="25">
        <f t="shared" si="19"/>
        <v>0</v>
      </c>
      <c r="Q217" s="22"/>
      <c r="R217" s="22"/>
      <c r="S217" s="22"/>
      <c r="T217" s="168"/>
      <c r="U217" s="171">
        <f t="shared" si="20"/>
        <v>0</v>
      </c>
      <c r="V217" s="169"/>
      <c r="W217" s="28"/>
      <c r="X217" s="25" t="str">
        <f>+IF(AND('GRADING PACKING'!L$5=INWARDDATA!J217,'GRADING PACKING'!L$6=INWARDDATA!I217,AB217=0),"TRUE","FALSE")</f>
        <v>FALSE</v>
      </c>
      <c r="Y217" s="29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1"/>
      <c r="AK217" s="31"/>
      <c r="AL217" s="31"/>
      <c r="AM217" s="31"/>
      <c r="AN217" s="32" t="str">
        <f>+IF(AND('GRADING PACKING'!L$5=INWARDDATA!J217,'GRADING PACKING'!L$6=INWARDDATA!I217,AR217=0),"good","bad")</f>
        <v>bad</v>
      </c>
      <c r="AO217" s="33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86"/>
      <c r="BC217" s="86"/>
      <c r="BD217" s="97">
        <f>Table_15[[#This Row],[Wgt-Bag]]-Table_15[[#This Row],[Total Graded]]-Table_15[[#This Row],[UNDERSIZE]]+0.0011</f>
        <v>1.1000000000000001E-3</v>
      </c>
      <c r="BE217" s="86">
        <f>Table_15[[#This Row],[Total Graded]]-Table_15[[#This Row],[Packing Quantity]]+Table_15[[#This Row],[PACKING LOOSE]]</f>
        <v>0</v>
      </c>
      <c r="BF217" s="34">
        <f>IF(Table_15[[#This Row],[GRADED BAGS]]&gt;0,Table_15[[#This Row],[GRADED BAGS]],Table_15[[#This Row],[Bags]])</f>
        <v>0</v>
      </c>
    </row>
    <row r="218" spans="1:58" ht="14.25" hidden="1" customHeight="1" x14ac:dyDescent="0.35">
      <c r="A218" s="22">
        <v>216</v>
      </c>
      <c r="B218" s="22"/>
      <c r="C218" s="23"/>
      <c r="D218" s="23"/>
      <c r="E218" s="24"/>
      <c r="F218" s="23"/>
      <c r="G218" s="100"/>
      <c r="H218" s="101"/>
      <c r="I218" s="102"/>
      <c r="J218" s="102"/>
      <c r="K218" s="233"/>
      <c r="L218" s="22"/>
      <c r="M218" s="25">
        <f t="shared" si="16"/>
        <v>0</v>
      </c>
      <c r="N218" s="25">
        <f t="shared" si="17"/>
        <v>0</v>
      </c>
      <c r="O218" s="25">
        <f t="shared" si="18"/>
        <v>0</v>
      </c>
      <c r="P218" s="25">
        <f t="shared" si="19"/>
        <v>0</v>
      </c>
      <c r="Q218" s="22"/>
      <c r="R218" s="22"/>
      <c r="S218" s="22"/>
      <c r="T218" s="168"/>
      <c r="U218" s="171">
        <f t="shared" si="20"/>
        <v>0</v>
      </c>
      <c r="V218" s="169"/>
      <c r="W218" s="28"/>
      <c r="X218" s="25" t="str">
        <f>+IF(AND('GRADING PACKING'!L$5=INWARDDATA!J218,'GRADING PACKING'!L$6=INWARDDATA!I218,AB218=0),"TRUE","FALSE")</f>
        <v>FALSE</v>
      </c>
      <c r="Y218" s="29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1"/>
      <c r="AK218" s="31"/>
      <c r="AL218" s="31"/>
      <c r="AM218" s="31"/>
      <c r="AN218" s="32" t="str">
        <f>+IF(AND('GRADING PACKING'!L$5=INWARDDATA!J218,'GRADING PACKING'!L$6=INWARDDATA!I218,AR218=0),"good","bad")</f>
        <v>bad</v>
      </c>
      <c r="AO218" s="33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86"/>
      <c r="BC218" s="86"/>
      <c r="BD218" s="97">
        <f>Table_15[[#This Row],[Wgt-Bag]]-Table_15[[#This Row],[Total Graded]]-Table_15[[#This Row],[UNDERSIZE]]+0.0011</f>
        <v>1.1000000000000001E-3</v>
      </c>
      <c r="BE218" s="86">
        <f>Table_15[[#This Row],[Total Graded]]-Table_15[[#This Row],[Packing Quantity]]+Table_15[[#This Row],[PACKING LOOSE]]</f>
        <v>0</v>
      </c>
      <c r="BF218" s="34">
        <f>IF(Table_15[[#This Row],[GRADED BAGS]]&gt;0,Table_15[[#This Row],[GRADED BAGS]],Table_15[[#This Row],[Bags]])</f>
        <v>0</v>
      </c>
    </row>
    <row r="219" spans="1:58" ht="14.25" hidden="1" customHeight="1" x14ac:dyDescent="0.35">
      <c r="A219" s="22">
        <v>217</v>
      </c>
      <c r="B219" s="22"/>
      <c r="C219" s="23"/>
      <c r="D219" s="23"/>
      <c r="E219" s="24"/>
      <c r="F219" s="23"/>
      <c r="G219" s="100"/>
      <c r="H219" s="101"/>
      <c r="I219" s="102"/>
      <c r="J219" s="102"/>
      <c r="K219" s="233"/>
      <c r="L219" s="22"/>
      <c r="M219" s="25">
        <f t="shared" si="16"/>
        <v>0</v>
      </c>
      <c r="N219" s="25">
        <f t="shared" si="17"/>
        <v>0</v>
      </c>
      <c r="O219" s="25">
        <f t="shared" si="18"/>
        <v>0</v>
      </c>
      <c r="P219" s="25">
        <f t="shared" si="19"/>
        <v>0</v>
      </c>
      <c r="Q219" s="22"/>
      <c r="R219" s="22"/>
      <c r="S219" s="22"/>
      <c r="T219" s="168"/>
      <c r="U219" s="171">
        <f t="shared" si="20"/>
        <v>0</v>
      </c>
      <c r="V219" s="169"/>
      <c r="W219" s="28"/>
      <c r="X219" s="25" t="str">
        <f>+IF(AND('GRADING PACKING'!L$5=INWARDDATA!J219,'GRADING PACKING'!L$6=INWARDDATA!I219,AB219=0),"TRUE","FALSE")</f>
        <v>FALSE</v>
      </c>
      <c r="Y219" s="29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1"/>
      <c r="AK219" s="31"/>
      <c r="AL219" s="31"/>
      <c r="AM219" s="31"/>
      <c r="AN219" s="32" t="str">
        <f>+IF(AND('GRADING PACKING'!L$5=INWARDDATA!J219,'GRADING PACKING'!L$6=INWARDDATA!I219,AR219=0),"good","bad")</f>
        <v>bad</v>
      </c>
      <c r="AO219" s="33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86"/>
      <c r="BC219" s="86"/>
      <c r="BD219" s="97">
        <f>Table_15[[#This Row],[Wgt-Bag]]-Table_15[[#This Row],[Total Graded]]-Table_15[[#This Row],[UNDERSIZE]]+0.0011</f>
        <v>1.1000000000000001E-3</v>
      </c>
      <c r="BE219" s="86">
        <f>Table_15[[#This Row],[Total Graded]]-Table_15[[#This Row],[Packing Quantity]]+Table_15[[#This Row],[PACKING LOOSE]]</f>
        <v>0</v>
      </c>
      <c r="BF219" s="34">
        <f>IF(Table_15[[#This Row],[GRADED BAGS]]&gt;0,Table_15[[#This Row],[GRADED BAGS]],Table_15[[#This Row],[Bags]])</f>
        <v>0</v>
      </c>
    </row>
    <row r="220" spans="1:58" ht="14.25" hidden="1" customHeight="1" x14ac:dyDescent="0.35">
      <c r="A220" s="22">
        <v>218</v>
      </c>
      <c r="B220" s="22"/>
      <c r="C220" s="23"/>
      <c r="D220" s="23"/>
      <c r="E220" s="24"/>
      <c r="F220" s="23"/>
      <c r="G220" s="100"/>
      <c r="H220" s="101"/>
      <c r="I220" s="102"/>
      <c r="J220" s="102"/>
      <c r="K220" s="233"/>
      <c r="L220" s="22"/>
      <c r="M220" s="25">
        <f t="shared" si="16"/>
        <v>0</v>
      </c>
      <c r="N220" s="25">
        <f t="shared" si="17"/>
        <v>0</v>
      </c>
      <c r="O220" s="25">
        <f t="shared" si="18"/>
        <v>0</v>
      </c>
      <c r="P220" s="25">
        <f t="shared" si="19"/>
        <v>0</v>
      </c>
      <c r="Q220" s="22"/>
      <c r="R220" s="22"/>
      <c r="S220" s="22"/>
      <c r="T220" s="168"/>
      <c r="U220" s="171">
        <f t="shared" si="20"/>
        <v>0</v>
      </c>
      <c r="V220" s="169"/>
      <c r="W220" s="28"/>
      <c r="X220" s="25" t="str">
        <f>+IF(AND('GRADING PACKING'!L$5=INWARDDATA!J220,'GRADING PACKING'!L$6=INWARDDATA!I220,AB220=0),"TRUE","FALSE")</f>
        <v>FALSE</v>
      </c>
      <c r="Y220" s="29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1"/>
      <c r="AK220" s="31"/>
      <c r="AL220" s="31"/>
      <c r="AM220" s="31"/>
      <c r="AN220" s="32" t="str">
        <f>+IF(AND('GRADING PACKING'!L$5=INWARDDATA!J220,'GRADING PACKING'!L$6=INWARDDATA!I220,AR220=0),"good","bad")</f>
        <v>bad</v>
      </c>
      <c r="AO220" s="33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86"/>
      <c r="BC220" s="86"/>
      <c r="BD220" s="97">
        <f>Table_15[[#This Row],[Wgt-Bag]]-Table_15[[#This Row],[Total Graded]]-Table_15[[#This Row],[UNDERSIZE]]+0.0011</f>
        <v>1.1000000000000001E-3</v>
      </c>
      <c r="BE220" s="86">
        <f>Table_15[[#This Row],[Total Graded]]-Table_15[[#This Row],[Packing Quantity]]+Table_15[[#This Row],[PACKING LOOSE]]</f>
        <v>0</v>
      </c>
      <c r="BF220" s="34">
        <f>IF(Table_15[[#This Row],[GRADED BAGS]]&gt;0,Table_15[[#This Row],[GRADED BAGS]],Table_15[[#This Row],[Bags]])</f>
        <v>0</v>
      </c>
    </row>
    <row r="221" spans="1:58" ht="14.25" hidden="1" customHeight="1" x14ac:dyDescent="0.35">
      <c r="A221" s="22">
        <v>219</v>
      </c>
      <c r="B221" s="22"/>
      <c r="C221" s="23"/>
      <c r="D221" s="23"/>
      <c r="E221" s="24"/>
      <c r="F221" s="23"/>
      <c r="G221" s="100"/>
      <c r="H221" s="101"/>
      <c r="I221" s="102"/>
      <c r="J221" s="102"/>
      <c r="K221" s="233"/>
      <c r="L221" s="22"/>
      <c r="M221" s="25">
        <f t="shared" si="16"/>
        <v>0</v>
      </c>
      <c r="N221" s="25">
        <f t="shared" si="17"/>
        <v>0</v>
      </c>
      <c r="O221" s="25">
        <f t="shared" si="18"/>
        <v>0</v>
      </c>
      <c r="P221" s="25">
        <f t="shared" si="19"/>
        <v>0</v>
      </c>
      <c r="Q221" s="22"/>
      <c r="R221" s="22"/>
      <c r="S221" s="22"/>
      <c r="T221" s="168"/>
      <c r="U221" s="171">
        <f t="shared" si="20"/>
        <v>0</v>
      </c>
      <c r="V221" s="169"/>
      <c r="W221" s="28"/>
      <c r="X221" s="25" t="str">
        <f>+IF(AND('GRADING PACKING'!L$5=INWARDDATA!J221,'GRADING PACKING'!L$6=INWARDDATA!I221,AB221=0),"TRUE","FALSE")</f>
        <v>FALSE</v>
      </c>
      <c r="Y221" s="29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1"/>
      <c r="AK221" s="31"/>
      <c r="AL221" s="31"/>
      <c r="AM221" s="31"/>
      <c r="AN221" s="32" t="str">
        <f>+IF(AND('GRADING PACKING'!L$5=INWARDDATA!J221,'GRADING PACKING'!L$6=INWARDDATA!I221,AR221=0),"good","bad")</f>
        <v>bad</v>
      </c>
      <c r="AO221" s="33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86"/>
      <c r="BC221" s="86"/>
      <c r="BD221" s="97">
        <f>Table_15[[#This Row],[Wgt-Bag]]-Table_15[[#This Row],[Total Graded]]-Table_15[[#This Row],[UNDERSIZE]]+0.0011</f>
        <v>1.1000000000000001E-3</v>
      </c>
      <c r="BE221" s="86">
        <f>Table_15[[#This Row],[Total Graded]]-Table_15[[#This Row],[Packing Quantity]]+Table_15[[#This Row],[PACKING LOOSE]]</f>
        <v>0</v>
      </c>
      <c r="BF221" s="34">
        <f>IF(Table_15[[#This Row],[GRADED BAGS]]&gt;0,Table_15[[#This Row],[GRADED BAGS]],Table_15[[#This Row],[Bags]])</f>
        <v>0</v>
      </c>
    </row>
    <row r="222" spans="1:58" ht="14.25" hidden="1" customHeight="1" x14ac:dyDescent="0.35">
      <c r="A222" s="22">
        <v>220</v>
      </c>
      <c r="B222" s="22"/>
      <c r="C222" s="23"/>
      <c r="D222" s="23"/>
      <c r="E222" s="24"/>
      <c r="F222" s="23"/>
      <c r="G222" s="100"/>
      <c r="H222" s="101"/>
      <c r="I222" s="102"/>
      <c r="J222" s="102"/>
      <c r="K222" s="233"/>
      <c r="L222" s="22"/>
      <c r="M222" s="25">
        <f t="shared" si="16"/>
        <v>0</v>
      </c>
      <c r="N222" s="25">
        <f t="shared" si="17"/>
        <v>0</v>
      </c>
      <c r="O222" s="25">
        <f t="shared" si="18"/>
        <v>0</v>
      </c>
      <c r="P222" s="25">
        <f t="shared" si="19"/>
        <v>0</v>
      </c>
      <c r="Q222" s="22"/>
      <c r="R222" s="22"/>
      <c r="S222" s="22"/>
      <c r="T222" s="168"/>
      <c r="U222" s="171">
        <f t="shared" si="20"/>
        <v>0</v>
      </c>
      <c r="V222" s="169"/>
      <c r="W222" s="28"/>
      <c r="X222" s="25" t="str">
        <f>+IF(AND('GRADING PACKING'!L$5=INWARDDATA!J222,'GRADING PACKING'!L$6=INWARDDATA!I222,AB222=0),"TRUE","FALSE")</f>
        <v>FALSE</v>
      </c>
      <c r="Y222" s="29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1"/>
      <c r="AK222" s="31"/>
      <c r="AL222" s="31"/>
      <c r="AM222" s="31"/>
      <c r="AN222" s="32" t="str">
        <f>+IF(AND('GRADING PACKING'!L$5=INWARDDATA!J222,'GRADING PACKING'!L$6=INWARDDATA!I222,AR222=0),"good","bad")</f>
        <v>bad</v>
      </c>
      <c r="AO222" s="33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86"/>
      <c r="BC222" s="86"/>
      <c r="BD222" s="97">
        <f>Table_15[[#This Row],[Wgt-Bag]]-Table_15[[#This Row],[Total Graded]]-Table_15[[#This Row],[UNDERSIZE]]+0.0011</f>
        <v>1.1000000000000001E-3</v>
      </c>
      <c r="BE222" s="86">
        <f>Table_15[[#This Row],[Total Graded]]-Table_15[[#This Row],[Packing Quantity]]+Table_15[[#This Row],[PACKING LOOSE]]</f>
        <v>0</v>
      </c>
      <c r="BF222" s="34">
        <f>IF(Table_15[[#This Row],[GRADED BAGS]]&gt;0,Table_15[[#This Row],[GRADED BAGS]],Table_15[[#This Row],[Bags]])</f>
        <v>0</v>
      </c>
    </row>
    <row r="223" spans="1:58" ht="14.25" hidden="1" customHeight="1" x14ac:dyDescent="0.35">
      <c r="A223" s="22">
        <v>221</v>
      </c>
      <c r="B223" s="22"/>
      <c r="C223" s="23"/>
      <c r="D223" s="23"/>
      <c r="E223" s="24"/>
      <c r="F223" s="23"/>
      <c r="G223" s="100"/>
      <c r="H223" s="101"/>
      <c r="I223" s="102"/>
      <c r="J223" s="102"/>
      <c r="K223" s="233"/>
      <c r="L223" s="22"/>
      <c r="M223" s="25">
        <f t="shared" si="16"/>
        <v>0</v>
      </c>
      <c r="N223" s="25">
        <f t="shared" si="17"/>
        <v>0</v>
      </c>
      <c r="O223" s="25">
        <f t="shared" si="18"/>
        <v>0</v>
      </c>
      <c r="P223" s="25">
        <f t="shared" si="19"/>
        <v>0</v>
      </c>
      <c r="Q223" s="22"/>
      <c r="R223" s="22"/>
      <c r="S223" s="22"/>
      <c r="T223" s="168"/>
      <c r="U223" s="171">
        <f t="shared" si="20"/>
        <v>0</v>
      </c>
      <c r="V223" s="169"/>
      <c r="W223" s="28"/>
      <c r="X223" s="25" t="str">
        <f>+IF(AND('GRADING PACKING'!L$5=INWARDDATA!J223,'GRADING PACKING'!L$6=INWARDDATA!I223,AB223=0),"TRUE","FALSE")</f>
        <v>FALSE</v>
      </c>
      <c r="Y223" s="29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1"/>
      <c r="AK223" s="31"/>
      <c r="AL223" s="31"/>
      <c r="AM223" s="31"/>
      <c r="AN223" s="32" t="str">
        <f>+IF(AND('GRADING PACKING'!L$5=INWARDDATA!J223,'GRADING PACKING'!L$6=INWARDDATA!I223,AR223=0),"good","bad")</f>
        <v>bad</v>
      </c>
      <c r="AO223" s="33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86"/>
      <c r="BC223" s="86"/>
      <c r="BD223" s="97">
        <f>Table_15[[#This Row],[Wgt-Bag]]-Table_15[[#This Row],[Total Graded]]-Table_15[[#This Row],[UNDERSIZE]]+0.0011</f>
        <v>1.1000000000000001E-3</v>
      </c>
      <c r="BE223" s="86">
        <f>Table_15[[#This Row],[Total Graded]]-Table_15[[#This Row],[Packing Quantity]]+Table_15[[#This Row],[PACKING LOOSE]]</f>
        <v>0</v>
      </c>
      <c r="BF223" s="34">
        <f>IF(Table_15[[#This Row],[GRADED BAGS]]&gt;0,Table_15[[#This Row],[GRADED BAGS]],Table_15[[#This Row],[Bags]])</f>
        <v>0</v>
      </c>
    </row>
    <row r="224" spans="1:58" ht="14.25" hidden="1" customHeight="1" x14ac:dyDescent="0.35">
      <c r="A224" s="22">
        <v>222</v>
      </c>
      <c r="B224" s="22"/>
      <c r="C224" s="23"/>
      <c r="D224" s="23"/>
      <c r="E224" s="24"/>
      <c r="F224" s="23"/>
      <c r="G224" s="100"/>
      <c r="H224" s="101"/>
      <c r="I224" s="102"/>
      <c r="J224" s="102"/>
      <c r="K224" s="233"/>
      <c r="L224" s="22"/>
      <c r="M224" s="25">
        <f t="shared" si="16"/>
        <v>0</v>
      </c>
      <c r="N224" s="25">
        <f t="shared" si="17"/>
        <v>0</v>
      </c>
      <c r="O224" s="25">
        <f t="shared" si="18"/>
        <v>0</v>
      </c>
      <c r="P224" s="25">
        <f t="shared" si="19"/>
        <v>0</v>
      </c>
      <c r="Q224" s="22"/>
      <c r="R224" s="22"/>
      <c r="S224" s="22"/>
      <c r="T224" s="168"/>
      <c r="U224" s="171">
        <f t="shared" si="20"/>
        <v>0</v>
      </c>
      <c r="V224" s="169"/>
      <c r="W224" s="28"/>
      <c r="X224" s="25" t="str">
        <f>+IF(AND('GRADING PACKING'!L$5=INWARDDATA!J224,'GRADING PACKING'!L$6=INWARDDATA!I224,AB224=0),"TRUE","FALSE")</f>
        <v>FALSE</v>
      </c>
      <c r="Y224" s="29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1"/>
      <c r="AK224" s="31"/>
      <c r="AL224" s="31"/>
      <c r="AM224" s="31"/>
      <c r="AN224" s="32" t="str">
        <f>+IF(AND('GRADING PACKING'!L$5=INWARDDATA!J224,'GRADING PACKING'!L$6=INWARDDATA!I224,AR224=0),"good","bad")</f>
        <v>bad</v>
      </c>
      <c r="AO224" s="33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86"/>
      <c r="BC224" s="86"/>
      <c r="BD224" s="97">
        <f>Table_15[[#This Row],[Wgt-Bag]]-Table_15[[#This Row],[Total Graded]]-Table_15[[#This Row],[UNDERSIZE]]+0.0011</f>
        <v>1.1000000000000001E-3</v>
      </c>
      <c r="BE224" s="86">
        <f>Table_15[[#This Row],[Total Graded]]-Table_15[[#This Row],[Packing Quantity]]+Table_15[[#This Row],[PACKING LOOSE]]</f>
        <v>0</v>
      </c>
      <c r="BF224" s="34">
        <f>IF(Table_15[[#This Row],[GRADED BAGS]]&gt;0,Table_15[[#This Row],[GRADED BAGS]],Table_15[[#This Row],[Bags]])</f>
        <v>0</v>
      </c>
    </row>
    <row r="225" spans="1:58" ht="14.25" hidden="1" customHeight="1" x14ac:dyDescent="0.35">
      <c r="A225" s="22">
        <v>223</v>
      </c>
      <c r="B225" s="22"/>
      <c r="C225" s="23"/>
      <c r="D225" s="23"/>
      <c r="E225" s="24"/>
      <c r="F225" s="23"/>
      <c r="G225" s="100"/>
      <c r="H225" s="101"/>
      <c r="I225" s="102"/>
      <c r="J225" s="102"/>
      <c r="K225" s="233"/>
      <c r="L225" s="22"/>
      <c r="M225" s="25">
        <f t="shared" si="16"/>
        <v>0</v>
      </c>
      <c r="N225" s="25">
        <f t="shared" si="17"/>
        <v>0</v>
      </c>
      <c r="O225" s="25">
        <f t="shared" si="18"/>
        <v>0</v>
      </c>
      <c r="P225" s="25">
        <f t="shared" si="19"/>
        <v>0</v>
      </c>
      <c r="Q225" s="22"/>
      <c r="R225" s="22"/>
      <c r="S225" s="22"/>
      <c r="T225" s="168"/>
      <c r="U225" s="171">
        <f t="shared" si="20"/>
        <v>0</v>
      </c>
      <c r="V225" s="169"/>
      <c r="W225" s="28"/>
      <c r="X225" s="25" t="str">
        <f>+IF(AND('GRADING PACKING'!L$5=INWARDDATA!J225,'GRADING PACKING'!L$6=INWARDDATA!I225,AB225=0),"TRUE","FALSE")</f>
        <v>FALSE</v>
      </c>
      <c r="Y225" s="29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1"/>
      <c r="AK225" s="31"/>
      <c r="AL225" s="31"/>
      <c r="AM225" s="31"/>
      <c r="AN225" s="32" t="str">
        <f>+IF(AND('GRADING PACKING'!L$5=INWARDDATA!J225,'GRADING PACKING'!L$6=INWARDDATA!I225,AR225=0),"good","bad")</f>
        <v>bad</v>
      </c>
      <c r="AO225" s="33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86"/>
      <c r="BC225" s="86"/>
      <c r="BD225" s="97">
        <f>Table_15[[#This Row],[Wgt-Bag]]-Table_15[[#This Row],[Total Graded]]-Table_15[[#This Row],[UNDERSIZE]]+0.0011</f>
        <v>1.1000000000000001E-3</v>
      </c>
      <c r="BE225" s="86">
        <f>Table_15[[#This Row],[Total Graded]]-Table_15[[#This Row],[Packing Quantity]]+Table_15[[#This Row],[PACKING LOOSE]]</f>
        <v>0</v>
      </c>
      <c r="BF225" s="34">
        <f>IF(Table_15[[#This Row],[GRADED BAGS]]&gt;0,Table_15[[#This Row],[GRADED BAGS]],Table_15[[#This Row],[Bags]])</f>
        <v>0</v>
      </c>
    </row>
    <row r="226" spans="1:58" ht="14.25" hidden="1" customHeight="1" x14ac:dyDescent="0.35">
      <c r="A226" s="22">
        <v>224</v>
      </c>
      <c r="B226" s="22"/>
      <c r="C226" s="23"/>
      <c r="D226" s="23"/>
      <c r="E226" s="24"/>
      <c r="F226" s="23"/>
      <c r="G226" s="100"/>
      <c r="H226" s="101"/>
      <c r="I226" s="102"/>
      <c r="J226" s="102"/>
      <c r="K226" s="233"/>
      <c r="L226" s="22"/>
      <c r="M226" s="25">
        <f t="shared" si="16"/>
        <v>0</v>
      </c>
      <c r="N226" s="25">
        <f t="shared" si="17"/>
        <v>0</v>
      </c>
      <c r="O226" s="25">
        <f t="shared" si="18"/>
        <v>0</v>
      </c>
      <c r="P226" s="25">
        <f t="shared" si="19"/>
        <v>0</v>
      </c>
      <c r="Q226" s="22"/>
      <c r="R226" s="22"/>
      <c r="S226" s="22"/>
      <c r="T226" s="168"/>
      <c r="U226" s="171">
        <f t="shared" si="20"/>
        <v>0</v>
      </c>
      <c r="V226" s="169"/>
      <c r="W226" s="28"/>
      <c r="X226" s="25" t="str">
        <f>+IF(AND('GRADING PACKING'!L$5=INWARDDATA!J226,'GRADING PACKING'!L$6=INWARDDATA!I226,AB226=0),"TRUE","FALSE")</f>
        <v>FALSE</v>
      </c>
      <c r="Y226" s="29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1"/>
      <c r="AK226" s="31"/>
      <c r="AL226" s="31"/>
      <c r="AM226" s="31"/>
      <c r="AN226" s="32" t="str">
        <f>+IF(AND('GRADING PACKING'!L$5=INWARDDATA!J226,'GRADING PACKING'!L$6=INWARDDATA!I226,AR226=0),"good","bad")</f>
        <v>bad</v>
      </c>
      <c r="AO226" s="33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86"/>
      <c r="BC226" s="86"/>
      <c r="BD226" s="97">
        <f>Table_15[[#This Row],[Wgt-Bag]]-Table_15[[#This Row],[Total Graded]]-Table_15[[#This Row],[UNDERSIZE]]+0.0011</f>
        <v>1.1000000000000001E-3</v>
      </c>
      <c r="BE226" s="86">
        <f>Table_15[[#This Row],[Total Graded]]-Table_15[[#This Row],[Packing Quantity]]+Table_15[[#This Row],[PACKING LOOSE]]</f>
        <v>0</v>
      </c>
      <c r="BF226" s="34">
        <f>IF(Table_15[[#This Row],[GRADED BAGS]]&gt;0,Table_15[[#This Row],[GRADED BAGS]],Table_15[[#This Row],[Bags]])</f>
        <v>0</v>
      </c>
    </row>
    <row r="227" spans="1:58" ht="14.25" hidden="1" customHeight="1" x14ac:dyDescent="0.35">
      <c r="A227" s="22">
        <v>225</v>
      </c>
      <c r="B227" s="22"/>
      <c r="C227" s="23"/>
      <c r="D227" s="23"/>
      <c r="E227" s="24"/>
      <c r="F227" s="23"/>
      <c r="G227" s="100"/>
      <c r="H227" s="101"/>
      <c r="I227" s="102"/>
      <c r="J227" s="102"/>
      <c r="K227" s="233"/>
      <c r="L227" s="22"/>
      <c r="M227" s="25">
        <f t="shared" si="16"/>
        <v>0</v>
      </c>
      <c r="N227" s="25">
        <f t="shared" si="17"/>
        <v>0</v>
      </c>
      <c r="O227" s="25">
        <f t="shared" si="18"/>
        <v>0</v>
      </c>
      <c r="P227" s="25">
        <f t="shared" si="19"/>
        <v>0</v>
      </c>
      <c r="Q227" s="22"/>
      <c r="R227" s="22"/>
      <c r="S227" s="22"/>
      <c r="T227" s="168"/>
      <c r="U227" s="171">
        <f t="shared" si="20"/>
        <v>0</v>
      </c>
      <c r="V227" s="169"/>
      <c r="W227" s="28"/>
      <c r="X227" s="25" t="str">
        <f>+IF(AND('GRADING PACKING'!L$5=INWARDDATA!J227,'GRADING PACKING'!L$6=INWARDDATA!I227,AB227=0),"TRUE","FALSE")</f>
        <v>FALSE</v>
      </c>
      <c r="Y227" s="29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1"/>
      <c r="AK227" s="31"/>
      <c r="AL227" s="31"/>
      <c r="AM227" s="31"/>
      <c r="AN227" s="32" t="str">
        <f>+IF(AND('GRADING PACKING'!L$5=INWARDDATA!J227,'GRADING PACKING'!L$6=INWARDDATA!I227,AR227=0),"good","bad")</f>
        <v>bad</v>
      </c>
      <c r="AO227" s="33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86"/>
      <c r="BC227" s="86"/>
      <c r="BD227" s="97">
        <f>Table_15[[#This Row],[Wgt-Bag]]-Table_15[[#This Row],[Total Graded]]-Table_15[[#This Row],[UNDERSIZE]]+0.0011</f>
        <v>1.1000000000000001E-3</v>
      </c>
      <c r="BE227" s="86">
        <f>Table_15[[#This Row],[Total Graded]]-Table_15[[#This Row],[Packing Quantity]]+Table_15[[#This Row],[PACKING LOOSE]]</f>
        <v>0</v>
      </c>
      <c r="BF227" s="34">
        <f>IF(Table_15[[#This Row],[GRADED BAGS]]&gt;0,Table_15[[#This Row],[GRADED BAGS]],Table_15[[#This Row],[Bags]])</f>
        <v>0</v>
      </c>
    </row>
    <row r="228" spans="1:58" ht="14.25" hidden="1" customHeight="1" x14ac:dyDescent="0.35">
      <c r="A228" s="22">
        <v>226</v>
      </c>
      <c r="B228" s="22"/>
      <c r="C228" s="23"/>
      <c r="D228" s="23"/>
      <c r="E228" s="24"/>
      <c r="F228" s="23"/>
      <c r="G228" s="100"/>
      <c r="H228" s="101"/>
      <c r="I228" s="102"/>
      <c r="J228" s="102"/>
      <c r="K228" s="233"/>
      <c r="L228" s="22"/>
      <c r="M228" s="25">
        <f t="shared" si="16"/>
        <v>0</v>
      </c>
      <c r="N228" s="25">
        <f t="shared" si="17"/>
        <v>0</v>
      </c>
      <c r="O228" s="25">
        <f t="shared" si="18"/>
        <v>0</v>
      </c>
      <c r="P228" s="25">
        <f t="shared" si="19"/>
        <v>0</v>
      </c>
      <c r="Q228" s="22"/>
      <c r="R228" s="22"/>
      <c r="S228" s="22"/>
      <c r="T228" s="168"/>
      <c r="U228" s="171">
        <f t="shared" si="20"/>
        <v>0</v>
      </c>
      <c r="V228" s="169"/>
      <c r="W228" s="28"/>
      <c r="X228" s="25" t="str">
        <f>+IF(AND('GRADING PACKING'!L$5=INWARDDATA!J228,'GRADING PACKING'!L$6=INWARDDATA!I228,AB228=0),"TRUE","FALSE")</f>
        <v>FALSE</v>
      </c>
      <c r="Y228" s="29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1"/>
      <c r="AK228" s="31"/>
      <c r="AL228" s="31"/>
      <c r="AM228" s="31"/>
      <c r="AN228" s="32" t="str">
        <f>+IF(AND('GRADING PACKING'!L$5=INWARDDATA!J228,'GRADING PACKING'!L$6=INWARDDATA!I228,AR228=0),"good","bad")</f>
        <v>bad</v>
      </c>
      <c r="AO228" s="33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86"/>
      <c r="BC228" s="86"/>
      <c r="BD228" s="97">
        <f>Table_15[[#This Row],[Wgt-Bag]]-Table_15[[#This Row],[Total Graded]]-Table_15[[#This Row],[UNDERSIZE]]+0.0011</f>
        <v>1.1000000000000001E-3</v>
      </c>
      <c r="BE228" s="86">
        <f>Table_15[[#This Row],[Total Graded]]-Table_15[[#This Row],[Packing Quantity]]+Table_15[[#This Row],[PACKING LOOSE]]</f>
        <v>0</v>
      </c>
      <c r="BF228" s="34">
        <f>IF(Table_15[[#This Row],[GRADED BAGS]]&gt;0,Table_15[[#This Row],[GRADED BAGS]],Table_15[[#This Row],[Bags]])</f>
        <v>0</v>
      </c>
    </row>
    <row r="229" spans="1:58" ht="14.25" hidden="1" customHeight="1" x14ac:dyDescent="0.35">
      <c r="A229" s="22">
        <v>227</v>
      </c>
      <c r="B229" s="22"/>
      <c r="C229" s="23"/>
      <c r="D229" s="23"/>
      <c r="E229" s="24"/>
      <c r="F229" s="23"/>
      <c r="G229" s="100"/>
      <c r="H229" s="101"/>
      <c r="I229" s="102"/>
      <c r="J229" s="102"/>
      <c r="K229" s="233"/>
      <c r="L229" s="22"/>
      <c r="M229" s="25">
        <f t="shared" si="16"/>
        <v>0</v>
      </c>
      <c r="N229" s="25">
        <f t="shared" si="17"/>
        <v>0</v>
      </c>
      <c r="O229" s="25">
        <f t="shared" si="18"/>
        <v>0</v>
      </c>
      <c r="P229" s="25">
        <f t="shared" si="19"/>
        <v>0</v>
      </c>
      <c r="Q229" s="22"/>
      <c r="R229" s="22"/>
      <c r="S229" s="22"/>
      <c r="T229" s="168"/>
      <c r="U229" s="171">
        <f t="shared" si="20"/>
        <v>0</v>
      </c>
      <c r="V229" s="169"/>
      <c r="W229" s="28"/>
      <c r="X229" s="25" t="str">
        <f>+IF(AND('GRADING PACKING'!L$5=INWARDDATA!J229,'GRADING PACKING'!L$6=INWARDDATA!I229,AB229=0),"TRUE","FALSE")</f>
        <v>FALSE</v>
      </c>
      <c r="Y229" s="29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1"/>
      <c r="AK229" s="31"/>
      <c r="AL229" s="31"/>
      <c r="AM229" s="31"/>
      <c r="AN229" s="32" t="str">
        <f>+IF(AND('GRADING PACKING'!L$5=INWARDDATA!J229,'GRADING PACKING'!L$6=INWARDDATA!I229,AR229=0),"good","bad")</f>
        <v>bad</v>
      </c>
      <c r="AO229" s="33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86"/>
      <c r="BC229" s="86"/>
      <c r="BD229" s="97">
        <f>Table_15[[#This Row],[Wgt-Bag]]-Table_15[[#This Row],[Total Graded]]-Table_15[[#This Row],[UNDERSIZE]]+0.0011</f>
        <v>1.1000000000000001E-3</v>
      </c>
      <c r="BE229" s="86">
        <f>Table_15[[#This Row],[Total Graded]]-Table_15[[#This Row],[Packing Quantity]]+Table_15[[#This Row],[PACKING LOOSE]]</f>
        <v>0</v>
      </c>
      <c r="BF229" s="34">
        <f>IF(Table_15[[#This Row],[GRADED BAGS]]&gt;0,Table_15[[#This Row],[GRADED BAGS]],Table_15[[#This Row],[Bags]])</f>
        <v>0</v>
      </c>
    </row>
    <row r="230" spans="1:58" ht="14.25" hidden="1" customHeight="1" x14ac:dyDescent="0.35">
      <c r="A230" s="22">
        <v>228</v>
      </c>
      <c r="B230" s="22"/>
      <c r="C230" s="23"/>
      <c r="D230" s="23"/>
      <c r="E230" s="24"/>
      <c r="F230" s="23"/>
      <c r="G230" s="100"/>
      <c r="H230" s="101"/>
      <c r="I230" s="102"/>
      <c r="J230" s="102"/>
      <c r="K230" s="233"/>
      <c r="L230" s="22"/>
      <c r="M230" s="25">
        <f t="shared" si="16"/>
        <v>0</v>
      </c>
      <c r="N230" s="25">
        <f t="shared" si="17"/>
        <v>0</v>
      </c>
      <c r="O230" s="25">
        <f t="shared" si="18"/>
        <v>0</v>
      </c>
      <c r="P230" s="25">
        <f t="shared" si="19"/>
        <v>0</v>
      </c>
      <c r="Q230" s="22"/>
      <c r="R230" s="22"/>
      <c r="S230" s="22"/>
      <c r="T230" s="168"/>
      <c r="U230" s="171">
        <f t="shared" si="20"/>
        <v>0</v>
      </c>
      <c r="V230" s="169"/>
      <c r="W230" s="28"/>
      <c r="X230" s="25" t="str">
        <f>+IF(AND('GRADING PACKING'!L$5=INWARDDATA!J230,'GRADING PACKING'!L$6=INWARDDATA!I230,AB230=0),"TRUE","FALSE")</f>
        <v>FALSE</v>
      </c>
      <c r="Y230" s="29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1"/>
      <c r="AK230" s="31"/>
      <c r="AL230" s="31"/>
      <c r="AM230" s="31"/>
      <c r="AN230" s="32" t="str">
        <f>+IF(AND('GRADING PACKING'!L$5=INWARDDATA!J230,'GRADING PACKING'!L$6=INWARDDATA!I230,AR230=0),"good","bad")</f>
        <v>bad</v>
      </c>
      <c r="AO230" s="33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86"/>
      <c r="BC230" s="86"/>
      <c r="BD230" s="97">
        <f>Table_15[[#This Row],[Wgt-Bag]]-Table_15[[#This Row],[Total Graded]]-Table_15[[#This Row],[UNDERSIZE]]+0.0011</f>
        <v>1.1000000000000001E-3</v>
      </c>
      <c r="BE230" s="86">
        <f>Table_15[[#This Row],[Total Graded]]-Table_15[[#This Row],[Packing Quantity]]+Table_15[[#This Row],[PACKING LOOSE]]</f>
        <v>0</v>
      </c>
      <c r="BF230" s="34">
        <f>IF(Table_15[[#This Row],[GRADED BAGS]]&gt;0,Table_15[[#This Row],[GRADED BAGS]],Table_15[[#This Row],[Bags]])</f>
        <v>0</v>
      </c>
    </row>
    <row r="231" spans="1:58" ht="14.25" hidden="1" customHeight="1" x14ac:dyDescent="0.35">
      <c r="A231" s="22">
        <v>229</v>
      </c>
      <c r="B231" s="22"/>
      <c r="C231" s="23"/>
      <c r="D231" s="23"/>
      <c r="E231" s="24"/>
      <c r="F231" s="23"/>
      <c r="G231" s="100"/>
      <c r="H231" s="101"/>
      <c r="I231" s="102"/>
      <c r="J231" s="102"/>
      <c r="K231" s="233"/>
      <c r="L231" s="22"/>
      <c r="M231" s="25">
        <f t="shared" si="16"/>
        <v>0</v>
      </c>
      <c r="N231" s="25">
        <f t="shared" si="17"/>
        <v>0</v>
      </c>
      <c r="O231" s="25">
        <f t="shared" si="18"/>
        <v>0</v>
      </c>
      <c r="P231" s="25">
        <f t="shared" si="19"/>
        <v>0</v>
      </c>
      <c r="Q231" s="22"/>
      <c r="R231" s="22"/>
      <c r="S231" s="22"/>
      <c r="T231" s="168"/>
      <c r="U231" s="171">
        <f t="shared" si="20"/>
        <v>0</v>
      </c>
      <c r="V231" s="169"/>
      <c r="W231" s="28"/>
      <c r="X231" s="25" t="str">
        <f>+IF(AND('GRADING PACKING'!L$5=INWARDDATA!J231,'GRADING PACKING'!L$6=INWARDDATA!I231,AB231=0),"TRUE","FALSE")</f>
        <v>FALSE</v>
      </c>
      <c r="Y231" s="29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1"/>
      <c r="AK231" s="31"/>
      <c r="AL231" s="31"/>
      <c r="AM231" s="31"/>
      <c r="AN231" s="32" t="str">
        <f>+IF(AND('GRADING PACKING'!L$5=INWARDDATA!J231,'GRADING PACKING'!L$6=INWARDDATA!I231,AR231=0),"good","bad")</f>
        <v>bad</v>
      </c>
      <c r="AO231" s="33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86"/>
      <c r="BC231" s="86"/>
      <c r="BD231" s="97">
        <f>Table_15[[#This Row],[Wgt-Bag]]-Table_15[[#This Row],[Total Graded]]-Table_15[[#This Row],[UNDERSIZE]]+0.0011</f>
        <v>1.1000000000000001E-3</v>
      </c>
      <c r="BE231" s="86">
        <f>Table_15[[#This Row],[Total Graded]]-Table_15[[#This Row],[Packing Quantity]]+Table_15[[#This Row],[PACKING LOOSE]]</f>
        <v>0</v>
      </c>
      <c r="BF231" s="34">
        <f>IF(Table_15[[#This Row],[GRADED BAGS]]&gt;0,Table_15[[#This Row],[GRADED BAGS]],Table_15[[#This Row],[Bags]])</f>
        <v>0</v>
      </c>
    </row>
    <row r="232" spans="1:58" ht="14.25" hidden="1" customHeight="1" x14ac:dyDescent="0.35">
      <c r="A232" s="22">
        <v>230</v>
      </c>
      <c r="B232" s="22"/>
      <c r="C232" s="23"/>
      <c r="D232" s="23"/>
      <c r="E232" s="24"/>
      <c r="F232" s="23"/>
      <c r="G232" s="100"/>
      <c r="H232" s="101"/>
      <c r="I232" s="102"/>
      <c r="J232" s="102"/>
      <c r="K232" s="233"/>
      <c r="L232" s="22"/>
      <c r="M232" s="25">
        <f t="shared" si="16"/>
        <v>0</v>
      </c>
      <c r="N232" s="25">
        <f t="shared" si="17"/>
        <v>0</v>
      </c>
      <c r="O232" s="25">
        <f t="shared" si="18"/>
        <v>0</v>
      </c>
      <c r="P232" s="25">
        <f t="shared" si="19"/>
        <v>0</v>
      </c>
      <c r="Q232" s="22"/>
      <c r="R232" s="22"/>
      <c r="S232" s="22"/>
      <c r="T232" s="168"/>
      <c r="U232" s="171">
        <f t="shared" si="20"/>
        <v>0</v>
      </c>
      <c r="V232" s="169"/>
      <c r="W232" s="28"/>
      <c r="X232" s="25" t="str">
        <f>+IF(AND('GRADING PACKING'!L$5=INWARDDATA!J232,'GRADING PACKING'!L$6=INWARDDATA!I232,AB232=0),"TRUE","FALSE")</f>
        <v>FALSE</v>
      </c>
      <c r="Y232" s="29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1"/>
      <c r="AK232" s="31"/>
      <c r="AL232" s="31"/>
      <c r="AM232" s="31"/>
      <c r="AN232" s="32" t="str">
        <f>+IF(AND('GRADING PACKING'!L$5=INWARDDATA!J232,'GRADING PACKING'!L$6=INWARDDATA!I232,AR232=0),"good","bad")</f>
        <v>bad</v>
      </c>
      <c r="AO232" s="33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86"/>
      <c r="BC232" s="86"/>
      <c r="BD232" s="97">
        <f>Table_15[[#This Row],[Wgt-Bag]]-Table_15[[#This Row],[Total Graded]]-Table_15[[#This Row],[UNDERSIZE]]+0.0011</f>
        <v>1.1000000000000001E-3</v>
      </c>
      <c r="BE232" s="86">
        <f>Table_15[[#This Row],[Total Graded]]-Table_15[[#This Row],[Packing Quantity]]+Table_15[[#This Row],[PACKING LOOSE]]</f>
        <v>0</v>
      </c>
      <c r="BF232" s="34">
        <f>IF(Table_15[[#This Row],[GRADED BAGS]]&gt;0,Table_15[[#This Row],[GRADED BAGS]],Table_15[[#This Row],[Bags]])</f>
        <v>0</v>
      </c>
    </row>
    <row r="233" spans="1:58" ht="14.25" hidden="1" customHeight="1" x14ac:dyDescent="0.35">
      <c r="A233" s="22">
        <v>231</v>
      </c>
      <c r="B233" s="22"/>
      <c r="C233" s="23"/>
      <c r="D233" s="23"/>
      <c r="E233" s="24"/>
      <c r="F233" s="23"/>
      <c r="G233" s="100"/>
      <c r="H233" s="101"/>
      <c r="I233" s="102"/>
      <c r="J233" s="102"/>
      <c r="K233" s="233"/>
      <c r="L233" s="22"/>
      <c r="M233" s="25">
        <f t="shared" si="16"/>
        <v>0</v>
      </c>
      <c r="N233" s="25">
        <f t="shared" si="17"/>
        <v>0</v>
      </c>
      <c r="O233" s="25">
        <f t="shared" si="18"/>
        <v>0</v>
      </c>
      <c r="P233" s="25">
        <f t="shared" si="19"/>
        <v>0</v>
      </c>
      <c r="Q233" s="22"/>
      <c r="R233" s="22"/>
      <c r="S233" s="22"/>
      <c r="T233" s="168"/>
      <c r="U233" s="171">
        <f t="shared" si="20"/>
        <v>0</v>
      </c>
      <c r="V233" s="169"/>
      <c r="W233" s="28"/>
      <c r="X233" s="25" t="str">
        <f>+IF(AND('GRADING PACKING'!L$5=INWARDDATA!J233,'GRADING PACKING'!L$6=INWARDDATA!I233,AB233=0),"TRUE","FALSE")</f>
        <v>FALSE</v>
      </c>
      <c r="Y233" s="29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1"/>
      <c r="AK233" s="31"/>
      <c r="AL233" s="31"/>
      <c r="AM233" s="31"/>
      <c r="AN233" s="32" t="str">
        <f>+IF(AND('GRADING PACKING'!L$5=INWARDDATA!J233,'GRADING PACKING'!L$6=INWARDDATA!I233,AR233=0),"good","bad")</f>
        <v>bad</v>
      </c>
      <c r="AO233" s="33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86"/>
      <c r="BC233" s="86"/>
      <c r="BD233" s="97">
        <f>Table_15[[#This Row],[Wgt-Bag]]-Table_15[[#This Row],[Total Graded]]-Table_15[[#This Row],[UNDERSIZE]]+0.0011</f>
        <v>1.1000000000000001E-3</v>
      </c>
      <c r="BE233" s="86">
        <f>Table_15[[#This Row],[Total Graded]]-Table_15[[#This Row],[Packing Quantity]]+Table_15[[#This Row],[PACKING LOOSE]]</f>
        <v>0</v>
      </c>
      <c r="BF233" s="34">
        <f>IF(Table_15[[#This Row],[GRADED BAGS]]&gt;0,Table_15[[#This Row],[GRADED BAGS]],Table_15[[#This Row],[Bags]])</f>
        <v>0</v>
      </c>
    </row>
    <row r="234" spans="1:58" ht="14.25" hidden="1" customHeight="1" x14ac:dyDescent="0.35">
      <c r="A234" s="22">
        <v>232</v>
      </c>
      <c r="B234" s="22"/>
      <c r="C234" s="23"/>
      <c r="D234" s="23"/>
      <c r="E234" s="24"/>
      <c r="F234" s="23"/>
      <c r="G234" s="100"/>
      <c r="H234" s="101"/>
      <c r="I234" s="102"/>
      <c r="J234" s="102"/>
      <c r="K234" s="233"/>
      <c r="L234" s="22"/>
      <c r="M234" s="25">
        <f t="shared" si="16"/>
        <v>0</v>
      </c>
      <c r="N234" s="25">
        <f t="shared" si="17"/>
        <v>0</v>
      </c>
      <c r="O234" s="25">
        <f t="shared" si="18"/>
        <v>0</v>
      </c>
      <c r="P234" s="25">
        <f t="shared" si="19"/>
        <v>0</v>
      </c>
      <c r="Q234" s="22"/>
      <c r="R234" s="22"/>
      <c r="S234" s="22"/>
      <c r="T234" s="168"/>
      <c r="U234" s="171">
        <f t="shared" si="20"/>
        <v>0</v>
      </c>
      <c r="V234" s="169"/>
      <c r="W234" s="28"/>
      <c r="X234" s="25" t="str">
        <f>+IF(AND('GRADING PACKING'!L$5=INWARDDATA!J234,'GRADING PACKING'!L$6=INWARDDATA!I234,AB234=0),"TRUE","FALSE")</f>
        <v>FALSE</v>
      </c>
      <c r="Y234" s="29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1"/>
      <c r="AK234" s="31"/>
      <c r="AL234" s="31"/>
      <c r="AM234" s="31"/>
      <c r="AN234" s="32" t="str">
        <f>+IF(AND('GRADING PACKING'!L$5=INWARDDATA!J234,'GRADING PACKING'!L$6=INWARDDATA!I234,AR234=0),"good","bad")</f>
        <v>bad</v>
      </c>
      <c r="AO234" s="33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86"/>
      <c r="BC234" s="86"/>
      <c r="BD234" s="97">
        <f>Table_15[[#This Row],[Wgt-Bag]]-Table_15[[#This Row],[Total Graded]]-Table_15[[#This Row],[UNDERSIZE]]+0.0011</f>
        <v>1.1000000000000001E-3</v>
      </c>
      <c r="BE234" s="86">
        <f>Table_15[[#This Row],[Total Graded]]-Table_15[[#This Row],[Packing Quantity]]+Table_15[[#This Row],[PACKING LOOSE]]</f>
        <v>0</v>
      </c>
      <c r="BF234" s="34">
        <f>IF(Table_15[[#This Row],[GRADED BAGS]]&gt;0,Table_15[[#This Row],[GRADED BAGS]],Table_15[[#This Row],[Bags]])</f>
        <v>0</v>
      </c>
    </row>
    <row r="235" spans="1:58" ht="14.25" hidden="1" customHeight="1" x14ac:dyDescent="0.35">
      <c r="A235" s="22">
        <v>233</v>
      </c>
      <c r="B235" s="22"/>
      <c r="C235" s="23"/>
      <c r="D235" s="23"/>
      <c r="E235" s="24"/>
      <c r="F235" s="23"/>
      <c r="G235" s="100"/>
      <c r="H235" s="101"/>
      <c r="I235" s="102"/>
      <c r="J235" s="102"/>
      <c r="K235" s="233"/>
      <c r="L235" s="22"/>
      <c r="M235" s="25">
        <f t="shared" si="16"/>
        <v>0</v>
      </c>
      <c r="N235" s="25">
        <f t="shared" si="17"/>
        <v>0</v>
      </c>
      <c r="O235" s="25">
        <f t="shared" si="18"/>
        <v>0</v>
      </c>
      <c r="P235" s="25">
        <f t="shared" si="19"/>
        <v>0</v>
      </c>
      <c r="Q235" s="22"/>
      <c r="R235" s="22"/>
      <c r="S235" s="22"/>
      <c r="T235" s="168"/>
      <c r="U235" s="171">
        <f t="shared" si="20"/>
        <v>0</v>
      </c>
      <c r="V235" s="169"/>
      <c r="W235" s="28"/>
      <c r="X235" s="25" t="str">
        <f>+IF(AND('GRADING PACKING'!L$5=INWARDDATA!J235,'GRADING PACKING'!L$6=INWARDDATA!I235,AB235=0),"TRUE","FALSE")</f>
        <v>FALSE</v>
      </c>
      <c r="Y235" s="29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1"/>
      <c r="AK235" s="31"/>
      <c r="AL235" s="31"/>
      <c r="AM235" s="31"/>
      <c r="AN235" s="32" t="str">
        <f>+IF(AND('GRADING PACKING'!L$5=INWARDDATA!J235,'GRADING PACKING'!L$6=INWARDDATA!I235,AR235=0),"good","bad")</f>
        <v>bad</v>
      </c>
      <c r="AO235" s="33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86"/>
      <c r="BC235" s="86"/>
      <c r="BD235" s="97">
        <f>Table_15[[#This Row],[Wgt-Bag]]-Table_15[[#This Row],[Total Graded]]-Table_15[[#This Row],[UNDERSIZE]]+0.0011</f>
        <v>1.1000000000000001E-3</v>
      </c>
      <c r="BE235" s="86">
        <f>Table_15[[#This Row],[Total Graded]]-Table_15[[#This Row],[Packing Quantity]]+Table_15[[#This Row],[PACKING LOOSE]]</f>
        <v>0</v>
      </c>
      <c r="BF235" s="34">
        <f>IF(Table_15[[#This Row],[GRADED BAGS]]&gt;0,Table_15[[#This Row],[GRADED BAGS]],Table_15[[#This Row],[Bags]])</f>
        <v>0</v>
      </c>
    </row>
    <row r="236" spans="1:58" ht="14.25" hidden="1" customHeight="1" x14ac:dyDescent="0.35">
      <c r="A236" s="22">
        <v>234</v>
      </c>
      <c r="B236" s="22"/>
      <c r="C236" s="23"/>
      <c r="D236" s="23"/>
      <c r="E236" s="24"/>
      <c r="F236" s="23"/>
      <c r="G236" s="100"/>
      <c r="H236" s="101"/>
      <c r="I236" s="102"/>
      <c r="J236" s="102"/>
      <c r="K236" s="233"/>
      <c r="L236" s="22"/>
      <c r="M236" s="25">
        <f t="shared" si="16"/>
        <v>0</v>
      </c>
      <c r="N236" s="25">
        <f t="shared" si="17"/>
        <v>0</v>
      </c>
      <c r="O236" s="25">
        <f t="shared" si="18"/>
        <v>0</v>
      </c>
      <c r="P236" s="25">
        <f t="shared" si="19"/>
        <v>0</v>
      </c>
      <c r="Q236" s="22"/>
      <c r="R236" s="22"/>
      <c r="S236" s="22"/>
      <c r="T236" s="168"/>
      <c r="U236" s="171">
        <f t="shared" si="20"/>
        <v>0</v>
      </c>
      <c r="V236" s="169"/>
      <c r="W236" s="28"/>
      <c r="X236" s="25" t="str">
        <f>+IF(AND('GRADING PACKING'!L$5=INWARDDATA!J236,'GRADING PACKING'!L$6=INWARDDATA!I236,AB236=0),"TRUE","FALSE")</f>
        <v>FALSE</v>
      </c>
      <c r="Y236" s="29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1"/>
      <c r="AK236" s="31"/>
      <c r="AL236" s="31"/>
      <c r="AM236" s="31"/>
      <c r="AN236" s="32" t="str">
        <f>+IF(AND('GRADING PACKING'!L$5=INWARDDATA!J236,'GRADING PACKING'!L$6=INWARDDATA!I236,AR236=0),"good","bad")</f>
        <v>bad</v>
      </c>
      <c r="AO236" s="33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86"/>
      <c r="BC236" s="86"/>
      <c r="BD236" s="97">
        <f>Table_15[[#This Row],[Wgt-Bag]]-Table_15[[#This Row],[Total Graded]]-Table_15[[#This Row],[UNDERSIZE]]+0.0011</f>
        <v>1.1000000000000001E-3</v>
      </c>
      <c r="BE236" s="86">
        <f>Table_15[[#This Row],[Total Graded]]-Table_15[[#This Row],[Packing Quantity]]+Table_15[[#This Row],[PACKING LOOSE]]</f>
        <v>0</v>
      </c>
      <c r="BF236" s="34">
        <f>IF(Table_15[[#This Row],[GRADED BAGS]]&gt;0,Table_15[[#This Row],[GRADED BAGS]],Table_15[[#This Row],[Bags]])</f>
        <v>0</v>
      </c>
    </row>
    <row r="237" spans="1:58" ht="14.25" hidden="1" customHeight="1" x14ac:dyDescent="0.35">
      <c r="A237" s="22">
        <v>235</v>
      </c>
      <c r="B237" s="22"/>
      <c r="C237" s="23"/>
      <c r="D237" s="23"/>
      <c r="E237" s="24"/>
      <c r="F237" s="23"/>
      <c r="G237" s="100"/>
      <c r="H237" s="101"/>
      <c r="I237" s="102"/>
      <c r="J237" s="102"/>
      <c r="K237" s="233"/>
      <c r="L237" s="22"/>
      <c r="M237" s="25">
        <f t="shared" si="16"/>
        <v>0</v>
      </c>
      <c r="N237" s="25">
        <f t="shared" si="17"/>
        <v>0</v>
      </c>
      <c r="O237" s="25">
        <f t="shared" si="18"/>
        <v>0</v>
      </c>
      <c r="P237" s="25">
        <f t="shared" si="19"/>
        <v>0</v>
      </c>
      <c r="Q237" s="22"/>
      <c r="R237" s="22"/>
      <c r="S237" s="22"/>
      <c r="T237" s="168"/>
      <c r="U237" s="171">
        <f t="shared" si="20"/>
        <v>0</v>
      </c>
      <c r="V237" s="169"/>
      <c r="W237" s="28"/>
      <c r="X237" s="25" t="str">
        <f>+IF(AND('GRADING PACKING'!L$5=INWARDDATA!J237,'GRADING PACKING'!L$6=INWARDDATA!I237,AB237=0),"TRUE","FALSE")</f>
        <v>FALSE</v>
      </c>
      <c r="Y237" s="29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1"/>
      <c r="AK237" s="31"/>
      <c r="AL237" s="31"/>
      <c r="AM237" s="31"/>
      <c r="AN237" s="32" t="str">
        <f>+IF(AND('GRADING PACKING'!L$5=INWARDDATA!J237,'GRADING PACKING'!L$6=INWARDDATA!I237,AR237=0),"good","bad")</f>
        <v>bad</v>
      </c>
      <c r="AO237" s="33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86"/>
      <c r="BC237" s="86"/>
      <c r="BD237" s="97">
        <f>Table_15[[#This Row],[Wgt-Bag]]-Table_15[[#This Row],[Total Graded]]-Table_15[[#This Row],[UNDERSIZE]]+0.0011</f>
        <v>1.1000000000000001E-3</v>
      </c>
      <c r="BE237" s="86">
        <f>Table_15[[#This Row],[Total Graded]]-Table_15[[#This Row],[Packing Quantity]]+Table_15[[#This Row],[PACKING LOOSE]]</f>
        <v>0</v>
      </c>
      <c r="BF237" s="34">
        <f>IF(Table_15[[#This Row],[GRADED BAGS]]&gt;0,Table_15[[#This Row],[GRADED BAGS]],Table_15[[#This Row],[Bags]])</f>
        <v>0</v>
      </c>
    </row>
    <row r="238" spans="1:58" ht="14.25" hidden="1" customHeight="1" x14ac:dyDescent="0.35">
      <c r="A238" s="22">
        <v>236</v>
      </c>
      <c r="B238" s="22"/>
      <c r="C238" s="23"/>
      <c r="D238" s="23"/>
      <c r="E238" s="24"/>
      <c r="F238" s="23"/>
      <c r="G238" s="100"/>
      <c r="H238" s="101"/>
      <c r="I238" s="102"/>
      <c r="J238" s="102"/>
      <c r="K238" s="233"/>
      <c r="L238" s="22"/>
      <c r="M238" s="25">
        <f t="shared" si="16"/>
        <v>0</v>
      </c>
      <c r="N238" s="25">
        <f t="shared" si="17"/>
        <v>0</v>
      </c>
      <c r="O238" s="25">
        <f t="shared" si="18"/>
        <v>0</v>
      </c>
      <c r="P238" s="25">
        <f t="shared" si="19"/>
        <v>0</v>
      </c>
      <c r="Q238" s="22"/>
      <c r="R238" s="22"/>
      <c r="S238" s="22"/>
      <c r="T238" s="168"/>
      <c r="U238" s="171">
        <f t="shared" si="20"/>
        <v>0</v>
      </c>
      <c r="V238" s="169"/>
      <c r="W238" s="28"/>
      <c r="X238" s="25" t="str">
        <f>+IF(AND('GRADING PACKING'!L$5=INWARDDATA!J238,'GRADING PACKING'!L$6=INWARDDATA!I238,AB238=0),"TRUE","FALSE")</f>
        <v>FALSE</v>
      </c>
      <c r="Y238" s="29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1"/>
      <c r="AK238" s="31"/>
      <c r="AL238" s="31"/>
      <c r="AM238" s="31"/>
      <c r="AN238" s="32" t="str">
        <f>+IF(AND('GRADING PACKING'!L$5=INWARDDATA!J238,'GRADING PACKING'!L$6=INWARDDATA!I238,AR238=0),"good","bad")</f>
        <v>bad</v>
      </c>
      <c r="AO238" s="33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86"/>
      <c r="BC238" s="86"/>
      <c r="BD238" s="97">
        <f>Table_15[[#This Row],[Wgt-Bag]]-Table_15[[#This Row],[Total Graded]]-Table_15[[#This Row],[UNDERSIZE]]+0.0011</f>
        <v>1.1000000000000001E-3</v>
      </c>
      <c r="BE238" s="86">
        <f>Table_15[[#This Row],[Total Graded]]-Table_15[[#This Row],[Packing Quantity]]+Table_15[[#This Row],[PACKING LOOSE]]</f>
        <v>0</v>
      </c>
      <c r="BF238" s="34">
        <f>IF(Table_15[[#This Row],[GRADED BAGS]]&gt;0,Table_15[[#This Row],[GRADED BAGS]],Table_15[[#This Row],[Bags]])</f>
        <v>0</v>
      </c>
    </row>
    <row r="239" spans="1:58" ht="14.25" hidden="1" customHeight="1" x14ac:dyDescent="0.35">
      <c r="A239" s="22">
        <v>237</v>
      </c>
      <c r="B239" s="22"/>
      <c r="C239" s="23"/>
      <c r="D239" s="23"/>
      <c r="E239" s="24"/>
      <c r="F239" s="23"/>
      <c r="G239" s="100"/>
      <c r="H239" s="101"/>
      <c r="I239" s="102"/>
      <c r="J239" s="102"/>
      <c r="K239" s="233"/>
      <c r="L239" s="22"/>
      <c r="M239" s="25">
        <f t="shared" si="16"/>
        <v>0</v>
      </c>
      <c r="N239" s="25">
        <f t="shared" si="17"/>
        <v>0</v>
      </c>
      <c r="O239" s="25">
        <f t="shared" si="18"/>
        <v>0</v>
      </c>
      <c r="P239" s="25">
        <f t="shared" si="19"/>
        <v>0</v>
      </c>
      <c r="Q239" s="22"/>
      <c r="R239" s="22"/>
      <c r="S239" s="22"/>
      <c r="T239" s="168"/>
      <c r="U239" s="171">
        <f t="shared" si="20"/>
        <v>0</v>
      </c>
      <c r="V239" s="169"/>
      <c r="W239" s="28"/>
      <c r="X239" s="25" t="str">
        <f>+IF(AND('GRADING PACKING'!L$5=INWARDDATA!J239,'GRADING PACKING'!L$6=INWARDDATA!I239,AB239=0),"TRUE","FALSE")</f>
        <v>FALSE</v>
      </c>
      <c r="Y239" s="29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1"/>
      <c r="AK239" s="31"/>
      <c r="AL239" s="31"/>
      <c r="AM239" s="31"/>
      <c r="AN239" s="32" t="str">
        <f>+IF(AND('GRADING PACKING'!L$5=INWARDDATA!J239,'GRADING PACKING'!L$6=INWARDDATA!I239,AR239=0),"good","bad")</f>
        <v>bad</v>
      </c>
      <c r="AO239" s="33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86"/>
      <c r="BC239" s="86"/>
      <c r="BD239" s="97">
        <f>Table_15[[#This Row],[Wgt-Bag]]-Table_15[[#This Row],[Total Graded]]-Table_15[[#This Row],[UNDERSIZE]]+0.0011</f>
        <v>1.1000000000000001E-3</v>
      </c>
      <c r="BE239" s="86">
        <f>Table_15[[#This Row],[Total Graded]]-Table_15[[#This Row],[Packing Quantity]]+Table_15[[#This Row],[PACKING LOOSE]]</f>
        <v>0</v>
      </c>
      <c r="BF239" s="34">
        <f>IF(Table_15[[#This Row],[GRADED BAGS]]&gt;0,Table_15[[#This Row],[GRADED BAGS]],Table_15[[#This Row],[Bags]])</f>
        <v>0</v>
      </c>
    </row>
    <row r="240" spans="1:58" ht="14.25" hidden="1" customHeight="1" x14ac:dyDescent="0.35">
      <c r="A240" s="22">
        <v>238</v>
      </c>
      <c r="B240" s="22"/>
      <c r="C240" s="23"/>
      <c r="D240" s="23"/>
      <c r="E240" s="24"/>
      <c r="F240" s="23"/>
      <c r="G240" s="100"/>
      <c r="H240" s="101"/>
      <c r="I240" s="102"/>
      <c r="J240" s="102"/>
      <c r="K240" s="233"/>
      <c r="L240" s="22"/>
      <c r="M240" s="25">
        <f t="shared" si="16"/>
        <v>0</v>
      </c>
      <c r="N240" s="25">
        <f t="shared" si="17"/>
        <v>0</v>
      </c>
      <c r="O240" s="25">
        <f t="shared" si="18"/>
        <v>0</v>
      </c>
      <c r="P240" s="25">
        <f t="shared" si="19"/>
        <v>0</v>
      </c>
      <c r="Q240" s="22"/>
      <c r="R240" s="22"/>
      <c r="S240" s="22"/>
      <c r="T240" s="168"/>
      <c r="U240" s="171">
        <f t="shared" si="20"/>
        <v>0</v>
      </c>
      <c r="V240" s="169"/>
      <c r="W240" s="28"/>
      <c r="X240" s="25" t="str">
        <f>+IF(AND('GRADING PACKING'!L$5=INWARDDATA!J240,'GRADING PACKING'!L$6=INWARDDATA!I240,AB240=0),"TRUE","FALSE")</f>
        <v>FALSE</v>
      </c>
      <c r="Y240" s="29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1"/>
      <c r="AK240" s="31"/>
      <c r="AL240" s="31"/>
      <c r="AM240" s="31"/>
      <c r="AN240" s="32" t="str">
        <f>+IF(AND('GRADING PACKING'!L$5=INWARDDATA!J240,'GRADING PACKING'!L$6=INWARDDATA!I240,AR240=0),"good","bad")</f>
        <v>bad</v>
      </c>
      <c r="AO240" s="33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86"/>
      <c r="BC240" s="86"/>
      <c r="BD240" s="97">
        <f>Table_15[[#This Row],[Wgt-Bag]]-Table_15[[#This Row],[Total Graded]]-Table_15[[#This Row],[UNDERSIZE]]+0.0011</f>
        <v>1.1000000000000001E-3</v>
      </c>
      <c r="BE240" s="86">
        <f>Table_15[[#This Row],[Total Graded]]-Table_15[[#This Row],[Packing Quantity]]+Table_15[[#This Row],[PACKING LOOSE]]</f>
        <v>0</v>
      </c>
      <c r="BF240" s="34">
        <f>IF(Table_15[[#This Row],[GRADED BAGS]]&gt;0,Table_15[[#This Row],[GRADED BAGS]],Table_15[[#This Row],[Bags]])</f>
        <v>0</v>
      </c>
    </row>
    <row r="241" spans="1:58" ht="14.25" hidden="1" customHeight="1" x14ac:dyDescent="0.35">
      <c r="A241" s="22">
        <v>239</v>
      </c>
      <c r="B241" s="22"/>
      <c r="C241" s="23"/>
      <c r="D241" s="23"/>
      <c r="E241" s="24"/>
      <c r="F241" s="23"/>
      <c r="G241" s="100"/>
      <c r="H241" s="101"/>
      <c r="I241" s="102"/>
      <c r="J241" s="102"/>
      <c r="K241" s="233"/>
      <c r="L241" s="22"/>
      <c r="M241" s="25">
        <f t="shared" si="16"/>
        <v>0</v>
      </c>
      <c r="N241" s="25">
        <f t="shared" si="17"/>
        <v>0</v>
      </c>
      <c r="O241" s="25">
        <f t="shared" si="18"/>
        <v>0</v>
      </c>
      <c r="P241" s="25">
        <f t="shared" si="19"/>
        <v>0</v>
      </c>
      <c r="Q241" s="22"/>
      <c r="R241" s="22"/>
      <c r="S241" s="22"/>
      <c r="T241" s="168"/>
      <c r="U241" s="171">
        <f t="shared" si="20"/>
        <v>0</v>
      </c>
      <c r="V241" s="169"/>
      <c r="W241" s="28"/>
      <c r="X241" s="25" t="str">
        <f>+IF(AND('GRADING PACKING'!L$5=INWARDDATA!J241,'GRADING PACKING'!L$6=INWARDDATA!I241,AB241=0),"TRUE","FALSE")</f>
        <v>FALSE</v>
      </c>
      <c r="Y241" s="29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1"/>
      <c r="AK241" s="31"/>
      <c r="AL241" s="31"/>
      <c r="AM241" s="31"/>
      <c r="AN241" s="32" t="str">
        <f>+IF(AND('GRADING PACKING'!L$5=INWARDDATA!J241,'GRADING PACKING'!L$6=INWARDDATA!I241,AR241=0),"good","bad")</f>
        <v>bad</v>
      </c>
      <c r="AO241" s="33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86"/>
      <c r="BC241" s="86"/>
      <c r="BD241" s="97">
        <f>Table_15[[#This Row],[Wgt-Bag]]-Table_15[[#This Row],[Total Graded]]-Table_15[[#This Row],[UNDERSIZE]]+0.0011</f>
        <v>1.1000000000000001E-3</v>
      </c>
      <c r="BE241" s="86">
        <f>Table_15[[#This Row],[Total Graded]]-Table_15[[#This Row],[Packing Quantity]]+Table_15[[#This Row],[PACKING LOOSE]]</f>
        <v>0</v>
      </c>
      <c r="BF241" s="34">
        <f>IF(Table_15[[#This Row],[GRADED BAGS]]&gt;0,Table_15[[#This Row],[GRADED BAGS]],Table_15[[#This Row],[Bags]])</f>
        <v>0</v>
      </c>
    </row>
    <row r="242" spans="1:58" ht="14.25" hidden="1" customHeight="1" x14ac:dyDescent="0.35">
      <c r="A242" s="22">
        <v>240</v>
      </c>
      <c r="B242" s="22"/>
      <c r="C242" s="23"/>
      <c r="D242" s="23"/>
      <c r="E242" s="24"/>
      <c r="F242" s="23"/>
      <c r="G242" s="100"/>
      <c r="H242" s="101"/>
      <c r="I242" s="102"/>
      <c r="J242" s="102"/>
      <c r="K242" s="233"/>
      <c r="L242" s="22"/>
      <c r="M242" s="25">
        <f t="shared" si="16"/>
        <v>0</v>
      </c>
      <c r="N242" s="25">
        <f t="shared" si="17"/>
        <v>0</v>
      </c>
      <c r="O242" s="25">
        <f t="shared" si="18"/>
        <v>0</v>
      </c>
      <c r="P242" s="25">
        <f t="shared" si="19"/>
        <v>0</v>
      </c>
      <c r="Q242" s="22"/>
      <c r="R242" s="22"/>
      <c r="S242" s="22"/>
      <c r="T242" s="168"/>
      <c r="U242" s="171">
        <f t="shared" si="20"/>
        <v>0</v>
      </c>
      <c r="V242" s="169"/>
      <c r="W242" s="28"/>
      <c r="X242" s="25" t="str">
        <f>+IF(AND('GRADING PACKING'!L$5=INWARDDATA!J242,'GRADING PACKING'!L$6=INWARDDATA!I242,AB242=0),"TRUE","FALSE")</f>
        <v>FALSE</v>
      </c>
      <c r="Y242" s="29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1"/>
      <c r="AK242" s="31"/>
      <c r="AL242" s="31"/>
      <c r="AM242" s="31"/>
      <c r="AN242" s="32" t="str">
        <f>+IF(AND('GRADING PACKING'!L$5=INWARDDATA!J242,'GRADING PACKING'!L$6=INWARDDATA!I242,AR242=0),"good","bad")</f>
        <v>bad</v>
      </c>
      <c r="AO242" s="33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86"/>
      <c r="BC242" s="86"/>
      <c r="BD242" s="97">
        <f>Table_15[[#This Row],[Wgt-Bag]]-Table_15[[#This Row],[Total Graded]]-Table_15[[#This Row],[UNDERSIZE]]+0.0011</f>
        <v>1.1000000000000001E-3</v>
      </c>
      <c r="BE242" s="86">
        <f>Table_15[[#This Row],[Total Graded]]-Table_15[[#This Row],[Packing Quantity]]+Table_15[[#This Row],[PACKING LOOSE]]</f>
        <v>0</v>
      </c>
      <c r="BF242" s="34">
        <f>IF(Table_15[[#This Row],[GRADED BAGS]]&gt;0,Table_15[[#This Row],[GRADED BAGS]],Table_15[[#This Row],[Bags]])</f>
        <v>0</v>
      </c>
    </row>
    <row r="243" spans="1:58" ht="14.25" hidden="1" customHeight="1" x14ac:dyDescent="0.35">
      <c r="A243" s="22">
        <v>241</v>
      </c>
      <c r="B243" s="22"/>
      <c r="C243" s="23"/>
      <c r="D243" s="23"/>
      <c r="E243" s="24"/>
      <c r="F243" s="23"/>
      <c r="G243" s="100"/>
      <c r="H243" s="101"/>
      <c r="I243" s="102"/>
      <c r="J243" s="102"/>
      <c r="K243" s="233"/>
      <c r="L243" s="22"/>
      <c r="M243" s="25">
        <f t="shared" si="16"/>
        <v>0</v>
      </c>
      <c r="N243" s="25">
        <f t="shared" si="17"/>
        <v>0</v>
      </c>
      <c r="O243" s="25">
        <f t="shared" si="18"/>
        <v>0</v>
      </c>
      <c r="P243" s="25">
        <f t="shared" si="19"/>
        <v>0</v>
      </c>
      <c r="Q243" s="22"/>
      <c r="R243" s="22"/>
      <c r="S243" s="22"/>
      <c r="T243" s="168"/>
      <c r="U243" s="171">
        <f t="shared" si="20"/>
        <v>0</v>
      </c>
      <c r="V243" s="169"/>
      <c r="W243" s="28"/>
      <c r="X243" s="25" t="str">
        <f>+IF(AND('GRADING PACKING'!L$5=INWARDDATA!J243,'GRADING PACKING'!L$6=INWARDDATA!I243,AB243=0),"TRUE","FALSE")</f>
        <v>FALSE</v>
      </c>
      <c r="Y243" s="29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1"/>
      <c r="AK243" s="31"/>
      <c r="AL243" s="31"/>
      <c r="AM243" s="31"/>
      <c r="AN243" s="32" t="str">
        <f>+IF(AND('GRADING PACKING'!L$5=INWARDDATA!J243,'GRADING PACKING'!L$6=INWARDDATA!I243,AR243=0),"good","bad")</f>
        <v>bad</v>
      </c>
      <c r="AO243" s="33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86"/>
      <c r="BC243" s="86"/>
      <c r="BD243" s="97">
        <f>Table_15[[#This Row],[Wgt-Bag]]-Table_15[[#This Row],[Total Graded]]-Table_15[[#This Row],[UNDERSIZE]]+0.0011</f>
        <v>1.1000000000000001E-3</v>
      </c>
      <c r="BE243" s="86">
        <f>Table_15[[#This Row],[Total Graded]]-Table_15[[#This Row],[Packing Quantity]]+Table_15[[#This Row],[PACKING LOOSE]]</f>
        <v>0</v>
      </c>
      <c r="BF243" s="34">
        <f>IF(Table_15[[#This Row],[GRADED BAGS]]&gt;0,Table_15[[#This Row],[GRADED BAGS]],Table_15[[#This Row],[Bags]])</f>
        <v>0</v>
      </c>
    </row>
    <row r="244" spans="1:58" ht="14.25" hidden="1" customHeight="1" x14ac:dyDescent="0.35">
      <c r="A244" s="22">
        <v>242</v>
      </c>
      <c r="B244" s="22"/>
      <c r="C244" s="23"/>
      <c r="D244" s="23"/>
      <c r="E244" s="24"/>
      <c r="F244" s="23"/>
      <c r="G244" s="100"/>
      <c r="H244" s="101"/>
      <c r="I244" s="102"/>
      <c r="J244" s="102"/>
      <c r="K244" s="233"/>
      <c r="L244" s="22"/>
      <c r="M244" s="25">
        <f t="shared" si="16"/>
        <v>0</v>
      </c>
      <c r="N244" s="25">
        <f t="shared" si="17"/>
        <v>0</v>
      </c>
      <c r="O244" s="25">
        <f t="shared" si="18"/>
        <v>0</v>
      </c>
      <c r="P244" s="25">
        <f t="shared" si="19"/>
        <v>0</v>
      </c>
      <c r="Q244" s="22"/>
      <c r="R244" s="22"/>
      <c r="S244" s="22"/>
      <c r="T244" s="168"/>
      <c r="U244" s="171">
        <f t="shared" si="20"/>
        <v>0</v>
      </c>
      <c r="V244" s="169"/>
      <c r="W244" s="28"/>
      <c r="X244" s="25" t="str">
        <f>+IF(AND('GRADING PACKING'!L$5=INWARDDATA!J244,'GRADING PACKING'!L$6=INWARDDATA!I244,AB244=0),"TRUE","FALSE")</f>
        <v>FALSE</v>
      </c>
      <c r="Y244" s="29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1"/>
      <c r="AK244" s="31"/>
      <c r="AL244" s="31"/>
      <c r="AM244" s="31"/>
      <c r="AN244" s="32" t="str">
        <f>+IF(AND('GRADING PACKING'!L$5=INWARDDATA!J244,'GRADING PACKING'!L$6=INWARDDATA!I244,AR244=0),"good","bad")</f>
        <v>bad</v>
      </c>
      <c r="AO244" s="33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86"/>
      <c r="BC244" s="86"/>
      <c r="BD244" s="97">
        <f>Table_15[[#This Row],[Wgt-Bag]]-Table_15[[#This Row],[Total Graded]]-Table_15[[#This Row],[UNDERSIZE]]+0.0011</f>
        <v>1.1000000000000001E-3</v>
      </c>
      <c r="BE244" s="86">
        <f>Table_15[[#This Row],[Total Graded]]-Table_15[[#This Row],[Packing Quantity]]+Table_15[[#This Row],[PACKING LOOSE]]</f>
        <v>0</v>
      </c>
      <c r="BF244" s="34">
        <f>IF(Table_15[[#This Row],[GRADED BAGS]]&gt;0,Table_15[[#This Row],[GRADED BAGS]],Table_15[[#This Row],[Bags]])</f>
        <v>0</v>
      </c>
    </row>
    <row r="245" spans="1:58" ht="14.25" hidden="1" customHeight="1" x14ac:dyDescent="0.35">
      <c r="A245" s="22">
        <v>243</v>
      </c>
      <c r="B245" s="22"/>
      <c r="C245" s="23"/>
      <c r="D245" s="23"/>
      <c r="E245" s="24"/>
      <c r="F245" s="23"/>
      <c r="G245" s="100"/>
      <c r="H245" s="101"/>
      <c r="I245" s="102"/>
      <c r="J245" s="102"/>
      <c r="K245" s="233"/>
      <c r="L245" s="22"/>
      <c r="M245" s="25">
        <f t="shared" si="16"/>
        <v>0</v>
      </c>
      <c r="N245" s="25">
        <f t="shared" si="17"/>
        <v>0</v>
      </c>
      <c r="O245" s="25">
        <f t="shared" si="18"/>
        <v>0</v>
      </c>
      <c r="P245" s="25">
        <f t="shared" si="19"/>
        <v>0</v>
      </c>
      <c r="Q245" s="22"/>
      <c r="R245" s="22"/>
      <c r="S245" s="22"/>
      <c r="T245" s="168"/>
      <c r="U245" s="171">
        <f t="shared" si="20"/>
        <v>0</v>
      </c>
      <c r="V245" s="169"/>
      <c r="W245" s="28"/>
      <c r="X245" s="25" t="str">
        <f>+IF(AND('GRADING PACKING'!L$5=INWARDDATA!J245,'GRADING PACKING'!L$6=INWARDDATA!I245,AB245=0),"TRUE","FALSE")</f>
        <v>FALSE</v>
      </c>
      <c r="Y245" s="29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1"/>
      <c r="AK245" s="31"/>
      <c r="AL245" s="31"/>
      <c r="AM245" s="31"/>
      <c r="AN245" s="32" t="str">
        <f>+IF(AND('GRADING PACKING'!L$5=INWARDDATA!J245,'GRADING PACKING'!L$6=INWARDDATA!I245,AR245=0),"good","bad")</f>
        <v>bad</v>
      </c>
      <c r="AO245" s="33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86"/>
      <c r="BC245" s="86"/>
      <c r="BD245" s="97">
        <f>Table_15[[#This Row],[Wgt-Bag]]-Table_15[[#This Row],[Total Graded]]-Table_15[[#This Row],[UNDERSIZE]]+0.0011</f>
        <v>1.1000000000000001E-3</v>
      </c>
      <c r="BE245" s="86">
        <f>Table_15[[#This Row],[Total Graded]]-Table_15[[#This Row],[Packing Quantity]]+Table_15[[#This Row],[PACKING LOOSE]]</f>
        <v>0</v>
      </c>
      <c r="BF245" s="34">
        <f>IF(Table_15[[#This Row],[GRADED BAGS]]&gt;0,Table_15[[#This Row],[GRADED BAGS]],Table_15[[#This Row],[Bags]])</f>
        <v>0</v>
      </c>
    </row>
    <row r="246" spans="1:58" ht="14.25" hidden="1" customHeight="1" x14ac:dyDescent="0.35">
      <c r="A246" s="22">
        <v>244</v>
      </c>
      <c r="B246" s="22"/>
      <c r="C246" s="23"/>
      <c r="D246" s="23"/>
      <c r="E246" s="24"/>
      <c r="F246" s="23"/>
      <c r="G246" s="100"/>
      <c r="H246" s="101"/>
      <c r="I246" s="102"/>
      <c r="J246" s="102"/>
      <c r="K246" s="233"/>
      <c r="L246" s="22"/>
      <c r="M246" s="25">
        <f t="shared" si="16"/>
        <v>0</v>
      </c>
      <c r="N246" s="25">
        <f t="shared" si="17"/>
        <v>0</v>
      </c>
      <c r="O246" s="25">
        <f t="shared" si="18"/>
        <v>0</v>
      </c>
      <c r="P246" s="25">
        <f t="shared" si="19"/>
        <v>0</v>
      </c>
      <c r="Q246" s="22"/>
      <c r="R246" s="22"/>
      <c r="S246" s="22"/>
      <c r="T246" s="168"/>
      <c r="U246" s="171">
        <f t="shared" si="20"/>
        <v>0</v>
      </c>
      <c r="V246" s="169"/>
      <c r="W246" s="28"/>
      <c r="X246" s="25" t="str">
        <f>+IF(AND('GRADING PACKING'!L$5=INWARDDATA!J246,'GRADING PACKING'!L$6=INWARDDATA!I246,AB246=0),"TRUE","FALSE")</f>
        <v>FALSE</v>
      </c>
      <c r="Y246" s="29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1"/>
      <c r="AK246" s="31"/>
      <c r="AL246" s="31"/>
      <c r="AM246" s="31"/>
      <c r="AN246" s="32" t="str">
        <f>+IF(AND('GRADING PACKING'!L$5=INWARDDATA!J246,'GRADING PACKING'!L$6=INWARDDATA!I246,AR246=0),"good","bad")</f>
        <v>bad</v>
      </c>
      <c r="AO246" s="33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86"/>
      <c r="BC246" s="86"/>
      <c r="BD246" s="97">
        <f>Table_15[[#This Row],[Wgt-Bag]]-Table_15[[#This Row],[Total Graded]]-Table_15[[#This Row],[UNDERSIZE]]+0.0011</f>
        <v>1.1000000000000001E-3</v>
      </c>
      <c r="BE246" s="86">
        <f>Table_15[[#This Row],[Total Graded]]-Table_15[[#This Row],[Packing Quantity]]+Table_15[[#This Row],[PACKING LOOSE]]</f>
        <v>0</v>
      </c>
      <c r="BF246" s="34">
        <f>IF(Table_15[[#This Row],[GRADED BAGS]]&gt;0,Table_15[[#This Row],[GRADED BAGS]],Table_15[[#This Row],[Bags]])</f>
        <v>0</v>
      </c>
    </row>
    <row r="247" spans="1:58" ht="14.25" hidden="1" customHeight="1" x14ac:dyDescent="0.35">
      <c r="A247" s="22">
        <v>245</v>
      </c>
      <c r="B247" s="22"/>
      <c r="C247" s="23"/>
      <c r="D247" s="23"/>
      <c r="E247" s="24"/>
      <c r="F247" s="23"/>
      <c r="G247" s="100"/>
      <c r="H247" s="101"/>
      <c r="I247" s="102"/>
      <c r="J247" s="102"/>
      <c r="K247" s="233"/>
      <c r="L247" s="22"/>
      <c r="M247" s="25">
        <f t="shared" si="16"/>
        <v>0</v>
      </c>
      <c r="N247" s="25">
        <f t="shared" si="17"/>
        <v>0</v>
      </c>
      <c r="O247" s="25">
        <f t="shared" si="18"/>
        <v>0</v>
      </c>
      <c r="P247" s="25">
        <f t="shared" si="19"/>
        <v>0</v>
      </c>
      <c r="Q247" s="22"/>
      <c r="R247" s="22"/>
      <c r="S247" s="22"/>
      <c r="T247" s="168"/>
      <c r="U247" s="171">
        <f t="shared" si="20"/>
        <v>0</v>
      </c>
      <c r="V247" s="169"/>
      <c r="W247" s="28"/>
      <c r="X247" s="25" t="str">
        <f>+IF(AND('GRADING PACKING'!L$5=INWARDDATA!J247,'GRADING PACKING'!L$6=INWARDDATA!I247,AB247=0),"TRUE","FALSE")</f>
        <v>FALSE</v>
      </c>
      <c r="Y247" s="29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1"/>
      <c r="AK247" s="31"/>
      <c r="AL247" s="31"/>
      <c r="AM247" s="31"/>
      <c r="AN247" s="32" t="str">
        <f>+IF(AND('GRADING PACKING'!L$5=INWARDDATA!J247,'GRADING PACKING'!L$6=INWARDDATA!I247,AR247=0),"good","bad")</f>
        <v>bad</v>
      </c>
      <c r="AO247" s="33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86"/>
      <c r="BC247" s="86"/>
      <c r="BD247" s="97">
        <f>Table_15[[#This Row],[Wgt-Bag]]-Table_15[[#This Row],[Total Graded]]-Table_15[[#This Row],[UNDERSIZE]]+0.0011</f>
        <v>1.1000000000000001E-3</v>
      </c>
      <c r="BE247" s="86">
        <f>Table_15[[#This Row],[Total Graded]]-Table_15[[#This Row],[Packing Quantity]]+Table_15[[#This Row],[PACKING LOOSE]]</f>
        <v>0</v>
      </c>
      <c r="BF247" s="34">
        <f>IF(Table_15[[#This Row],[GRADED BAGS]]&gt;0,Table_15[[#This Row],[GRADED BAGS]],Table_15[[#This Row],[Bags]])</f>
        <v>0</v>
      </c>
    </row>
    <row r="248" spans="1:58" ht="14.25" hidden="1" customHeight="1" x14ac:dyDescent="0.35">
      <c r="A248" s="22">
        <v>246</v>
      </c>
      <c r="B248" s="22"/>
      <c r="C248" s="23"/>
      <c r="D248" s="23"/>
      <c r="E248" s="24"/>
      <c r="F248" s="23"/>
      <c r="G248" s="100"/>
      <c r="H248" s="101"/>
      <c r="I248" s="102"/>
      <c r="J248" s="102"/>
      <c r="K248" s="233"/>
      <c r="L248" s="22"/>
      <c r="M248" s="25">
        <f t="shared" si="16"/>
        <v>0</v>
      </c>
      <c r="N248" s="25">
        <f t="shared" si="17"/>
        <v>0</v>
      </c>
      <c r="O248" s="25">
        <f t="shared" si="18"/>
        <v>0</v>
      </c>
      <c r="P248" s="25">
        <f t="shared" si="19"/>
        <v>0</v>
      </c>
      <c r="Q248" s="22"/>
      <c r="R248" s="22"/>
      <c r="S248" s="22"/>
      <c r="T248" s="168"/>
      <c r="U248" s="171">
        <f t="shared" si="20"/>
        <v>0</v>
      </c>
      <c r="V248" s="169"/>
      <c r="W248" s="28"/>
      <c r="X248" s="25" t="str">
        <f>+IF(AND('GRADING PACKING'!L$5=INWARDDATA!J248,'GRADING PACKING'!L$6=INWARDDATA!I248,AB248=0),"TRUE","FALSE")</f>
        <v>FALSE</v>
      </c>
      <c r="Y248" s="29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1"/>
      <c r="AK248" s="31"/>
      <c r="AL248" s="31"/>
      <c r="AM248" s="31"/>
      <c r="AN248" s="32" t="str">
        <f>+IF(AND('GRADING PACKING'!L$5=INWARDDATA!J248,'GRADING PACKING'!L$6=INWARDDATA!I248,AR248=0),"good","bad")</f>
        <v>bad</v>
      </c>
      <c r="AO248" s="33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86"/>
      <c r="BC248" s="86"/>
      <c r="BD248" s="97">
        <f>Table_15[[#This Row],[Wgt-Bag]]-Table_15[[#This Row],[Total Graded]]-Table_15[[#This Row],[UNDERSIZE]]+0.0011</f>
        <v>1.1000000000000001E-3</v>
      </c>
      <c r="BE248" s="86">
        <f>Table_15[[#This Row],[Total Graded]]-Table_15[[#This Row],[Packing Quantity]]+Table_15[[#This Row],[PACKING LOOSE]]</f>
        <v>0</v>
      </c>
      <c r="BF248" s="34">
        <f>IF(Table_15[[#This Row],[GRADED BAGS]]&gt;0,Table_15[[#This Row],[GRADED BAGS]],Table_15[[#This Row],[Bags]])</f>
        <v>0</v>
      </c>
    </row>
    <row r="249" spans="1:58" ht="14.25" hidden="1" customHeight="1" x14ac:dyDescent="0.35">
      <c r="A249" s="22">
        <v>247</v>
      </c>
      <c r="B249" s="22"/>
      <c r="C249" s="23"/>
      <c r="D249" s="23"/>
      <c r="E249" s="24"/>
      <c r="F249" s="23"/>
      <c r="G249" s="100"/>
      <c r="H249" s="101"/>
      <c r="I249" s="102"/>
      <c r="J249" s="102"/>
      <c r="K249" s="233"/>
      <c r="L249" s="22"/>
      <c r="M249" s="25">
        <f t="shared" si="16"/>
        <v>0</v>
      </c>
      <c r="N249" s="25">
        <f t="shared" si="17"/>
        <v>0</v>
      </c>
      <c r="O249" s="25">
        <f t="shared" si="18"/>
        <v>0</v>
      </c>
      <c r="P249" s="25">
        <f t="shared" si="19"/>
        <v>0</v>
      </c>
      <c r="Q249" s="22"/>
      <c r="R249" s="22"/>
      <c r="S249" s="22"/>
      <c r="T249" s="168"/>
      <c r="U249" s="171">
        <f t="shared" si="20"/>
        <v>0</v>
      </c>
      <c r="V249" s="169"/>
      <c r="W249" s="28"/>
      <c r="X249" s="25" t="str">
        <f>+IF(AND('GRADING PACKING'!L$5=INWARDDATA!J249,'GRADING PACKING'!L$6=INWARDDATA!I249,AB249=0),"TRUE","FALSE")</f>
        <v>FALSE</v>
      </c>
      <c r="Y249" s="29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1"/>
      <c r="AK249" s="31"/>
      <c r="AL249" s="31"/>
      <c r="AM249" s="31"/>
      <c r="AN249" s="32" t="str">
        <f>+IF(AND('GRADING PACKING'!L$5=INWARDDATA!J249,'GRADING PACKING'!L$6=INWARDDATA!I249,AR249=0),"good","bad")</f>
        <v>bad</v>
      </c>
      <c r="AO249" s="33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86"/>
      <c r="BC249" s="86"/>
      <c r="BD249" s="97">
        <f>Table_15[[#This Row],[Wgt-Bag]]-Table_15[[#This Row],[Total Graded]]-Table_15[[#This Row],[UNDERSIZE]]+0.0011</f>
        <v>1.1000000000000001E-3</v>
      </c>
      <c r="BE249" s="86">
        <f>Table_15[[#This Row],[Total Graded]]-Table_15[[#This Row],[Packing Quantity]]+Table_15[[#This Row],[PACKING LOOSE]]</f>
        <v>0</v>
      </c>
      <c r="BF249" s="34">
        <f>IF(Table_15[[#This Row],[GRADED BAGS]]&gt;0,Table_15[[#This Row],[GRADED BAGS]],Table_15[[#This Row],[Bags]])</f>
        <v>0</v>
      </c>
    </row>
    <row r="250" spans="1:58" ht="14.25" hidden="1" customHeight="1" x14ac:dyDescent="0.35">
      <c r="A250" s="22">
        <v>248</v>
      </c>
      <c r="B250" s="22"/>
      <c r="C250" s="23"/>
      <c r="D250" s="23"/>
      <c r="E250" s="24"/>
      <c r="F250" s="23"/>
      <c r="G250" s="100"/>
      <c r="H250" s="101"/>
      <c r="I250" s="102"/>
      <c r="J250" s="102"/>
      <c r="K250" s="233"/>
      <c r="L250" s="22"/>
      <c r="M250" s="25">
        <f t="shared" si="16"/>
        <v>0</v>
      </c>
      <c r="N250" s="25">
        <f t="shared" si="17"/>
        <v>0</v>
      </c>
      <c r="O250" s="25">
        <f t="shared" si="18"/>
        <v>0</v>
      </c>
      <c r="P250" s="25">
        <f t="shared" si="19"/>
        <v>0</v>
      </c>
      <c r="Q250" s="22"/>
      <c r="R250" s="22"/>
      <c r="S250" s="22"/>
      <c r="T250" s="168"/>
      <c r="U250" s="171">
        <f t="shared" si="20"/>
        <v>0</v>
      </c>
      <c r="V250" s="169"/>
      <c r="W250" s="28"/>
      <c r="X250" s="25" t="str">
        <f>+IF(AND('GRADING PACKING'!L$5=INWARDDATA!J250,'GRADING PACKING'!L$6=INWARDDATA!I250,AB250=0),"TRUE","FALSE")</f>
        <v>FALSE</v>
      </c>
      <c r="Y250" s="29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1"/>
      <c r="AK250" s="31"/>
      <c r="AL250" s="31"/>
      <c r="AM250" s="31"/>
      <c r="AN250" s="32" t="str">
        <f>+IF(AND('GRADING PACKING'!L$5=INWARDDATA!J250,'GRADING PACKING'!L$6=INWARDDATA!I250,AR250=0),"good","bad")</f>
        <v>bad</v>
      </c>
      <c r="AO250" s="33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86"/>
      <c r="BC250" s="86"/>
      <c r="BD250" s="97">
        <f>Table_15[[#This Row],[Wgt-Bag]]-Table_15[[#This Row],[Total Graded]]-Table_15[[#This Row],[UNDERSIZE]]+0.0011</f>
        <v>1.1000000000000001E-3</v>
      </c>
      <c r="BE250" s="86">
        <f>Table_15[[#This Row],[Total Graded]]-Table_15[[#This Row],[Packing Quantity]]+Table_15[[#This Row],[PACKING LOOSE]]</f>
        <v>0</v>
      </c>
      <c r="BF250" s="34">
        <f>IF(Table_15[[#This Row],[GRADED BAGS]]&gt;0,Table_15[[#This Row],[GRADED BAGS]],Table_15[[#This Row],[Bags]])</f>
        <v>0</v>
      </c>
    </row>
    <row r="251" spans="1:58" ht="14.25" hidden="1" customHeight="1" x14ac:dyDescent="0.35">
      <c r="A251" s="22">
        <v>249</v>
      </c>
      <c r="B251" s="22"/>
      <c r="C251" s="23"/>
      <c r="D251" s="23"/>
      <c r="E251" s="24"/>
      <c r="F251" s="23"/>
      <c r="G251" s="100"/>
      <c r="H251" s="101"/>
      <c r="I251" s="102"/>
      <c r="J251" s="102"/>
      <c r="K251" s="233"/>
      <c r="L251" s="22"/>
      <c r="M251" s="25">
        <f t="shared" si="16"/>
        <v>0</v>
      </c>
      <c r="N251" s="25">
        <f t="shared" si="17"/>
        <v>0</v>
      </c>
      <c r="O251" s="25">
        <f t="shared" si="18"/>
        <v>0</v>
      </c>
      <c r="P251" s="25">
        <f t="shared" si="19"/>
        <v>0</v>
      </c>
      <c r="Q251" s="22"/>
      <c r="R251" s="22"/>
      <c r="S251" s="22"/>
      <c r="T251" s="168"/>
      <c r="U251" s="171">
        <f t="shared" si="20"/>
        <v>0</v>
      </c>
      <c r="V251" s="169"/>
      <c r="W251" s="28"/>
      <c r="X251" s="25" t="str">
        <f>+IF(AND('GRADING PACKING'!L$5=INWARDDATA!J251,'GRADING PACKING'!L$6=INWARDDATA!I251,AB251=0),"TRUE","FALSE")</f>
        <v>FALSE</v>
      </c>
      <c r="Y251" s="29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1"/>
      <c r="AK251" s="31"/>
      <c r="AL251" s="31"/>
      <c r="AM251" s="31"/>
      <c r="AN251" s="32" t="str">
        <f>+IF(AND('GRADING PACKING'!L$5=INWARDDATA!J251,'GRADING PACKING'!L$6=INWARDDATA!I251,AR251=0),"good","bad")</f>
        <v>bad</v>
      </c>
      <c r="AO251" s="33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86"/>
      <c r="BC251" s="86"/>
      <c r="BD251" s="97">
        <f>Table_15[[#This Row],[Wgt-Bag]]-Table_15[[#This Row],[Total Graded]]-Table_15[[#This Row],[UNDERSIZE]]+0.0011</f>
        <v>1.1000000000000001E-3</v>
      </c>
      <c r="BE251" s="86">
        <f>Table_15[[#This Row],[Total Graded]]-Table_15[[#This Row],[Packing Quantity]]+Table_15[[#This Row],[PACKING LOOSE]]</f>
        <v>0</v>
      </c>
      <c r="BF251" s="34">
        <f>IF(Table_15[[#This Row],[GRADED BAGS]]&gt;0,Table_15[[#This Row],[GRADED BAGS]],Table_15[[#This Row],[Bags]])</f>
        <v>0</v>
      </c>
    </row>
    <row r="252" spans="1:58" ht="14.25" hidden="1" customHeight="1" x14ac:dyDescent="0.35">
      <c r="A252" s="22">
        <v>250</v>
      </c>
      <c r="B252" s="22"/>
      <c r="C252" s="23"/>
      <c r="D252" s="23"/>
      <c r="E252" s="24"/>
      <c r="F252" s="23"/>
      <c r="G252" s="100"/>
      <c r="H252" s="101"/>
      <c r="I252" s="102"/>
      <c r="J252" s="102"/>
      <c r="K252" s="233"/>
      <c r="L252" s="22"/>
      <c r="M252" s="25">
        <f t="shared" si="16"/>
        <v>0</v>
      </c>
      <c r="N252" s="25">
        <f t="shared" si="17"/>
        <v>0</v>
      </c>
      <c r="O252" s="25">
        <f t="shared" si="18"/>
        <v>0</v>
      </c>
      <c r="P252" s="25">
        <f t="shared" si="19"/>
        <v>0</v>
      </c>
      <c r="Q252" s="22"/>
      <c r="R252" s="22"/>
      <c r="S252" s="22"/>
      <c r="T252" s="168"/>
      <c r="U252" s="171">
        <f t="shared" si="20"/>
        <v>0</v>
      </c>
      <c r="V252" s="169"/>
      <c r="W252" s="28"/>
      <c r="X252" s="25" t="str">
        <f>+IF(AND('GRADING PACKING'!L$5=INWARDDATA!J252,'GRADING PACKING'!L$6=INWARDDATA!I252,AB252=0),"TRUE","FALSE")</f>
        <v>FALSE</v>
      </c>
      <c r="Y252" s="29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1"/>
      <c r="AK252" s="31"/>
      <c r="AL252" s="31"/>
      <c r="AM252" s="31"/>
      <c r="AN252" s="32" t="str">
        <f>+IF(AND('GRADING PACKING'!L$5=INWARDDATA!J252,'GRADING PACKING'!L$6=INWARDDATA!I252,AR252=0),"good","bad")</f>
        <v>bad</v>
      </c>
      <c r="AO252" s="33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86"/>
      <c r="BC252" s="86"/>
      <c r="BD252" s="97">
        <f>Table_15[[#This Row],[Wgt-Bag]]-Table_15[[#This Row],[Total Graded]]-Table_15[[#This Row],[UNDERSIZE]]+0.0011</f>
        <v>1.1000000000000001E-3</v>
      </c>
      <c r="BE252" s="86">
        <f>Table_15[[#This Row],[Total Graded]]-Table_15[[#This Row],[Packing Quantity]]+Table_15[[#This Row],[PACKING LOOSE]]</f>
        <v>0</v>
      </c>
      <c r="BF252" s="34">
        <f>IF(Table_15[[#This Row],[GRADED BAGS]]&gt;0,Table_15[[#This Row],[GRADED BAGS]],Table_15[[#This Row],[Bags]])</f>
        <v>0</v>
      </c>
    </row>
    <row r="253" spans="1:58" ht="14.25" hidden="1" customHeight="1" x14ac:dyDescent="0.35">
      <c r="A253" s="22">
        <v>251</v>
      </c>
      <c r="B253" s="22"/>
      <c r="C253" s="23"/>
      <c r="D253" s="23"/>
      <c r="E253" s="24"/>
      <c r="F253" s="23"/>
      <c r="G253" s="100"/>
      <c r="H253" s="101"/>
      <c r="I253" s="102"/>
      <c r="J253" s="102"/>
      <c r="K253" s="233"/>
      <c r="L253" s="22"/>
      <c r="M253" s="25">
        <f t="shared" si="16"/>
        <v>0</v>
      </c>
      <c r="N253" s="25">
        <f t="shared" si="17"/>
        <v>0</v>
      </c>
      <c r="O253" s="25">
        <f t="shared" si="18"/>
        <v>0</v>
      </c>
      <c r="P253" s="25">
        <f t="shared" si="19"/>
        <v>0</v>
      </c>
      <c r="Q253" s="22"/>
      <c r="R253" s="22"/>
      <c r="S253" s="22"/>
      <c r="T253" s="168"/>
      <c r="U253" s="171">
        <f t="shared" si="20"/>
        <v>0</v>
      </c>
      <c r="V253" s="169"/>
      <c r="W253" s="28"/>
      <c r="X253" s="25" t="str">
        <f>+IF(AND('GRADING PACKING'!L$5=INWARDDATA!J253,'GRADING PACKING'!L$6=INWARDDATA!I253,AB253=0),"TRUE","FALSE")</f>
        <v>FALSE</v>
      </c>
      <c r="Y253" s="29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1"/>
      <c r="AK253" s="31"/>
      <c r="AL253" s="31"/>
      <c r="AM253" s="31"/>
      <c r="AN253" s="32" t="str">
        <f>+IF(AND('GRADING PACKING'!L$5=INWARDDATA!J253,'GRADING PACKING'!L$6=INWARDDATA!I253,AR253=0),"good","bad")</f>
        <v>bad</v>
      </c>
      <c r="AO253" s="33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86"/>
      <c r="BC253" s="86"/>
      <c r="BD253" s="97">
        <f>Table_15[[#This Row],[Wgt-Bag]]-Table_15[[#This Row],[Total Graded]]-Table_15[[#This Row],[UNDERSIZE]]+0.0011</f>
        <v>1.1000000000000001E-3</v>
      </c>
      <c r="BE253" s="86">
        <f>Table_15[[#This Row],[Total Graded]]-Table_15[[#This Row],[Packing Quantity]]+Table_15[[#This Row],[PACKING LOOSE]]</f>
        <v>0</v>
      </c>
      <c r="BF253" s="34">
        <f>IF(Table_15[[#This Row],[GRADED BAGS]]&gt;0,Table_15[[#This Row],[GRADED BAGS]],Table_15[[#This Row],[Bags]])</f>
        <v>0</v>
      </c>
    </row>
    <row r="254" spans="1:58" ht="14.25" hidden="1" customHeight="1" x14ac:dyDescent="0.35">
      <c r="A254" s="22">
        <v>252</v>
      </c>
      <c r="B254" s="22"/>
      <c r="C254" s="23"/>
      <c r="D254" s="23"/>
      <c r="E254" s="24"/>
      <c r="F254" s="23"/>
      <c r="G254" s="100"/>
      <c r="H254" s="101"/>
      <c r="I254" s="102"/>
      <c r="J254" s="102"/>
      <c r="K254" s="233"/>
      <c r="L254" s="22"/>
      <c r="M254" s="25">
        <f t="shared" si="16"/>
        <v>0</v>
      </c>
      <c r="N254" s="25">
        <f t="shared" si="17"/>
        <v>0</v>
      </c>
      <c r="O254" s="25">
        <f t="shared" si="18"/>
        <v>0</v>
      </c>
      <c r="P254" s="25">
        <f t="shared" si="19"/>
        <v>0</v>
      </c>
      <c r="Q254" s="22"/>
      <c r="R254" s="22"/>
      <c r="S254" s="22"/>
      <c r="T254" s="168"/>
      <c r="U254" s="171">
        <f t="shared" si="20"/>
        <v>0</v>
      </c>
      <c r="V254" s="169"/>
      <c r="W254" s="28"/>
      <c r="X254" s="25" t="str">
        <f>+IF(AND('GRADING PACKING'!L$5=INWARDDATA!J254,'GRADING PACKING'!L$6=INWARDDATA!I254,AB254=0),"TRUE","FALSE")</f>
        <v>FALSE</v>
      </c>
      <c r="Y254" s="29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1"/>
      <c r="AK254" s="31"/>
      <c r="AL254" s="31"/>
      <c r="AM254" s="31"/>
      <c r="AN254" s="32" t="str">
        <f>+IF(AND('GRADING PACKING'!L$5=INWARDDATA!J254,'GRADING PACKING'!L$6=INWARDDATA!I254,AR254=0),"good","bad")</f>
        <v>bad</v>
      </c>
      <c r="AO254" s="33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86"/>
      <c r="BC254" s="86"/>
      <c r="BD254" s="97">
        <f>Table_15[[#This Row],[Wgt-Bag]]-Table_15[[#This Row],[Total Graded]]-Table_15[[#This Row],[UNDERSIZE]]+0.0011</f>
        <v>1.1000000000000001E-3</v>
      </c>
      <c r="BE254" s="86">
        <f>Table_15[[#This Row],[Total Graded]]-Table_15[[#This Row],[Packing Quantity]]+Table_15[[#This Row],[PACKING LOOSE]]</f>
        <v>0</v>
      </c>
      <c r="BF254" s="34">
        <f>IF(Table_15[[#This Row],[GRADED BAGS]]&gt;0,Table_15[[#This Row],[GRADED BAGS]],Table_15[[#This Row],[Bags]])</f>
        <v>0</v>
      </c>
    </row>
    <row r="255" spans="1:58" ht="14.25" hidden="1" customHeight="1" x14ac:dyDescent="0.35">
      <c r="A255" s="22">
        <v>253</v>
      </c>
      <c r="B255" s="22"/>
      <c r="C255" s="23"/>
      <c r="D255" s="23"/>
      <c r="E255" s="24"/>
      <c r="F255" s="23"/>
      <c r="G255" s="100"/>
      <c r="H255" s="101"/>
      <c r="I255" s="102"/>
      <c r="J255" s="102"/>
      <c r="K255" s="233"/>
      <c r="L255" s="22"/>
      <c r="M255" s="25">
        <f t="shared" si="16"/>
        <v>0</v>
      </c>
      <c r="N255" s="25">
        <f t="shared" si="17"/>
        <v>0</v>
      </c>
      <c r="O255" s="25">
        <f t="shared" si="18"/>
        <v>0</v>
      </c>
      <c r="P255" s="25">
        <f t="shared" si="19"/>
        <v>0</v>
      </c>
      <c r="Q255" s="22"/>
      <c r="R255" s="22"/>
      <c r="S255" s="22"/>
      <c r="T255" s="168"/>
      <c r="U255" s="171">
        <f t="shared" si="20"/>
        <v>0</v>
      </c>
      <c r="V255" s="169"/>
      <c r="W255" s="28"/>
      <c r="X255" s="25" t="str">
        <f>+IF(AND('GRADING PACKING'!L$5=INWARDDATA!J255,'GRADING PACKING'!L$6=INWARDDATA!I255,AB255=0),"TRUE","FALSE")</f>
        <v>FALSE</v>
      </c>
      <c r="Y255" s="29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1"/>
      <c r="AK255" s="31"/>
      <c r="AL255" s="31"/>
      <c r="AM255" s="31"/>
      <c r="AN255" s="32" t="str">
        <f>+IF(AND('GRADING PACKING'!L$5=INWARDDATA!J255,'GRADING PACKING'!L$6=INWARDDATA!I255,AR255=0),"good","bad")</f>
        <v>bad</v>
      </c>
      <c r="AO255" s="33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86"/>
      <c r="BC255" s="86"/>
      <c r="BD255" s="97">
        <f>Table_15[[#This Row],[Wgt-Bag]]-Table_15[[#This Row],[Total Graded]]-Table_15[[#This Row],[UNDERSIZE]]+0.0011</f>
        <v>1.1000000000000001E-3</v>
      </c>
      <c r="BE255" s="86">
        <f>Table_15[[#This Row],[Total Graded]]-Table_15[[#This Row],[Packing Quantity]]+Table_15[[#This Row],[PACKING LOOSE]]</f>
        <v>0</v>
      </c>
      <c r="BF255" s="34">
        <f>IF(Table_15[[#This Row],[GRADED BAGS]]&gt;0,Table_15[[#This Row],[GRADED BAGS]],Table_15[[#This Row],[Bags]])</f>
        <v>0</v>
      </c>
    </row>
    <row r="256" spans="1:58" ht="14.25" hidden="1" customHeight="1" x14ac:dyDescent="0.35">
      <c r="A256" s="22">
        <v>254</v>
      </c>
      <c r="B256" s="22"/>
      <c r="C256" s="23"/>
      <c r="D256" s="23"/>
      <c r="E256" s="24"/>
      <c r="F256" s="23"/>
      <c r="G256" s="100"/>
      <c r="H256" s="101"/>
      <c r="I256" s="102"/>
      <c r="J256" s="102"/>
      <c r="K256" s="233"/>
      <c r="L256" s="22"/>
      <c r="M256" s="25">
        <f t="shared" si="16"/>
        <v>0</v>
      </c>
      <c r="N256" s="25">
        <f t="shared" si="17"/>
        <v>0</v>
      </c>
      <c r="O256" s="25">
        <f t="shared" si="18"/>
        <v>0</v>
      </c>
      <c r="P256" s="25">
        <f t="shared" si="19"/>
        <v>0</v>
      </c>
      <c r="Q256" s="22"/>
      <c r="R256" s="22"/>
      <c r="S256" s="22"/>
      <c r="T256" s="168"/>
      <c r="U256" s="171">
        <f t="shared" si="20"/>
        <v>0</v>
      </c>
      <c r="V256" s="169"/>
      <c r="W256" s="28"/>
      <c r="X256" s="25" t="str">
        <f>+IF(AND('GRADING PACKING'!L$5=INWARDDATA!J256,'GRADING PACKING'!L$6=INWARDDATA!I256,AB256=0),"TRUE","FALSE")</f>
        <v>FALSE</v>
      </c>
      <c r="Y256" s="29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1"/>
      <c r="AK256" s="31"/>
      <c r="AL256" s="31"/>
      <c r="AM256" s="31"/>
      <c r="AN256" s="32" t="str">
        <f>+IF(AND('GRADING PACKING'!L$5=INWARDDATA!J256,'GRADING PACKING'!L$6=INWARDDATA!I256,AR256=0),"good","bad")</f>
        <v>bad</v>
      </c>
      <c r="AO256" s="33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86"/>
      <c r="BC256" s="86"/>
      <c r="BD256" s="97">
        <f>Table_15[[#This Row],[Wgt-Bag]]-Table_15[[#This Row],[Total Graded]]-Table_15[[#This Row],[UNDERSIZE]]+0.0011</f>
        <v>1.1000000000000001E-3</v>
      </c>
      <c r="BE256" s="86">
        <f>Table_15[[#This Row],[Total Graded]]-Table_15[[#This Row],[Packing Quantity]]+Table_15[[#This Row],[PACKING LOOSE]]</f>
        <v>0</v>
      </c>
      <c r="BF256" s="34">
        <f>IF(Table_15[[#This Row],[GRADED BAGS]]&gt;0,Table_15[[#This Row],[GRADED BAGS]],Table_15[[#This Row],[Bags]])</f>
        <v>0</v>
      </c>
    </row>
    <row r="257" spans="1:58" ht="14.25" hidden="1" customHeight="1" x14ac:dyDescent="0.35">
      <c r="A257" s="22">
        <v>255</v>
      </c>
      <c r="B257" s="22"/>
      <c r="C257" s="23"/>
      <c r="D257" s="23"/>
      <c r="E257" s="24"/>
      <c r="F257" s="23"/>
      <c r="G257" s="100"/>
      <c r="H257" s="101"/>
      <c r="I257" s="102"/>
      <c r="J257" s="102"/>
      <c r="K257" s="233"/>
      <c r="L257" s="22"/>
      <c r="M257" s="25">
        <f t="shared" si="16"/>
        <v>0</v>
      </c>
      <c r="N257" s="25">
        <f t="shared" si="17"/>
        <v>0</v>
      </c>
      <c r="O257" s="25">
        <f t="shared" si="18"/>
        <v>0</v>
      </c>
      <c r="P257" s="25">
        <f t="shared" si="19"/>
        <v>0</v>
      </c>
      <c r="Q257" s="22"/>
      <c r="R257" s="22"/>
      <c r="S257" s="22"/>
      <c r="T257" s="168"/>
      <c r="U257" s="171">
        <f t="shared" si="20"/>
        <v>0</v>
      </c>
      <c r="V257" s="169"/>
      <c r="W257" s="28"/>
      <c r="X257" s="25" t="str">
        <f>+IF(AND('GRADING PACKING'!L$5=INWARDDATA!J257,'GRADING PACKING'!L$6=INWARDDATA!I257,AB257=0),"TRUE","FALSE")</f>
        <v>FALSE</v>
      </c>
      <c r="Y257" s="29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1"/>
      <c r="AK257" s="31"/>
      <c r="AL257" s="31"/>
      <c r="AM257" s="31"/>
      <c r="AN257" s="32" t="str">
        <f>+IF(AND('GRADING PACKING'!L$5=INWARDDATA!J257,'GRADING PACKING'!L$6=INWARDDATA!I257,AR257=0),"good","bad")</f>
        <v>bad</v>
      </c>
      <c r="AO257" s="33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86"/>
      <c r="BC257" s="86"/>
      <c r="BD257" s="97">
        <f>Table_15[[#This Row],[Wgt-Bag]]-Table_15[[#This Row],[Total Graded]]-Table_15[[#This Row],[UNDERSIZE]]+0.0011</f>
        <v>1.1000000000000001E-3</v>
      </c>
      <c r="BE257" s="86">
        <f>Table_15[[#This Row],[Total Graded]]-Table_15[[#This Row],[Packing Quantity]]+Table_15[[#This Row],[PACKING LOOSE]]</f>
        <v>0</v>
      </c>
      <c r="BF257" s="34">
        <f>IF(Table_15[[#This Row],[GRADED BAGS]]&gt;0,Table_15[[#This Row],[GRADED BAGS]],Table_15[[#This Row],[Bags]])</f>
        <v>0</v>
      </c>
    </row>
    <row r="258" spans="1:58" ht="14.25" hidden="1" customHeight="1" x14ac:dyDescent="0.35">
      <c r="A258" s="22">
        <v>256</v>
      </c>
      <c r="B258" s="22"/>
      <c r="C258" s="23"/>
      <c r="D258" s="23"/>
      <c r="E258" s="24"/>
      <c r="F258" s="23"/>
      <c r="G258" s="100"/>
      <c r="H258" s="101"/>
      <c r="I258" s="102"/>
      <c r="J258" s="102"/>
      <c r="K258" s="233"/>
      <c r="L258" s="22"/>
      <c r="M258" s="25">
        <f t="shared" si="16"/>
        <v>0</v>
      </c>
      <c r="N258" s="25">
        <f t="shared" si="17"/>
        <v>0</v>
      </c>
      <c r="O258" s="25">
        <f t="shared" si="18"/>
        <v>0</v>
      </c>
      <c r="P258" s="25">
        <f t="shared" si="19"/>
        <v>0</v>
      </c>
      <c r="Q258" s="22"/>
      <c r="R258" s="22"/>
      <c r="S258" s="22"/>
      <c r="T258" s="168"/>
      <c r="U258" s="171">
        <f t="shared" si="20"/>
        <v>0</v>
      </c>
      <c r="V258" s="169"/>
      <c r="W258" s="28"/>
      <c r="X258" s="25" t="str">
        <f>+IF(AND('GRADING PACKING'!L$5=INWARDDATA!J258,'GRADING PACKING'!L$6=INWARDDATA!I258,AB258=0),"TRUE","FALSE")</f>
        <v>FALSE</v>
      </c>
      <c r="Y258" s="29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1"/>
      <c r="AK258" s="31"/>
      <c r="AL258" s="31"/>
      <c r="AM258" s="31"/>
      <c r="AN258" s="32" t="str">
        <f>+IF(AND('GRADING PACKING'!L$5=INWARDDATA!J258,'GRADING PACKING'!L$6=INWARDDATA!I258,AR258=0),"good","bad")</f>
        <v>bad</v>
      </c>
      <c r="AO258" s="33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86"/>
      <c r="BC258" s="86"/>
      <c r="BD258" s="97">
        <f>Table_15[[#This Row],[Wgt-Bag]]-Table_15[[#This Row],[Total Graded]]-Table_15[[#This Row],[UNDERSIZE]]+0.0011</f>
        <v>1.1000000000000001E-3</v>
      </c>
      <c r="BE258" s="86">
        <f>Table_15[[#This Row],[Total Graded]]-Table_15[[#This Row],[Packing Quantity]]+Table_15[[#This Row],[PACKING LOOSE]]</f>
        <v>0</v>
      </c>
      <c r="BF258" s="34">
        <f>IF(Table_15[[#This Row],[GRADED BAGS]]&gt;0,Table_15[[#This Row],[GRADED BAGS]],Table_15[[#This Row],[Bags]])</f>
        <v>0</v>
      </c>
    </row>
    <row r="259" spans="1:58" ht="14.25" hidden="1" customHeight="1" x14ac:dyDescent="0.35">
      <c r="A259" s="22">
        <v>257</v>
      </c>
      <c r="B259" s="22"/>
      <c r="C259" s="23"/>
      <c r="D259" s="23"/>
      <c r="E259" s="24"/>
      <c r="F259" s="23"/>
      <c r="G259" s="100"/>
      <c r="H259" s="101"/>
      <c r="I259" s="102"/>
      <c r="J259" s="102"/>
      <c r="K259" s="233"/>
      <c r="L259" s="22"/>
      <c r="M259" s="25">
        <f t="shared" ref="M259:M322" si="21">ROUNDUP((K259*L259),0)</f>
        <v>0</v>
      </c>
      <c r="N259" s="25">
        <f t="shared" ref="N259:N322" si="22">(H259-M259)/100</f>
        <v>0</v>
      </c>
      <c r="O259" s="25">
        <f t="shared" ref="O259:O322" si="23">ROUNDUP((H259/90)*0.003,2)</f>
        <v>0</v>
      </c>
      <c r="P259" s="25">
        <f t="shared" ref="P259:P322" si="24">(N259)-O259</f>
        <v>0</v>
      </c>
      <c r="Q259" s="22"/>
      <c r="R259" s="22"/>
      <c r="S259" s="22"/>
      <c r="T259" s="168"/>
      <c r="U259" s="171">
        <f t="shared" ref="U259:U322" si="25">T259*P259</f>
        <v>0</v>
      </c>
      <c r="V259" s="169"/>
      <c r="W259" s="28"/>
      <c r="X259" s="25" t="str">
        <f>+IF(AND('GRADING PACKING'!L$5=INWARDDATA!J259,'GRADING PACKING'!L$6=INWARDDATA!I259,AB259=0),"TRUE","FALSE")</f>
        <v>FALSE</v>
      </c>
      <c r="Y259" s="29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1"/>
      <c r="AK259" s="31"/>
      <c r="AL259" s="31"/>
      <c r="AM259" s="31"/>
      <c r="AN259" s="32" t="str">
        <f>+IF(AND('GRADING PACKING'!L$5=INWARDDATA!J259,'GRADING PACKING'!L$6=INWARDDATA!I259,AR259=0),"good","bad")</f>
        <v>bad</v>
      </c>
      <c r="AO259" s="33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86"/>
      <c r="BC259" s="86"/>
      <c r="BD259" s="97">
        <f>Table_15[[#This Row],[Wgt-Bag]]-Table_15[[#This Row],[Total Graded]]-Table_15[[#This Row],[UNDERSIZE]]+0.0011</f>
        <v>1.1000000000000001E-3</v>
      </c>
      <c r="BE259" s="86">
        <f>Table_15[[#This Row],[Total Graded]]-Table_15[[#This Row],[Packing Quantity]]+Table_15[[#This Row],[PACKING LOOSE]]</f>
        <v>0</v>
      </c>
      <c r="BF259" s="34">
        <f>IF(Table_15[[#This Row],[GRADED BAGS]]&gt;0,Table_15[[#This Row],[GRADED BAGS]],Table_15[[#This Row],[Bags]])</f>
        <v>0</v>
      </c>
    </row>
    <row r="260" spans="1:58" ht="14.25" hidden="1" customHeight="1" x14ac:dyDescent="0.35">
      <c r="A260" s="22">
        <v>258</v>
      </c>
      <c r="B260" s="22"/>
      <c r="C260" s="23"/>
      <c r="D260" s="23"/>
      <c r="E260" s="24"/>
      <c r="F260" s="23"/>
      <c r="G260" s="100"/>
      <c r="H260" s="101"/>
      <c r="I260" s="102"/>
      <c r="J260" s="102"/>
      <c r="K260" s="233"/>
      <c r="L260" s="22"/>
      <c r="M260" s="25">
        <f t="shared" si="21"/>
        <v>0</v>
      </c>
      <c r="N260" s="25">
        <f t="shared" si="22"/>
        <v>0</v>
      </c>
      <c r="O260" s="25">
        <f t="shared" si="23"/>
        <v>0</v>
      </c>
      <c r="P260" s="25">
        <f t="shared" si="24"/>
        <v>0</v>
      </c>
      <c r="Q260" s="22"/>
      <c r="R260" s="22"/>
      <c r="S260" s="22"/>
      <c r="T260" s="168"/>
      <c r="U260" s="171">
        <f t="shared" si="25"/>
        <v>0</v>
      </c>
      <c r="V260" s="169"/>
      <c r="W260" s="28"/>
      <c r="X260" s="25" t="str">
        <f>+IF(AND('GRADING PACKING'!L$5=INWARDDATA!J260,'GRADING PACKING'!L$6=INWARDDATA!I260,AB260=0),"TRUE","FALSE")</f>
        <v>FALSE</v>
      </c>
      <c r="Y260" s="29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1"/>
      <c r="AK260" s="31"/>
      <c r="AL260" s="31"/>
      <c r="AM260" s="31"/>
      <c r="AN260" s="32" t="str">
        <f>+IF(AND('GRADING PACKING'!L$5=INWARDDATA!J260,'GRADING PACKING'!L$6=INWARDDATA!I260,AR260=0),"good","bad")</f>
        <v>bad</v>
      </c>
      <c r="AO260" s="33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86"/>
      <c r="BC260" s="86"/>
      <c r="BD260" s="97">
        <f>Table_15[[#This Row],[Wgt-Bag]]-Table_15[[#This Row],[Total Graded]]-Table_15[[#This Row],[UNDERSIZE]]+0.0011</f>
        <v>1.1000000000000001E-3</v>
      </c>
      <c r="BE260" s="86">
        <f>Table_15[[#This Row],[Total Graded]]-Table_15[[#This Row],[Packing Quantity]]+Table_15[[#This Row],[PACKING LOOSE]]</f>
        <v>0</v>
      </c>
      <c r="BF260" s="34">
        <f>IF(Table_15[[#This Row],[GRADED BAGS]]&gt;0,Table_15[[#This Row],[GRADED BAGS]],Table_15[[#This Row],[Bags]])</f>
        <v>0</v>
      </c>
    </row>
    <row r="261" spans="1:58" ht="14.25" hidden="1" customHeight="1" x14ac:dyDescent="0.35">
      <c r="A261" s="22">
        <v>259</v>
      </c>
      <c r="B261" s="22"/>
      <c r="C261" s="23"/>
      <c r="D261" s="23"/>
      <c r="E261" s="24"/>
      <c r="F261" s="23"/>
      <c r="G261" s="100"/>
      <c r="H261" s="101"/>
      <c r="I261" s="102"/>
      <c r="J261" s="102"/>
      <c r="K261" s="233"/>
      <c r="L261" s="22"/>
      <c r="M261" s="25">
        <f t="shared" si="21"/>
        <v>0</v>
      </c>
      <c r="N261" s="25">
        <f t="shared" si="22"/>
        <v>0</v>
      </c>
      <c r="O261" s="25">
        <f t="shared" si="23"/>
        <v>0</v>
      </c>
      <c r="P261" s="25">
        <f t="shared" si="24"/>
        <v>0</v>
      </c>
      <c r="Q261" s="22"/>
      <c r="R261" s="22"/>
      <c r="S261" s="22"/>
      <c r="T261" s="168"/>
      <c r="U261" s="171">
        <f t="shared" si="25"/>
        <v>0</v>
      </c>
      <c r="V261" s="169"/>
      <c r="W261" s="28"/>
      <c r="X261" s="25" t="str">
        <f>+IF(AND('GRADING PACKING'!L$5=INWARDDATA!J261,'GRADING PACKING'!L$6=INWARDDATA!I261,AB261=0),"TRUE","FALSE")</f>
        <v>FALSE</v>
      </c>
      <c r="Y261" s="29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1"/>
      <c r="AK261" s="31"/>
      <c r="AL261" s="31"/>
      <c r="AM261" s="31"/>
      <c r="AN261" s="32" t="str">
        <f>+IF(AND('GRADING PACKING'!L$5=INWARDDATA!J261,'GRADING PACKING'!L$6=INWARDDATA!I261,AR261=0),"good","bad")</f>
        <v>bad</v>
      </c>
      <c r="AO261" s="33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86"/>
      <c r="BC261" s="86"/>
      <c r="BD261" s="97">
        <f>Table_15[[#This Row],[Wgt-Bag]]-Table_15[[#This Row],[Total Graded]]-Table_15[[#This Row],[UNDERSIZE]]+0.0011</f>
        <v>1.1000000000000001E-3</v>
      </c>
      <c r="BE261" s="86">
        <f>Table_15[[#This Row],[Total Graded]]-Table_15[[#This Row],[Packing Quantity]]+Table_15[[#This Row],[PACKING LOOSE]]</f>
        <v>0</v>
      </c>
      <c r="BF261" s="34">
        <f>IF(Table_15[[#This Row],[GRADED BAGS]]&gt;0,Table_15[[#This Row],[GRADED BAGS]],Table_15[[#This Row],[Bags]])</f>
        <v>0</v>
      </c>
    </row>
    <row r="262" spans="1:58" ht="14.25" hidden="1" customHeight="1" x14ac:dyDescent="0.35">
      <c r="A262" s="22">
        <v>260</v>
      </c>
      <c r="B262" s="22"/>
      <c r="C262" s="23"/>
      <c r="D262" s="23"/>
      <c r="E262" s="24"/>
      <c r="F262" s="23"/>
      <c r="G262" s="100"/>
      <c r="H262" s="101"/>
      <c r="I262" s="102"/>
      <c r="J262" s="102"/>
      <c r="K262" s="233"/>
      <c r="L262" s="22"/>
      <c r="M262" s="25">
        <f t="shared" si="21"/>
        <v>0</v>
      </c>
      <c r="N262" s="25">
        <f t="shared" si="22"/>
        <v>0</v>
      </c>
      <c r="O262" s="25">
        <f t="shared" si="23"/>
        <v>0</v>
      </c>
      <c r="P262" s="25">
        <f t="shared" si="24"/>
        <v>0</v>
      </c>
      <c r="Q262" s="22"/>
      <c r="R262" s="22"/>
      <c r="S262" s="22"/>
      <c r="T262" s="168"/>
      <c r="U262" s="171">
        <f t="shared" si="25"/>
        <v>0</v>
      </c>
      <c r="V262" s="169"/>
      <c r="W262" s="28"/>
      <c r="X262" s="25" t="str">
        <f>+IF(AND('GRADING PACKING'!L$5=INWARDDATA!J262,'GRADING PACKING'!L$6=INWARDDATA!I262,AB262=0),"TRUE","FALSE")</f>
        <v>FALSE</v>
      </c>
      <c r="Y262" s="29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1"/>
      <c r="AK262" s="31"/>
      <c r="AL262" s="31"/>
      <c r="AM262" s="31"/>
      <c r="AN262" s="32" t="str">
        <f>+IF(AND('GRADING PACKING'!L$5=INWARDDATA!J262,'GRADING PACKING'!L$6=INWARDDATA!I262,AR262=0),"good","bad")</f>
        <v>bad</v>
      </c>
      <c r="AO262" s="33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86"/>
      <c r="BC262" s="86"/>
      <c r="BD262" s="97">
        <f>Table_15[[#This Row],[Wgt-Bag]]-Table_15[[#This Row],[Total Graded]]-Table_15[[#This Row],[UNDERSIZE]]+0.0011</f>
        <v>1.1000000000000001E-3</v>
      </c>
      <c r="BE262" s="86">
        <f>Table_15[[#This Row],[Total Graded]]-Table_15[[#This Row],[Packing Quantity]]+Table_15[[#This Row],[PACKING LOOSE]]</f>
        <v>0</v>
      </c>
      <c r="BF262" s="34">
        <f>IF(Table_15[[#This Row],[GRADED BAGS]]&gt;0,Table_15[[#This Row],[GRADED BAGS]],Table_15[[#This Row],[Bags]])</f>
        <v>0</v>
      </c>
    </row>
    <row r="263" spans="1:58" ht="14.25" hidden="1" customHeight="1" x14ac:dyDescent="0.35">
      <c r="A263" s="22">
        <v>261</v>
      </c>
      <c r="B263" s="22"/>
      <c r="C263" s="23"/>
      <c r="D263" s="23"/>
      <c r="E263" s="24"/>
      <c r="F263" s="23"/>
      <c r="G263" s="100"/>
      <c r="H263" s="101"/>
      <c r="I263" s="102"/>
      <c r="J263" s="102"/>
      <c r="K263" s="233"/>
      <c r="L263" s="22"/>
      <c r="M263" s="25">
        <f t="shared" si="21"/>
        <v>0</v>
      </c>
      <c r="N263" s="25">
        <f t="shared" si="22"/>
        <v>0</v>
      </c>
      <c r="O263" s="25">
        <f t="shared" si="23"/>
        <v>0</v>
      </c>
      <c r="P263" s="25">
        <f t="shared" si="24"/>
        <v>0</v>
      </c>
      <c r="Q263" s="22"/>
      <c r="R263" s="22"/>
      <c r="S263" s="22"/>
      <c r="T263" s="168"/>
      <c r="U263" s="171">
        <f t="shared" si="25"/>
        <v>0</v>
      </c>
      <c r="V263" s="169"/>
      <c r="W263" s="28"/>
      <c r="X263" s="25" t="str">
        <f>+IF(AND('GRADING PACKING'!L$5=INWARDDATA!J263,'GRADING PACKING'!L$6=INWARDDATA!I263,AB263=0),"TRUE","FALSE")</f>
        <v>FALSE</v>
      </c>
      <c r="Y263" s="29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1"/>
      <c r="AK263" s="31"/>
      <c r="AL263" s="31"/>
      <c r="AM263" s="31"/>
      <c r="AN263" s="32" t="str">
        <f>+IF(AND('GRADING PACKING'!L$5=INWARDDATA!J263,'GRADING PACKING'!L$6=INWARDDATA!I263,AR263=0),"good","bad")</f>
        <v>bad</v>
      </c>
      <c r="AO263" s="33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86"/>
      <c r="BC263" s="86"/>
      <c r="BD263" s="97">
        <f>Table_15[[#This Row],[Wgt-Bag]]-Table_15[[#This Row],[Total Graded]]-Table_15[[#This Row],[UNDERSIZE]]+0.0011</f>
        <v>1.1000000000000001E-3</v>
      </c>
      <c r="BE263" s="86">
        <f>Table_15[[#This Row],[Total Graded]]-Table_15[[#This Row],[Packing Quantity]]+Table_15[[#This Row],[PACKING LOOSE]]</f>
        <v>0</v>
      </c>
      <c r="BF263" s="34">
        <f>IF(Table_15[[#This Row],[GRADED BAGS]]&gt;0,Table_15[[#This Row],[GRADED BAGS]],Table_15[[#This Row],[Bags]])</f>
        <v>0</v>
      </c>
    </row>
    <row r="264" spans="1:58" ht="14.25" hidden="1" customHeight="1" x14ac:dyDescent="0.35">
      <c r="A264" s="22">
        <v>262</v>
      </c>
      <c r="B264" s="22"/>
      <c r="C264" s="23"/>
      <c r="D264" s="23"/>
      <c r="E264" s="24"/>
      <c r="F264" s="23"/>
      <c r="G264" s="100"/>
      <c r="H264" s="101"/>
      <c r="I264" s="102"/>
      <c r="J264" s="102"/>
      <c r="K264" s="233"/>
      <c r="L264" s="22"/>
      <c r="M264" s="25">
        <f t="shared" si="21"/>
        <v>0</v>
      </c>
      <c r="N264" s="25">
        <f t="shared" si="22"/>
        <v>0</v>
      </c>
      <c r="O264" s="25">
        <f t="shared" si="23"/>
        <v>0</v>
      </c>
      <c r="P264" s="25">
        <f t="shared" si="24"/>
        <v>0</v>
      </c>
      <c r="Q264" s="22"/>
      <c r="R264" s="22"/>
      <c r="S264" s="22"/>
      <c r="T264" s="168"/>
      <c r="U264" s="171">
        <f t="shared" si="25"/>
        <v>0</v>
      </c>
      <c r="V264" s="169"/>
      <c r="W264" s="28"/>
      <c r="X264" s="25" t="str">
        <f>+IF(AND('GRADING PACKING'!L$5=INWARDDATA!J264,'GRADING PACKING'!L$6=INWARDDATA!I264,AB264=0),"TRUE","FALSE")</f>
        <v>FALSE</v>
      </c>
      <c r="Y264" s="29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1"/>
      <c r="AK264" s="31"/>
      <c r="AL264" s="31"/>
      <c r="AM264" s="31"/>
      <c r="AN264" s="32" t="str">
        <f>+IF(AND('GRADING PACKING'!L$5=INWARDDATA!J264,'GRADING PACKING'!L$6=INWARDDATA!I264,AR264=0),"good","bad")</f>
        <v>bad</v>
      </c>
      <c r="AO264" s="33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86"/>
      <c r="BC264" s="86"/>
      <c r="BD264" s="97">
        <f>Table_15[[#This Row],[Wgt-Bag]]-Table_15[[#This Row],[Total Graded]]-Table_15[[#This Row],[UNDERSIZE]]+0.0011</f>
        <v>1.1000000000000001E-3</v>
      </c>
      <c r="BE264" s="86">
        <f>Table_15[[#This Row],[Total Graded]]-Table_15[[#This Row],[Packing Quantity]]+Table_15[[#This Row],[PACKING LOOSE]]</f>
        <v>0</v>
      </c>
      <c r="BF264" s="34">
        <f>IF(Table_15[[#This Row],[GRADED BAGS]]&gt;0,Table_15[[#This Row],[GRADED BAGS]],Table_15[[#This Row],[Bags]])</f>
        <v>0</v>
      </c>
    </row>
    <row r="265" spans="1:58" ht="14.25" hidden="1" customHeight="1" x14ac:dyDescent="0.35">
      <c r="A265" s="22">
        <v>263</v>
      </c>
      <c r="B265" s="22"/>
      <c r="C265" s="23"/>
      <c r="D265" s="23"/>
      <c r="E265" s="24"/>
      <c r="F265" s="23"/>
      <c r="G265" s="100"/>
      <c r="H265" s="101"/>
      <c r="I265" s="102"/>
      <c r="J265" s="102"/>
      <c r="K265" s="233"/>
      <c r="L265" s="22"/>
      <c r="M265" s="25">
        <f t="shared" si="21"/>
        <v>0</v>
      </c>
      <c r="N265" s="25">
        <f t="shared" si="22"/>
        <v>0</v>
      </c>
      <c r="O265" s="25">
        <f t="shared" si="23"/>
        <v>0</v>
      </c>
      <c r="P265" s="25">
        <f t="shared" si="24"/>
        <v>0</v>
      </c>
      <c r="Q265" s="22"/>
      <c r="R265" s="22"/>
      <c r="S265" s="22"/>
      <c r="T265" s="168"/>
      <c r="U265" s="171">
        <f t="shared" si="25"/>
        <v>0</v>
      </c>
      <c r="V265" s="169"/>
      <c r="W265" s="28"/>
      <c r="X265" s="25" t="str">
        <f>+IF(AND('GRADING PACKING'!L$5=INWARDDATA!J265,'GRADING PACKING'!L$6=INWARDDATA!I265,AB265=0),"TRUE","FALSE")</f>
        <v>FALSE</v>
      </c>
      <c r="Y265" s="29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1"/>
      <c r="AK265" s="31"/>
      <c r="AL265" s="31"/>
      <c r="AM265" s="31"/>
      <c r="AN265" s="32" t="str">
        <f>+IF(AND('GRADING PACKING'!L$5=INWARDDATA!J265,'GRADING PACKING'!L$6=INWARDDATA!I265,AR265=0),"good","bad")</f>
        <v>bad</v>
      </c>
      <c r="AO265" s="33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86"/>
      <c r="BC265" s="86"/>
      <c r="BD265" s="97">
        <f>Table_15[[#This Row],[Wgt-Bag]]-Table_15[[#This Row],[Total Graded]]-Table_15[[#This Row],[UNDERSIZE]]+0.0011</f>
        <v>1.1000000000000001E-3</v>
      </c>
      <c r="BE265" s="86">
        <f>Table_15[[#This Row],[Total Graded]]-Table_15[[#This Row],[Packing Quantity]]+Table_15[[#This Row],[PACKING LOOSE]]</f>
        <v>0</v>
      </c>
      <c r="BF265" s="34">
        <f>IF(Table_15[[#This Row],[GRADED BAGS]]&gt;0,Table_15[[#This Row],[GRADED BAGS]],Table_15[[#This Row],[Bags]])</f>
        <v>0</v>
      </c>
    </row>
    <row r="266" spans="1:58" ht="14.25" hidden="1" customHeight="1" x14ac:dyDescent="0.35">
      <c r="A266" s="22">
        <v>264</v>
      </c>
      <c r="B266" s="22"/>
      <c r="C266" s="23"/>
      <c r="D266" s="23"/>
      <c r="E266" s="24"/>
      <c r="F266" s="23"/>
      <c r="G266" s="100"/>
      <c r="H266" s="101"/>
      <c r="I266" s="102"/>
      <c r="J266" s="102"/>
      <c r="K266" s="233"/>
      <c r="L266" s="22"/>
      <c r="M266" s="25">
        <f t="shared" si="21"/>
        <v>0</v>
      </c>
      <c r="N266" s="25">
        <f t="shared" si="22"/>
        <v>0</v>
      </c>
      <c r="O266" s="25">
        <f t="shared" si="23"/>
        <v>0</v>
      </c>
      <c r="P266" s="25">
        <f t="shared" si="24"/>
        <v>0</v>
      </c>
      <c r="Q266" s="22"/>
      <c r="R266" s="22"/>
      <c r="S266" s="22"/>
      <c r="T266" s="168"/>
      <c r="U266" s="171">
        <f t="shared" si="25"/>
        <v>0</v>
      </c>
      <c r="V266" s="169"/>
      <c r="W266" s="28"/>
      <c r="X266" s="25" t="str">
        <f>+IF(AND('GRADING PACKING'!L$5=INWARDDATA!J266,'GRADING PACKING'!L$6=INWARDDATA!I266,AB266=0),"TRUE","FALSE")</f>
        <v>FALSE</v>
      </c>
      <c r="Y266" s="29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1"/>
      <c r="AK266" s="31"/>
      <c r="AL266" s="31"/>
      <c r="AM266" s="31"/>
      <c r="AN266" s="32" t="str">
        <f>+IF(AND('GRADING PACKING'!L$5=INWARDDATA!J266,'GRADING PACKING'!L$6=INWARDDATA!I266,AR266=0),"good","bad")</f>
        <v>bad</v>
      </c>
      <c r="AO266" s="33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86"/>
      <c r="BC266" s="86"/>
      <c r="BD266" s="97">
        <f>Table_15[[#This Row],[Wgt-Bag]]-Table_15[[#This Row],[Total Graded]]-Table_15[[#This Row],[UNDERSIZE]]+0.0011</f>
        <v>1.1000000000000001E-3</v>
      </c>
      <c r="BE266" s="86">
        <f>Table_15[[#This Row],[Total Graded]]-Table_15[[#This Row],[Packing Quantity]]+Table_15[[#This Row],[PACKING LOOSE]]</f>
        <v>0</v>
      </c>
      <c r="BF266" s="34">
        <f>IF(Table_15[[#This Row],[GRADED BAGS]]&gt;0,Table_15[[#This Row],[GRADED BAGS]],Table_15[[#This Row],[Bags]])</f>
        <v>0</v>
      </c>
    </row>
    <row r="267" spans="1:58" ht="14.25" hidden="1" customHeight="1" x14ac:dyDescent="0.35">
      <c r="A267" s="22">
        <v>265</v>
      </c>
      <c r="B267" s="22"/>
      <c r="C267" s="23"/>
      <c r="D267" s="23"/>
      <c r="E267" s="24"/>
      <c r="F267" s="23"/>
      <c r="G267" s="100"/>
      <c r="H267" s="101"/>
      <c r="I267" s="102"/>
      <c r="J267" s="102"/>
      <c r="K267" s="233"/>
      <c r="L267" s="22"/>
      <c r="M267" s="25">
        <f t="shared" si="21"/>
        <v>0</v>
      </c>
      <c r="N267" s="25">
        <f t="shared" si="22"/>
        <v>0</v>
      </c>
      <c r="O267" s="25">
        <f t="shared" si="23"/>
        <v>0</v>
      </c>
      <c r="P267" s="25">
        <f t="shared" si="24"/>
        <v>0</v>
      </c>
      <c r="Q267" s="22"/>
      <c r="R267" s="22"/>
      <c r="S267" s="22"/>
      <c r="T267" s="168"/>
      <c r="U267" s="171">
        <f t="shared" si="25"/>
        <v>0</v>
      </c>
      <c r="V267" s="169"/>
      <c r="W267" s="28"/>
      <c r="X267" s="25" t="str">
        <f>+IF(AND('GRADING PACKING'!L$5=INWARDDATA!J267,'GRADING PACKING'!L$6=INWARDDATA!I267,AB267=0),"TRUE","FALSE")</f>
        <v>FALSE</v>
      </c>
      <c r="Y267" s="29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1"/>
      <c r="AK267" s="31"/>
      <c r="AL267" s="31"/>
      <c r="AM267" s="31"/>
      <c r="AN267" s="32" t="str">
        <f>+IF(AND('GRADING PACKING'!L$5=INWARDDATA!J267,'GRADING PACKING'!L$6=INWARDDATA!I267,AR267=0),"good","bad")</f>
        <v>bad</v>
      </c>
      <c r="AO267" s="33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86"/>
      <c r="BC267" s="86"/>
      <c r="BD267" s="97">
        <f>Table_15[[#This Row],[Wgt-Bag]]-Table_15[[#This Row],[Total Graded]]-Table_15[[#This Row],[UNDERSIZE]]+0.0011</f>
        <v>1.1000000000000001E-3</v>
      </c>
      <c r="BE267" s="86">
        <f>Table_15[[#This Row],[Total Graded]]-Table_15[[#This Row],[Packing Quantity]]+Table_15[[#This Row],[PACKING LOOSE]]</f>
        <v>0</v>
      </c>
      <c r="BF267" s="34">
        <f>IF(Table_15[[#This Row],[GRADED BAGS]]&gt;0,Table_15[[#This Row],[GRADED BAGS]],Table_15[[#This Row],[Bags]])</f>
        <v>0</v>
      </c>
    </row>
    <row r="268" spans="1:58" ht="14.25" hidden="1" customHeight="1" x14ac:dyDescent="0.35">
      <c r="A268" s="22">
        <v>266</v>
      </c>
      <c r="B268" s="22"/>
      <c r="C268" s="23"/>
      <c r="D268" s="23"/>
      <c r="E268" s="24"/>
      <c r="F268" s="23"/>
      <c r="G268" s="100"/>
      <c r="H268" s="101"/>
      <c r="I268" s="102"/>
      <c r="J268" s="102"/>
      <c r="K268" s="233"/>
      <c r="L268" s="22"/>
      <c r="M268" s="25">
        <f t="shared" si="21"/>
        <v>0</v>
      </c>
      <c r="N268" s="25">
        <f t="shared" si="22"/>
        <v>0</v>
      </c>
      <c r="O268" s="25">
        <f t="shared" si="23"/>
        <v>0</v>
      </c>
      <c r="P268" s="25">
        <f t="shared" si="24"/>
        <v>0</v>
      </c>
      <c r="Q268" s="22"/>
      <c r="R268" s="22"/>
      <c r="S268" s="22"/>
      <c r="T268" s="168"/>
      <c r="U268" s="171">
        <f t="shared" si="25"/>
        <v>0</v>
      </c>
      <c r="V268" s="169"/>
      <c r="W268" s="28"/>
      <c r="X268" s="25" t="str">
        <f>+IF(AND('GRADING PACKING'!L$5=INWARDDATA!J268,'GRADING PACKING'!L$6=INWARDDATA!I268,AB268=0),"TRUE","FALSE")</f>
        <v>FALSE</v>
      </c>
      <c r="Y268" s="29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1"/>
      <c r="AK268" s="31"/>
      <c r="AL268" s="31"/>
      <c r="AM268" s="31"/>
      <c r="AN268" s="32" t="str">
        <f>+IF(AND('GRADING PACKING'!L$5=INWARDDATA!J268,'GRADING PACKING'!L$6=INWARDDATA!I268,AR268=0),"good","bad")</f>
        <v>bad</v>
      </c>
      <c r="AO268" s="33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86"/>
      <c r="BC268" s="86"/>
      <c r="BD268" s="97">
        <f>Table_15[[#This Row],[Wgt-Bag]]-Table_15[[#This Row],[Total Graded]]-Table_15[[#This Row],[UNDERSIZE]]+0.0011</f>
        <v>1.1000000000000001E-3</v>
      </c>
      <c r="BE268" s="86">
        <f>Table_15[[#This Row],[Total Graded]]-Table_15[[#This Row],[Packing Quantity]]+Table_15[[#This Row],[PACKING LOOSE]]</f>
        <v>0</v>
      </c>
      <c r="BF268" s="34">
        <f>IF(Table_15[[#This Row],[GRADED BAGS]]&gt;0,Table_15[[#This Row],[GRADED BAGS]],Table_15[[#This Row],[Bags]])</f>
        <v>0</v>
      </c>
    </row>
    <row r="269" spans="1:58" ht="14.25" hidden="1" customHeight="1" x14ac:dyDescent="0.35">
      <c r="A269" s="22">
        <v>267</v>
      </c>
      <c r="B269" s="22"/>
      <c r="C269" s="23"/>
      <c r="D269" s="23"/>
      <c r="E269" s="24"/>
      <c r="F269" s="23"/>
      <c r="G269" s="100"/>
      <c r="H269" s="101"/>
      <c r="I269" s="102"/>
      <c r="J269" s="102"/>
      <c r="K269" s="233"/>
      <c r="L269" s="22"/>
      <c r="M269" s="25">
        <f t="shared" si="21"/>
        <v>0</v>
      </c>
      <c r="N269" s="25">
        <f t="shared" si="22"/>
        <v>0</v>
      </c>
      <c r="O269" s="25">
        <f t="shared" si="23"/>
        <v>0</v>
      </c>
      <c r="P269" s="25">
        <f t="shared" si="24"/>
        <v>0</v>
      </c>
      <c r="Q269" s="22"/>
      <c r="R269" s="22"/>
      <c r="S269" s="22"/>
      <c r="T269" s="168"/>
      <c r="U269" s="171">
        <f t="shared" si="25"/>
        <v>0</v>
      </c>
      <c r="V269" s="169"/>
      <c r="W269" s="28"/>
      <c r="X269" s="25" t="str">
        <f>+IF(AND('GRADING PACKING'!L$5=INWARDDATA!J269,'GRADING PACKING'!L$6=INWARDDATA!I269,AB269=0),"TRUE","FALSE")</f>
        <v>FALSE</v>
      </c>
      <c r="Y269" s="29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1"/>
      <c r="AK269" s="31"/>
      <c r="AL269" s="31"/>
      <c r="AM269" s="31"/>
      <c r="AN269" s="32" t="str">
        <f>+IF(AND('GRADING PACKING'!L$5=INWARDDATA!J269,'GRADING PACKING'!L$6=INWARDDATA!I269,AR269=0),"good","bad")</f>
        <v>bad</v>
      </c>
      <c r="AO269" s="33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86"/>
      <c r="BC269" s="86"/>
      <c r="BD269" s="97">
        <f>Table_15[[#This Row],[Wgt-Bag]]-Table_15[[#This Row],[Total Graded]]-Table_15[[#This Row],[UNDERSIZE]]+0.0011</f>
        <v>1.1000000000000001E-3</v>
      </c>
      <c r="BE269" s="86">
        <f>Table_15[[#This Row],[Total Graded]]-Table_15[[#This Row],[Packing Quantity]]+Table_15[[#This Row],[PACKING LOOSE]]</f>
        <v>0</v>
      </c>
      <c r="BF269" s="34">
        <f>IF(Table_15[[#This Row],[GRADED BAGS]]&gt;0,Table_15[[#This Row],[GRADED BAGS]],Table_15[[#This Row],[Bags]])</f>
        <v>0</v>
      </c>
    </row>
    <row r="270" spans="1:58" ht="14.25" hidden="1" customHeight="1" x14ac:dyDescent="0.35">
      <c r="A270" s="22">
        <v>268</v>
      </c>
      <c r="B270" s="22"/>
      <c r="C270" s="23"/>
      <c r="D270" s="23"/>
      <c r="E270" s="24"/>
      <c r="F270" s="23"/>
      <c r="G270" s="100"/>
      <c r="H270" s="101"/>
      <c r="I270" s="102"/>
      <c r="J270" s="102"/>
      <c r="K270" s="233"/>
      <c r="L270" s="22"/>
      <c r="M270" s="25">
        <f t="shared" si="21"/>
        <v>0</v>
      </c>
      <c r="N270" s="25">
        <f t="shared" si="22"/>
        <v>0</v>
      </c>
      <c r="O270" s="25">
        <f t="shared" si="23"/>
        <v>0</v>
      </c>
      <c r="P270" s="25">
        <f t="shared" si="24"/>
        <v>0</v>
      </c>
      <c r="Q270" s="22"/>
      <c r="R270" s="22"/>
      <c r="S270" s="22"/>
      <c r="T270" s="168"/>
      <c r="U270" s="171">
        <f t="shared" si="25"/>
        <v>0</v>
      </c>
      <c r="V270" s="169"/>
      <c r="W270" s="28"/>
      <c r="X270" s="25" t="str">
        <f>+IF(AND('GRADING PACKING'!L$5=INWARDDATA!J270,'GRADING PACKING'!L$6=INWARDDATA!I270,AB270=0),"TRUE","FALSE")</f>
        <v>FALSE</v>
      </c>
      <c r="Y270" s="29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1"/>
      <c r="AK270" s="31"/>
      <c r="AL270" s="31"/>
      <c r="AM270" s="31"/>
      <c r="AN270" s="32" t="str">
        <f>+IF(AND('GRADING PACKING'!L$5=INWARDDATA!J270,'GRADING PACKING'!L$6=INWARDDATA!I270,AR270=0),"good","bad")</f>
        <v>bad</v>
      </c>
      <c r="AO270" s="33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86"/>
      <c r="BC270" s="86"/>
      <c r="BD270" s="97">
        <f>Table_15[[#This Row],[Wgt-Bag]]-Table_15[[#This Row],[Total Graded]]-Table_15[[#This Row],[UNDERSIZE]]+0.0011</f>
        <v>1.1000000000000001E-3</v>
      </c>
      <c r="BE270" s="86">
        <f>Table_15[[#This Row],[Total Graded]]-Table_15[[#This Row],[Packing Quantity]]+Table_15[[#This Row],[PACKING LOOSE]]</f>
        <v>0</v>
      </c>
      <c r="BF270" s="34">
        <f>IF(Table_15[[#This Row],[GRADED BAGS]]&gt;0,Table_15[[#This Row],[GRADED BAGS]],Table_15[[#This Row],[Bags]])</f>
        <v>0</v>
      </c>
    </row>
    <row r="271" spans="1:58" ht="14.25" hidden="1" customHeight="1" x14ac:dyDescent="0.35">
      <c r="A271" s="22">
        <v>269</v>
      </c>
      <c r="B271" s="22"/>
      <c r="C271" s="23"/>
      <c r="D271" s="23"/>
      <c r="E271" s="24"/>
      <c r="F271" s="23"/>
      <c r="G271" s="100"/>
      <c r="H271" s="101"/>
      <c r="I271" s="102"/>
      <c r="J271" s="102"/>
      <c r="K271" s="233"/>
      <c r="L271" s="22"/>
      <c r="M271" s="25">
        <f t="shared" si="21"/>
        <v>0</v>
      </c>
      <c r="N271" s="25">
        <f t="shared" si="22"/>
        <v>0</v>
      </c>
      <c r="O271" s="25">
        <f t="shared" si="23"/>
        <v>0</v>
      </c>
      <c r="P271" s="25">
        <f t="shared" si="24"/>
        <v>0</v>
      </c>
      <c r="Q271" s="22"/>
      <c r="R271" s="22"/>
      <c r="S271" s="22"/>
      <c r="T271" s="168"/>
      <c r="U271" s="171">
        <f t="shared" si="25"/>
        <v>0</v>
      </c>
      <c r="V271" s="169"/>
      <c r="W271" s="28"/>
      <c r="X271" s="25" t="str">
        <f>+IF(AND('GRADING PACKING'!L$5=INWARDDATA!J271,'GRADING PACKING'!L$6=INWARDDATA!I271,AB271=0),"TRUE","FALSE")</f>
        <v>FALSE</v>
      </c>
      <c r="Y271" s="29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1"/>
      <c r="AK271" s="31"/>
      <c r="AL271" s="31"/>
      <c r="AM271" s="31"/>
      <c r="AN271" s="32" t="str">
        <f>+IF(AND('GRADING PACKING'!L$5=INWARDDATA!J271,'GRADING PACKING'!L$6=INWARDDATA!I271,AR271=0),"good","bad")</f>
        <v>bad</v>
      </c>
      <c r="AO271" s="33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86"/>
      <c r="BC271" s="86"/>
      <c r="BD271" s="97">
        <f>Table_15[[#This Row],[Wgt-Bag]]-Table_15[[#This Row],[Total Graded]]-Table_15[[#This Row],[UNDERSIZE]]+0.0011</f>
        <v>1.1000000000000001E-3</v>
      </c>
      <c r="BE271" s="86">
        <f>Table_15[[#This Row],[Total Graded]]-Table_15[[#This Row],[Packing Quantity]]+Table_15[[#This Row],[PACKING LOOSE]]</f>
        <v>0</v>
      </c>
      <c r="BF271" s="34">
        <f>IF(Table_15[[#This Row],[GRADED BAGS]]&gt;0,Table_15[[#This Row],[GRADED BAGS]],Table_15[[#This Row],[Bags]])</f>
        <v>0</v>
      </c>
    </row>
    <row r="272" spans="1:58" ht="14.25" hidden="1" customHeight="1" x14ac:dyDescent="0.35">
      <c r="A272" s="22">
        <v>270</v>
      </c>
      <c r="B272" s="22"/>
      <c r="C272" s="23"/>
      <c r="D272" s="23"/>
      <c r="E272" s="24"/>
      <c r="F272" s="23"/>
      <c r="G272" s="100"/>
      <c r="H272" s="101"/>
      <c r="I272" s="102"/>
      <c r="J272" s="102"/>
      <c r="K272" s="233"/>
      <c r="L272" s="22"/>
      <c r="M272" s="25">
        <f t="shared" si="21"/>
        <v>0</v>
      </c>
      <c r="N272" s="25">
        <f t="shared" si="22"/>
        <v>0</v>
      </c>
      <c r="O272" s="25">
        <f t="shared" si="23"/>
        <v>0</v>
      </c>
      <c r="P272" s="25">
        <f t="shared" si="24"/>
        <v>0</v>
      </c>
      <c r="Q272" s="22"/>
      <c r="R272" s="22"/>
      <c r="S272" s="22"/>
      <c r="T272" s="168"/>
      <c r="U272" s="171">
        <f t="shared" si="25"/>
        <v>0</v>
      </c>
      <c r="V272" s="169"/>
      <c r="W272" s="28"/>
      <c r="X272" s="25" t="str">
        <f>+IF(AND('GRADING PACKING'!L$5=INWARDDATA!J272,'GRADING PACKING'!L$6=INWARDDATA!I272,AB272=0),"TRUE","FALSE")</f>
        <v>FALSE</v>
      </c>
      <c r="Y272" s="29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1"/>
      <c r="AK272" s="31"/>
      <c r="AL272" s="31"/>
      <c r="AM272" s="31"/>
      <c r="AN272" s="32" t="str">
        <f>+IF(AND('GRADING PACKING'!L$5=INWARDDATA!J272,'GRADING PACKING'!L$6=INWARDDATA!I272,AR272=0),"good","bad")</f>
        <v>bad</v>
      </c>
      <c r="AO272" s="33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86"/>
      <c r="BC272" s="86"/>
      <c r="BD272" s="97">
        <f>Table_15[[#This Row],[Wgt-Bag]]-Table_15[[#This Row],[Total Graded]]-Table_15[[#This Row],[UNDERSIZE]]+0.0011</f>
        <v>1.1000000000000001E-3</v>
      </c>
      <c r="BE272" s="86">
        <f>Table_15[[#This Row],[Total Graded]]-Table_15[[#This Row],[Packing Quantity]]+Table_15[[#This Row],[PACKING LOOSE]]</f>
        <v>0</v>
      </c>
      <c r="BF272" s="34">
        <f>IF(Table_15[[#This Row],[GRADED BAGS]]&gt;0,Table_15[[#This Row],[GRADED BAGS]],Table_15[[#This Row],[Bags]])</f>
        <v>0</v>
      </c>
    </row>
    <row r="273" spans="1:58" ht="14.25" hidden="1" customHeight="1" x14ac:dyDescent="0.35">
      <c r="A273" s="22">
        <v>271</v>
      </c>
      <c r="B273" s="22"/>
      <c r="C273" s="23"/>
      <c r="D273" s="23"/>
      <c r="E273" s="24"/>
      <c r="F273" s="23"/>
      <c r="G273" s="100"/>
      <c r="H273" s="101"/>
      <c r="I273" s="102"/>
      <c r="J273" s="102"/>
      <c r="K273" s="233"/>
      <c r="L273" s="22"/>
      <c r="M273" s="25">
        <f t="shared" si="21"/>
        <v>0</v>
      </c>
      <c r="N273" s="25">
        <f t="shared" si="22"/>
        <v>0</v>
      </c>
      <c r="O273" s="25">
        <f t="shared" si="23"/>
        <v>0</v>
      </c>
      <c r="P273" s="25">
        <f t="shared" si="24"/>
        <v>0</v>
      </c>
      <c r="Q273" s="22"/>
      <c r="R273" s="22"/>
      <c r="S273" s="22"/>
      <c r="T273" s="168"/>
      <c r="U273" s="171">
        <f t="shared" si="25"/>
        <v>0</v>
      </c>
      <c r="V273" s="169"/>
      <c r="W273" s="28"/>
      <c r="X273" s="25" t="str">
        <f>+IF(AND('GRADING PACKING'!L$5=INWARDDATA!J273,'GRADING PACKING'!L$6=INWARDDATA!I273,AB273=0),"TRUE","FALSE")</f>
        <v>FALSE</v>
      </c>
      <c r="Y273" s="29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1"/>
      <c r="AK273" s="31"/>
      <c r="AL273" s="31"/>
      <c r="AM273" s="31"/>
      <c r="AN273" s="32" t="str">
        <f>+IF(AND('GRADING PACKING'!L$5=INWARDDATA!J273,'GRADING PACKING'!L$6=INWARDDATA!I273,AR273=0),"good","bad")</f>
        <v>bad</v>
      </c>
      <c r="AO273" s="33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86"/>
      <c r="BC273" s="86"/>
      <c r="BD273" s="97">
        <f>Table_15[[#This Row],[Wgt-Bag]]-Table_15[[#This Row],[Total Graded]]-Table_15[[#This Row],[UNDERSIZE]]+0.0011</f>
        <v>1.1000000000000001E-3</v>
      </c>
      <c r="BE273" s="86">
        <f>Table_15[[#This Row],[Total Graded]]-Table_15[[#This Row],[Packing Quantity]]+Table_15[[#This Row],[PACKING LOOSE]]</f>
        <v>0</v>
      </c>
      <c r="BF273" s="34">
        <f>IF(Table_15[[#This Row],[GRADED BAGS]]&gt;0,Table_15[[#This Row],[GRADED BAGS]],Table_15[[#This Row],[Bags]])</f>
        <v>0</v>
      </c>
    </row>
    <row r="274" spans="1:58" ht="14.25" hidden="1" customHeight="1" x14ac:dyDescent="0.35">
      <c r="A274" s="22">
        <v>272</v>
      </c>
      <c r="B274" s="22"/>
      <c r="C274" s="23"/>
      <c r="D274" s="23"/>
      <c r="E274" s="24"/>
      <c r="F274" s="23"/>
      <c r="G274" s="100"/>
      <c r="H274" s="101"/>
      <c r="I274" s="102"/>
      <c r="J274" s="102"/>
      <c r="K274" s="233"/>
      <c r="L274" s="22"/>
      <c r="M274" s="25">
        <f t="shared" si="21"/>
        <v>0</v>
      </c>
      <c r="N274" s="25">
        <f t="shared" si="22"/>
        <v>0</v>
      </c>
      <c r="O274" s="25">
        <f t="shared" si="23"/>
        <v>0</v>
      </c>
      <c r="P274" s="25">
        <f t="shared" si="24"/>
        <v>0</v>
      </c>
      <c r="Q274" s="22"/>
      <c r="R274" s="22"/>
      <c r="S274" s="22"/>
      <c r="T274" s="168"/>
      <c r="U274" s="171">
        <f t="shared" si="25"/>
        <v>0</v>
      </c>
      <c r="V274" s="169"/>
      <c r="W274" s="28"/>
      <c r="X274" s="25" t="str">
        <f>+IF(AND('GRADING PACKING'!L$5=INWARDDATA!J274,'GRADING PACKING'!L$6=INWARDDATA!I274,AB274=0),"TRUE","FALSE")</f>
        <v>FALSE</v>
      </c>
      <c r="Y274" s="29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1"/>
      <c r="AK274" s="31"/>
      <c r="AL274" s="31"/>
      <c r="AM274" s="31"/>
      <c r="AN274" s="32" t="str">
        <f>+IF(AND('GRADING PACKING'!L$5=INWARDDATA!J274,'GRADING PACKING'!L$6=INWARDDATA!I274,AR274=0),"good","bad")</f>
        <v>bad</v>
      </c>
      <c r="AO274" s="33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86"/>
      <c r="BC274" s="86"/>
      <c r="BD274" s="97">
        <f>Table_15[[#This Row],[Wgt-Bag]]-Table_15[[#This Row],[Total Graded]]-Table_15[[#This Row],[UNDERSIZE]]+0.0011</f>
        <v>1.1000000000000001E-3</v>
      </c>
      <c r="BE274" s="86">
        <f>Table_15[[#This Row],[Total Graded]]-Table_15[[#This Row],[Packing Quantity]]+Table_15[[#This Row],[PACKING LOOSE]]</f>
        <v>0</v>
      </c>
      <c r="BF274" s="34">
        <f>IF(Table_15[[#This Row],[GRADED BAGS]]&gt;0,Table_15[[#This Row],[GRADED BAGS]],Table_15[[#This Row],[Bags]])</f>
        <v>0</v>
      </c>
    </row>
    <row r="275" spans="1:58" ht="14.25" hidden="1" customHeight="1" x14ac:dyDescent="0.35">
      <c r="A275" s="22">
        <v>273</v>
      </c>
      <c r="B275" s="22"/>
      <c r="C275" s="23"/>
      <c r="D275" s="23"/>
      <c r="E275" s="24"/>
      <c r="F275" s="23"/>
      <c r="G275" s="100"/>
      <c r="H275" s="101"/>
      <c r="I275" s="102"/>
      <c r="J275" s="102"/>
      <c r="K275" s="233"/>
      <c r="L275" s="22"/>
      <c r="M275" s="25">
        <f t="shared" si="21"/>
        <v>0</v>
      </c>
      <c r="N275" s="25">
        <f t="shared" si="22"/>
        <v>0</v>
      </c>
      <c r="O275" s="25">
        <f t="shared" si="23"/>
        <v>0</v>
      </c>
      <c r="P275" s="25">
        <f t="shared" si="24"/>
        <v>0</v>
      </c>
      <c r="Q275" s="22"/>
      <c r="R275" s="22"/>
      <c r="S275" s="22"/>
      <c r="T275" s="168"/>
      <c r="U275" s="171">
        <f t="shared" si="25"/>
        <v>0</v>
      </c>
      <c r="V275" s="169"/>
      <c r="W275" s="28"/>
      <c r="X275" s="25" t="str">
        <f>+IF(AND('GRADING PACKING'!L$5=INWARDDATA!J275,'GRADING PACKING'!L$6=INWARDDATA!I275,AB275=0),"TRUE","FALSE")</f>
        <v>FALSE</v>
      </c>
      <c r="Y275" s="29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1"/>
      <c r="AK275" s="31"/>
      <c r="AL275" s="31"/>
      <c r="AM275" s="31"/>
      <c r="AN275" s="32" t="str">
        <f>+IF(AND('GRADING PACKING'!L$5=INWARDDATA!J275,'GRADING PACKING'!L$6=INWARDDATA!I275,AR275=0),"good","bad")</f>
        <v>bad</v>
      </c>
      <c r="AO275" s="33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86"/>
      <c r="BC275" s="86"/>
      <c r="BD275" s="97">
        <f>Table_15[[#This Row],[Wgt-Bag]]-Table_15[[#This Row],[Total Graded]]-Table_15[[#This Row],[UNDERSIZE]]+0.0011</f>
        <v>1.1000000000000001E-3</v>
      </c>
      <c r="BE275" s="86">
        <f>Table_15[[#This Row],[Total Graded]]-Table_15[[#This Row],[Packing Quantity]]+Table_15[[#This Row],[PACKING LOOSE]]</f>
        <v>0</v>
      </c>
      <c r="BF275" s="34">
        <f>IF(Table_15[[#This Row],[GRADED BAGS]]&gt;0,Table_15[[#This Row],[GRADED BAGS]],Table_15[[#This Row],[Bags]])</f>
        <v>0</v>
      </c>
    </row>
    <row r="276" spans="1:58" ht="14.25" hidden="1" customHeight="1" x14ac:dyDescent="0.35">
      <c r="A276" s="22">
        <v>274</v>
      </c>
      <c r="B276" s="22"/>
      <c r="C276" s="23"/>
      <c r="D276" s="23"/>
      <c r="E276" s="24"/>
      <c r="F276" s="23"/>
      <c r="G276" s="100"/>
      <c r="H276" s="101"/>
      <c r="I276" s="102"/>
      <c r="J276" s="102"/>
      <c r="K276" s="233"/>
      <c r="L276" s="22"/>
      <c r="M276" s="25">
        <f t="shared" si="21"/>
        <v>0</v>
      </c>
      <c r="N276" s="25">
        <f t="shared" si="22"/>
        <v>0</v>
      </c>
      <c r="O276" s="25">
        <f t="shared" si="23"/>
        <v>0</v>
      </c>
      <c r="P276" s="25">
        <f t="shared" si="24"/>
        <v>0</v>
      </c>
      <c r="Q276" s="22"/>
      <c r="R276" s="22"/>
      <c r="S276" s="22"/>
      <c r="T276" s="168"/>
      <c r="U276" s="171">
        <f t="shared" si="25"/>
        <v>0</v>
      </c>
      <c r="V276" s="169"/>
      <c r="W276" s="28"/>
      <c r="X276" s="25" t="str">
        <f>+IF(AND('GRADING PACKING'!L$5=INWARDDATA!J276,'GRADING PACKING'!L$6=INWARDDATA!I276,AB276=0),"TRUE","FALSE")</f>
        <v>FALSE</v>
      </c>
      <c r="Y276" s="29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1"/>
      <c r="AK276" s="31"/>
      <c r="AL276" s="31"/>
      <c r="AM276" s="31"/>
      <c r="AN276" s="32" t="str">
        <f>+IF(AND('GRADING PACKING'!L$5=INWARDDATA!J276,'GRADING PACKING'!L$6=INWARDDATA!I276,AR276=0),"good","bad")</f>
        <v>bad</v>
      </c>
      <c r="AO276" s="33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86"/>
      <c r="BC276" s="86"/>
      <c r="BD276" s="97">
        <f>Table_15[[#This Row],[Wgt-Bag]]-Table_15[[#This Row],[Total Graded]]-Table_15[[#This Row],[UNDERSIZE]]+0.0011</f>
        <v>1.1000000000000001E-3</v>
      </c>
      <c r="BE276" s="86">
        <f>Table_15[[#This Row],[Total Graded]]-Table_15[[#This Row],[Packing Quantity]]+Table_15[[#This Row],[PACKING LOOSE]]</f>
        <v>0</v>
      </c>
      <c r="BF276" s="34">
        <f>IF(Table_15[[#This Row],[GRADED BAGS]]&gt;0,Table_15[[#This Row],[GRADED BAGS]],Table_15[[#This Row],[Bags]])</f>
        <v>0</v>
      </c>
    </row>
    <row r="277" spans="1:58" ht="14.25" hidden="1" customHeight="1" x14ac:dyDescent="0.35">
      <c r="A277" s="22">
        <v>275</v>
      </c>
      <c r="B277" s="22"/>
      <c r="C277" s="23"/>
      <c r="D277" s="23"/>
      <c r="E277" s="24"/>
      <c r="F277" s="23"/>
      <c r="G277" s="100"/>
      <c r="H277" s="101"/>
      <c r="I277" s="102"/>
      <c r="J277" s="102"/>
      <c r="K277" s="233"/>
      <c r="L277" s="22"/>
      <c r="M277" s="25">
        <f t="shared" si="21"/>
        <v>0</v>
      </c>
      <c r="N277" s="25">
        <f t="shared" si="22"/>
        <v>0</v>
      </c>
      <c r="O277" s="25">
        <f t="shared" si="23"/>
        <v>0</v>
      </c>
      <c r="P277" s="25">
        <f t="shared" si="24"/>
        <v>0</v>
      </c>
      <c r="Q277" s="22"/>
      <c r="R277" s="22"/>
      <c r="S277" s="22"/>
      <c r="T277" s="168"/>
      <c r="U277" s="171">
        <f t="shared" si="25"/>
        <v>0</v>
      </c>
      <c r="V277" s="169"/>
      <c r="W277" s="28"/>
      <c r="X277" s="25" t="str">
        <f>+IF(AND('GRADING PACKING'!L$5=INWARDDATA!J277,'GRADING PACKING'!L$6=INWARDDATA!I277,AB277=0),"TRUE","FALSE")</f>
        <v>FALSE</v>
      </c>
      <c r="Y277" s="29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1"/>
      <c r="AK277" s="31"/>
      <c r="AL277" s="31"/>
      <c r="AM277" s="31"/>
      <c r="AN277" s="32" t="str">
        <f>+IF(AND('GRADING PACKING'!L$5=INWARDDATA!J277,'GRADING PACKING'!L$6=INWARDDATA!I277,AR277=0),"good","bad")</f>
        <v>bad</v>
      </c>
      <c r="AO277" s="33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86"/>
      <c r="BC277" s="86"/>
      <c r="BD277" s="97">
        <f>Table_15[[#This Row],[Wgt-Bag]]-Table_15[[#This Row],[Total Graded]]-Table_15[[#This Row],[UNDERSIZE]]+0.0011</f>
        <v>1.1000000000000001E-3</v>
      </c>
      <c r="BE277" s="86">
        <f>Table_15[[#This Row],[Total Graded]]-Table_15[[#This Row],[Packing Quantity]]+Table_15[[#This Row],[PACKING LOOSE]]</f>
        <v>0</v>
      </c>
      <c r="BF277" s="34">
        <f>IF(Table_15[[#This Row],[GRADED BAGS]]&gt;0,Table_15[[#This Row],[GRADED BAGS]],Table_15[[#This Row],[Bags]])</f>
        <v>0</v>
      </c>
    </row>
    <row r="278" spans="1:58" ht="14.25" hidden="1" customHeight="1" x14ac:dyDescent="0.35">
      <c r="A278" s="22">
        <v>276</v>
      </c>
      <c r="B278" s="22"/>
      <c r="C278" s="23"/>
      <c r="D278" s="23"/>
      <c r="E278" s="24"/>
      <c r="F278" s="23"/>
      <c r="G278" s="100"/>
      <c r="H278" s="101"/>
      <c r="I278" s="102"/>
      <c r="J278" s="102"/>
      <c r="K278" s="233"/>
      <c r="L278" s="22"/>
      <c r="M278" s="25">
        <f t="shared" si="21"/>
        <v>0</v>
      </c>
      <c r="N278" s="25">
        <f t="shared" si="22"/>
        <v>0</v>
      </c>
      <c r="O278" s="25">
        <f t="shared" si="23"/>
        <v>0</v>
      </c>
      <c r="P278" s="25">
        <f t="shared" si="24"/>
        <v>0</v>
      </c>
      <c r="Q278" s="22"/>
      <c r="R278" s="22"/>
      <c r="S278" s="22"/>
      <c r="T278" s="168"/>
      <c r="U278" s="171">
        <f t="shared" si="25"/>
        <v>0</v>
      </c>
      <c r="V278" s="169"/>
      <c r="W278" s="28"/>
      <c r="X278" s="25" t="str">
        <f>+IF(AND('GRADING PACKING'!L$5=INWARDDATA!J278,'GRADING PACKING'!L$6=INWARDDATA!I278,AB278=0),"TRUE","FALSE")</f>
        <v>FALSE</v>
      </c>
      <c r="Y278" s="29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1"/>
      <c r="AK278" s="31"/>
      <c r="AL278" s="31"/>
      <c r="AM278" s="31"/>
      <c r="AN278" s="32" t="str">
        <f>+IF(AND('GRADING PACKING'!L$5=INWARDDATA!J278,'GRADING PACKING'!L$6=INWARDDATA!I278,AR278=0),"good","bad")</f>
        <v>bad</v>
      </c>
      <c r="AO278" s="33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86"/>
      <c r="BC278" s="86"/>
      <c r="BD278" s="97">
        <f>Table_15[[#This Row],[Wgt-Bag]]-Table_15[[#This Row],[Total Graded]]-Table_15[[#This Row],[UNDERSIZE]]+0.0011</f>
        <v>1.1000000000000001E-3</v>
      </c>
      <c r="BE278" s="86">
        <f>Table_15[[#This Row],[Total Graded]]-Table_15[[#This Row],[Packing Quantity]]+Table_15[[#This Row],[PACKING LOOSE]]</f>
        <v>0</v>
      </c>
      <c r="BF278" s="34">
        <f>IF(Table_15[[#This Row],[GRADED BAGS]]&gt;0,Table_15[[#This Row],[GRADED BAGS]],Table_15[[#This Row],[Bags]])</f>
        <v>0</v>
      </c>
    </row>
    <row r="279" spans="1:58" ht="14.25" hidden="1" customHeight="1" x14ac:dyDescent="0.35">
      <c r="A279" s="22">
        <v>277</v>
      </c>
      <c r="B279" s="22"/>
      <c r="C279" s="23"/>
      <c r="D279" s="23"/>
      <c r="E279" s="24"/>
      <c r="F279" s="23"/>
      <c r="G279" s="100"/>
      <c r="H279" s="101"/>
      <c r="I279" s="102"/>
      <c r="J279" s="102"/>
      <c r="K279" s="233"/>
      <c r="L279" s="22"/>
      <c r="M279" s="25">
        <f t="shared" si="21"/>
        <v>0</v>
      </c>
      <c r="N279" s="25">
        <f t="shared" si="22"/>
        <v>0</v>
      </c>
      <c r="O279" s="25">
        <f t="shared" si="23"/>
        <v>0</v>
      </c>
      <c r="P279" s="25">
        <f t="shared" si="24"/>
        <v>0</v>
      </c>
      <c r="Q279" s="22"/>
      <c r="R279" s="22"/>
      <c r="S279" s="22"/>
      <c r="T279" s="168"/>
      <c r="U279" s="171">
        <f t="shared" si="25"/>
        <v>0</v>
      </c>
      <c r="V279" s="169"/>
      <c r="W279" s="28"/>
      <c r="X279" s="25" t="str">
        <f>+IF(AND('GRADING PACKING'!L$5=INWARDDATA!J279,'GRADING PACKING'!L$6=INWARDDATA!I279,AB279=0),"TRUE","FALSE")</f>
        <v>FALSE</v>
      </c>
      <c r="Y279" s="29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1"/>
      <c r="AK279" s="31"/>
      <c r="AL279" s="31"/>
      <c r="AM279" s="31"/>
      <c r="AN279" s="32" t="str">
        <f>+IF(AND('GRADING PACKING'!L$5=INWARDDATA!J279,'GRADING PACKING'!L$6=INWARDDATA!I279,AR279=0),"good","bad")</f>
        <v>bad</v>
      </c>
      <c r="AO279" s="33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86"/>
      <c r="BC279" s="86"/>
      <c r="BD279" s="97">
        <f>Table_15[[#This Row],[Wgt-Bag]]-Table_15[[#This Row],[Total Graded]]-Table_15[[#This Row],[UNDERSIZE]]+0.0011</f>
        <v>1.1000000000000001E-3</v>
      </c>
      <c r="BE279" s="86">
        <f>Table_15[[#This Row],[Total Graded]]-Table_15[[#This Row],[Packing Quantity]]+Table_15[[#This Row],[PACKING LOOSE]]</f>
        <v>0</v>
      </c>
      <c r="BF279" s="34">
        <f>IF(Table_15[[#This Row],[GRADED BAGS]]&gt;0,Table_15[[#This Row],[GRADED BAGS]],Table_15[[#This Row],[Bags]])</f>
        <v>0</v>
      </c>
    </row>
    <row r="280" spans="1:58" ht="14.25" hidden="1" customHeight="1" x14ac:dyDescent="0.35">
      <c r="A280" s="22">
        <v>278</v>
      </c>
      <c r="B280" s="22"/>
      <c r="C280" s="23"/>
      <c r="D280" s="23"/>
      <c r="E280" s="24"/>
      <c r="F280" s="23"/>
      <c r="G280" s="100"/>
      <c r="H280" s="101"/>
      <c r="I280" s="102"/>
      <c r="J280" s="102"/>
      <c r="K280" s="233"/>
      <c r="L280" s="22"/>
      <c r="M280" s="25">
        <f t="shared" si="21"/>
        <v>0</v>
      </c>
      <c r="N280" s="25">
        <f t="shared" si="22"/>
        <v>0</v>
      </c>
      <c r="O280" s="25">
        <f t="shared" si="23"/>
        <v>0</v>
      </c>
      <c r="P280" s="25">
        <f t="shared" si="24"/>
        <v>0</v>
      </c>
      <c r="Q280" s="22"/>
      <c r="R280" s="22"/>
      <c r="S280" s="22"/>
      <c r="T280" s="168"/>
      <c r="U280" s="171">
        <f t="shared" si="25"/>
        <v>0</v>
      </c>
      <c r="V280" s="169"/>
      <c r="W280" s="28"/>
      <c r="X280" s="25" t="str">
        <f>+IF(AND('GRADING PACKING'!L$5=INWARDDATA!J280,'GRADING PACKING'!L$6=INWARDDATA!I280,AB280=0),"TRUE","FALSE")</f>
        <v>FALSE</v>
      </c>
      <c r="Y280" s="29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1"/>
      <c r="AK280" s="31"/>
      <c r="AL280" s="31"/>
      <c r="AM280" s="31"/>
      <c r="AN280" s="32" t="str">
        <f>+IF(AND('GRADING PACKING'!L$5=INWARDDATA!J280,'GRADING PACKING'!L$6=INWARDDATA!I280,AR280=0),"good","bad")</f>
        <v>bad</v>
      </c>
      <c r="AO280" s="33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86"/>
      <c r="BC280" s="86"/>
      <c r="BD280" s="97">
        <f>Table_15[[#This Row],[Wgt-Bag]]-Table_15[[#This Row],[Total Graded]]-Table_15[[#This Row],[UNDERSIZE]]+0.0011</f>
        <v>1.1000000000000001E-3</v>
      </c>
      <c r="BE280" s="86">
        <f>Table_15[[#This Row],[Total Graded]]-Table_15[[#This Row],[Packing Quantity]]+Table_15[[#This Row],[PACKING LOOSE]]</f>
        <v>0</v>
      </c>
      <c r="BF280" s="34">
        <f>IF(Table_15[[#This Row],[GRADED BAGS]]&gt;0,Table_15[[#This Row],[GRADED BAGS]],Table_15[[#This Row],[Bags]])</f>
        <v>0</v>
      </c>
    </row>
    <row r="281" spans="1:58" ht="14.25" hidden="1" customHeight="1" x14ac:dyDescent="0.35">
      <c r="A281" s="22">
        <v>279</v>
      </c>
      <c r="B281" s="22"/>
      <c r="C281" s="23"/>
      <c r="D281" s="23"/>
      <c r="E281" s="24"/>
      <c r="F281" s="23"/>
      <c r="G281" s="100"/>
      <c r="H281" s="101"/>
      <c r="I281" s="102"/>
      <c r="J281" s="102"/>
      <c r="K281" s="233"/>
      <c r="L281" s="22"/>
      <c r="M281" s="25">
        <f t="shared" si="21"/>
        <v>0</v>
      </c>
      <c r="N281" s="25">
        <f t="shared" si="22"/>
        <v>0</v>
      </c>
      <c r="O281" s="25">
        <f t="shared" si="23"/>
        <v>0</v>
      </c>
      <c r="P281" s="25">
        <f t="shared" si="24"/>
        <v>0</v>
      </c>
      <c r="Q281" s="22"/>
      <c r="R281" s="22"/>
      <c r="S281" s="22"/>
      <c r="T281" s="168"/>
      <c r="U281" s="171">
        <f t="shared" si="25"/>
        <v>0</v>
      </c>
      <c r="V281" s="169"/>
      <c r="W281" s="28"/>
      <c r="X281" s="25" t="str">
        <f>+IF(AND('GRADING PACKING'!L$5=INWARDDATA!J281,'GRADING PACKING'!L$6=INWARDDATA!I281,AB281=0),"TRUE","FALSE")</f>
        <v>FALSE</v>
      </c>
      <c r="Y281" s="29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1"/>
      <c r="AK281" s="31"/>
      <c r="AL281" s="31"/>
      <c r="AM281" s="31"/>
      <c r="AN281" s="32" t="str">
        <f>+IF(AND('GRADING PACKING'!L$5=INWARDDATA!J281,'GRADING PACKING'!L$6=INWARDDATA!I281,AR281=0),"good","bad")</f>
        <v>bad</v>
      </c>
      <c r="AO281" s="33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86"/>
      <c r="BC281" s="86"/>
      <c r="BD281" s="97">
        <f>Table_15[[#This Row],[Wgt-Bag]]-Table_15[[#This Row],[Total Graded]]-Table_15[[#This Row],[UNDERSIZE]]+0.0011</f>
        <v>1.1000000000000001E-3</v>
      </c>
      <c r="BE281" s="86">
        <f>Table_15[[#This Row],[Total Graded]]-Table_15[[#This Row],[Packing Quantity]]+Table_15[[#This Row],[PACKING LOOSE]]</f>
        <v>0</v>
      </c>
      <c r="BF281" s="34">
        <f>IF(Table_15[[#This Row],[GRADED BAGS]]&gt;0,Table_15[[#This Row],[GRADED BAGS]],Table_15[[#This Row],[Bags]])</f>
        <v>0</v>
      </c>
    </row>
    <row r="282" spans="1:58" ht="14.25" hidden="1" customHeight="1" x14ac:dyDescent="0.35">
      <c r="A282" s="22">
        <v>280</v>
      </c>
      <c r="B282" s="22"/>
      <c r="C282" s="23"/>
      <c r="D282" s="23"/>
      <c r="E282" s="24"/>
      <c r="F282" s="23"/>
      <c r="G282" s="100"/>
      <c r="H282" s="101"/>
      <c r="I282" s="102"/>
      <c r="J282" s="102"/>
      <c r="K282" s="233"/>
      <c r="L282" s="22"/>
      <c r="M282" s="25">
        <f t="shared" si="21"/>
        <v>0</v>
      </c>
      <c r="N282" s="25">
        <f t="shared" si="22"/>
        <v>0</v>
      </c>
      <c r="O282" s="25">
        <f t="shared" si="23"/>
        <v>0</v>
      </c>
      <c r="P282" s="25">
        <f t="shared" si="24"/>
        <v>0</v>
      </c>
      <c r="Q282" s="22"/>
      <c r="R282" s="22"/>
      <c r="S282" s="22"/>
      <c r="T282" s="168"/>
      <c r="U282" s="171">
        <f t="shared" si="25"/>
        <v>0</v>
      </c>
      <c r="V282" s="169"/>
      <c r="W282" s="28"/>
      <c r="X282" s="25" t="str">
        <f>+IF(AND('GRADING PACKING'!L$5=INWARDDATA!J282,'GRADING PACKING'!L$6=INWARDDATA!I282,AB282=0),"TRUE","FALSE")</f>
        <v>FALSE</v>
      </c>
      <c r="Y282" s="29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1"/>
      <c r="AK282" s="31"/>
      <c r="AL282" s="31"/>
      <c r="AM282" s="31"/>
      <c r="AN282" s="32" t="str">
        <f>+IF(AND('GRADING PACKING'!L$5=INWARDDATA!J282,'GRADING PACKING'!L$6=INWARDDATA!I282,AR282=0),"good","bad")</f>
        <v>bad</v>
      </c>
      <c r="AO282" s="33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86"/>
      <c r="BC282" s="86"/>
      <c r="BD282" s="97">
        <f>Table_15[[#This Row],[Wgt-Bag]]-Table_15[[#This Row],[Total Graded]]-Table_15[[#This Row],[UNDERSIZE]]+0.0011</f>
        <v>1.1000000000000001E-3</v>
      </c>
      <c r="BE282" s="86">
        <f>Table_15[[#This Row],[Total Graded]]-Table_15[[#This Row],[Packing Quantity]]+Table_15[[#This Row],[PACKING LOOSE]]</f>
        <v>0</v>
      </c>
      <c r="BF282" s="34">
        <f>IF(Table_15[[#This Row],[GRADED BAGS]]&gt;0,Table_15[[#This Row],[GRADED BAGS]],Table_15[[#This Row],[Bags]])</f>
        <v>0</v>
      </c>
    </row>
    <row r="283" spans="1:58" ht="14.25" hidden="1" customHeight="1" x14ac:dyDescent="0.35">
      <c r="A283" s="22">
        <v>281</v>
      </c>
      <c r="B283" s="22"/>
      <c r="C283" s="23"/>
      <c r="D283" s="23"/>
      <c r="E283" s="24"/>
      <c r="F283" s="23"/>
      <c r="G283" s="100"/>
      <c r="H283" s="101"/>
      <c r="I283" s="102"/>
      <c r="J283" s="102"/>
      <c r="K283" s="233"/>
      <c r="L283" s="22"/>
      <c r="M283" s="25">
        <f t="shared" si="21"/>
        <v>0</v>
      </c>
      <c r="N283" s="25">
        <f t="shared" si="22"/>
        <v>0</v>
      </c>
      <c r="O283" s="25">
        <f t="shared" si="23"/>
        <v>0</v>
      </c>
      <c r="P283" s="25">
        <f t="shared" si="24"/>
        <v>0</v>
      </c>
      <c r="Q283" s="22"/>
      <c r="R283" s="22"/>
      <c r="S283" s="22"/>
      <c r="T283" s="168"/>
      <c r="U283" s="171">
        <f t="shared" si="25"/>
        <v>0</v>
      </c>
      <c r="V283" s="169"/>
      <c r="W283" s="28"/>
      <c r="X283" s="25" t="str">
        <f>+IF(AND('GRADING PACKING'!L$5=INWARDDATA!J283,'GRADING PACKING'!L$6=INWARDDATA!I283,AB283=0),"TRUE","FALSE")</f>
        <v>FALSE</v>
      </c>
      <c r="Y283" s="29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1"/>
      <c r="AK283" s="31"/>
      <c r="AL283" s="31"/>
      <c r="AM283" s="31"/>
      <c r="AN283" s="32" t="str">
        <f>+IF(AND('GRADING PACKING'!L$5=INWARDDATA!J283,'GRADING PACKING'!L$6=INWARDDATA!I283,AR283=0),"good","bad")</f>
        <v>bad</v>
      </c>
      <c r="AO283" s="33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86"/>
      <c r="BC283" s="86"/>
      <c r="BD283" s="97">
        <f>Table_15[[#This Row],[Wgt-Bag]]-Table_15[[#This Row],[Total Graded]]-Table_15[[#This Row],[UNDERSIZE]]+0.0011</f>
        <v>1.1000000000000001E-3</v>
      </c>
      <c r="BE283" s="86">
        <f>Table_15[[#This Row],[Total Graded]]-Table_15[[#This Row],[Packing Quantity]]+Table_15[[#This Row],[PACKING LOOSE]]</f>
        <v>0</v>
      </c>
      <c r="BF283" s="34">
        <f>IF(Table_15[[#This Row],[GRADED BAGS]]&gt;0,Table_15[[#This Row],[GRADED BAGS]],Table_15[[#This Row],[Bags]])</f>
        <v>0</v>
      </c>
    </row>
    <row r="284" spans="1:58" ht="14.25" hidden="1" customHeight="1" x14ac:dyDescent="0.35">
      <c r="A284" s="22">
        <v>282</v>
      </c>
      <c r="B284" s="22"/>
      <c r="C284" s="23"/>
      <c r="D284" s="23"/>
      <c r="E284" s="24"/>
      <c r="F284" s="23"/>
      <c r="G284" s="100"/>
      <c r="H284" s="101"/>
      <c r="I284" s="102"/>
      <c r="J284" s="102"/>
      <c r="K284" s="233"/>
      <c r="L284" s="22"/>
      <c r="M284" s="25">
        <f t="shared" si="21"/>
        <v>0</v>
      </c>
      <c r="N284" s="25">
        <f t="shared" si="22"/>
        <v>0</v>
      </c>
      <c r="O284" s="25">
        <f t="shared" si="23"/>
        <v>0</v>
      </c>
      <c r="P284" s="25">
        <f t="shared" si="24"/>
        <v>0</v>
      </c>
      <c r="Q284" s="22"/>
      <c r="R284" s="22"/>
      <c r="S284" s="22"/>
      <c r="T284" s="168"/>
      <c r="U284" s="171">
        <f t="shared" si="25"/>
        <v>0</v>
      </c>
      <c r="V284" s="169"/>
      <c r="W284" s="28"/>
      <c r="X284" s="25" t="str">
        <f>+IF(AND('GRADING PACKING'!L$5=INWARDDATA!J284,'GRADING PACKING'!L$6=INWARDDATA!I284,AB284=0),"TRUE","FALSE")</f>
        <v>FALSE</v>
      </c>
      <c r="Y284" s="29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1"/>
      <c r="AK284" s="31"/>
      <c r="AL284" s="31"/>
      <c r="AM284" s="31"/>
      <c r="AN284" s="32" t="str">
        <f>+IF(AND('GRADING PACKING'!L$5=INWARDDATA!J284,'GRADING PACKING'!L$6=INWARDDATA!I284,AR284=0),"good","bad")</f>
        <v>bad</v>
      </c>
      <c r="AO284" s="33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86"/>
      <c r="BC284" s="86"/>
      <c r="BD284" s="97">
        <f>Table_15[[#This Row],[Wgt-Bag]]-Table_15[[#This Row],[Total Graded]]-Table_15[[#This Row],[UNDERSIZE]]+0.0011</f>
        <v>1.1000000000000001E-3</v>
      </c>
      <c r="BE284" s="86">
        <f>Table_15[[#This Row],[Total Graded]]-Table_15[[#This Row],[Packing Quantity]]+Table_15[[#This Row],[PACKING LOOSE]]</f>
        <v>0</v>
      </c>
      <c r="BF284" s="34">
        <f>IF(Table_15[[#This Row],[GRADED BAGS]]&gt;0,Table_15[[#This Row],[GRADED BAGS]],Table_15[[#This Row],[Bags]])</f>
        <v>0</v>
      </c>
    </row>
    <row r="285" spans="1:58" ht="14.25" hidden="1" customHeight="1" x14ac:dyDescent="0.35">
      <c r="A285" s="22">
        <v>283</v>
      </c>
      <c r="B285" s="22"/>
      <c r="C285" s="23"/>
      <c r="D285" s="23"/>
      <c r="E285" s="24"/>
      <c r="F285" s="23"/>
      <c r="G285" s="100"/>
      <c r="H285" s="101"/>
      <c r="I285" s="102"/>
      <c r="J285" s="102"/>
      <c r="K285" s="233"/>
      <c r="L285" s="22"/>
      <c r="M285" s="25">
        <f t="shared" si="21"/>
        <v>0</v>
      </c>
      <c r="N285" s="25">
        <f t="shared" si="22"/>
        <v>0</v>
      </c>
      <c r="O285" s="25">
        <f t="shared" si="23"/>
        <v>0</v>
      </c>
      <c r="P285" s="25">
        <f t="shared" si="24"/>
        <v>0</v>
      </c>
      <c r="Q285" s="22"/>
      <c r="R285" s="22"/>
      <c r="S285" s="22"/>
      <c r="T285" s="168"/>
      <c r="U285" s="171">
        <f t="shared" si="25"/>
        <v>0</v>
      </c>
      <c r="V285" s="169"/>
      <c r="W285" s="28"/>
      <c r="X285" s="25" t="str">
        <f>+IF(AND('GRADING PACKING'!L$5=INWARDDATA!J285,'GRADING PACKING'!L$6=INWARDDATA!I285,AB285=0),"TRUE","FALSE")</f>
        <v>FALSE</v>
      </c>
      <c r="Y285" s="29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1"/>
      <c r="AK285" s="31"/>
      <c r="AL285" s="31"/>
      <c r="AM285" s="31"/>
      <c r="AN285" s="32" t="str">
        <f>+IF(AND('GRADING PACKING'!L$5=INWARDDATA!J285,'GRADING PACKING'!L$6=INWARDDATA!I285,AR285=0),"good","bad")</f>
        <v>bad</v>
      </c>
      <c r="AO285" s="33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86"/>
      <c r="BC285" s="86"/>
      <c r="BD285" s="97">
        <f>Table_15[[#This Row],[Wgt-Bag]]-Table_15[[#This Row],[Total Graded]]-Table_15[[#This Row],[UNDERSIZE]]+0.0011</f>
        <v>1.1000000000000001E-3</v>
      </c>
      <c r="BE285" s="86">
        <f>Table_15[[#This Row],[Total Graded]]-Table_15[[#This Row],[Packing Quantity]]+Table_15[[#This Row],[PACKING LOOSE]]</f>
        <v>0</v>
      </c>
      <c r="BF285" s="34">
        <f>IF(Table_15[[#This Row],[GRADED BAGS]]&gt;0,Table_15[[#This Row],[GRADED BAGS]],Table_15[[#This Row],[Bags]])</f>
        <v>0</v>
      </c>
    </row>
    <row r="286" spans="1:58" ht="14.25" hidden="1" customHeight="1" x14ac:dyDescent="0.35">
      <c r="A286" s="22">
        <v>284</v>
      </c>
      <c r="B286" s="22"/>
      <c r="C286" s="23"/>
      <c r="D286" s="23"/>
      <c r="E286" s="24"/>
      <c r="F286" s="23"/>
      <c r="G286" s="100"/>
      <c r="H286" s="101"/>
      <c r="I286" s="102"/>
      <c r="J286" s="102"/>
      <c r="K286" s="233"/>
      <c r="L286" s="22"/>
      <c r="M286" s="25">
        <f t="shared" si="21"/>
        <v>0</v>
      </c>
      <c r="N286" s="25">
        <f t="shared" si="22"/>
        <v>0</v>
      </c>
      <c r="O286" s="25">
        <f t="shared" si="23"/>
        <v>0</v>
      </c>
      <c r="P286" s="25">
        <f t="shared" si="24"/>
        <v>0</v>
      </c>
      <c r="Q286" s="22"/>
      <c r="R286" s="22"/>
      <c r="S286" s="22"/>
      <c r="T286" s="168"/>
      <c r="U286" s="171">
        <f t="shared" si="25"/>
        <v>0</v>
      </c>
      <c r="V286" s="169"/>
      <c r="W286" s="28"/>
      <c r="X286" s="25" t="str">
        <f>+IF(AND('GRADING PACKING'!L$5=INWARDDATA!J286,'GRADING PACKING'!L$6=INWARDDATA!I286,AB286=0),"TRUE","FALSE")</f>
        <v>FALSE</v>
      </c>
      <c r="Y286" s="29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1"/>
      <c r="AK286" s="31"/>
      <c r="AL286" s="31"/>
      <c r="AM286" s="31"/>
      <c r="AN286" s="32" t="str">
        <f>+IF(AND('GRADING PACKING'!L$5=INWARDDATA!J286,'GRADING PACKING'!L$6=INWARDDATA!I286,AR286=0),"good","bad")</f>
        <v>bad</v>
      </c>
      <c r="AO286" s="33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86"/>
      <c r="BC286" s="86"/>
      <c r="BD286" s="97">
        <f>Table_15[[#This Row],[Wgt-Bag]]-Table_15[[#This Row],[Total Graded]]-Table_15[[#This Row],[UNDERSIZE]]+0.0011</f>
        <v>1.1000000000000001E-3</v>
      </c>
      <c r="BE286" s="86">
        <f>Table_15[[#This Row],[Total Graded]]-Table_15[[#This Row],[Packing Quantity]]+Table_15[[#This Row],[PACKING LOOSE]]</f>
        <v>0</v>
      </c>
      <c r="BF286" s="34">
        <f>IF(Table_15[[#This Row],[GRADED BAGS]]&gt;0,Table_15[[#This Row],[GRADED BAGS]],Table_15[[#This Row],[Bags]])</f>
        <v>0</v>
      </c>
    </row>
    <row r="287" spans="1:58" ht="14.25" hidden="1" customHeight="1" x14ac:dyDescent="0.35">
      <c r="A287" s="22">
        <v>285</v>
      </c>
      <c r="B287" s="22"/>
      <c r="C287" s="23"/>
      <c r="D287" s="23"/>
      <c r="E287" s="24"/>
      <c r="F287" s="23"/>
      <c r="G287" s="100"/>
      <c r="H287" s="101"/>
      <c r="I287" s="102"/>
      <c r="J287" s="102"/>
      <c r="K287" s="233"/>
      <c r="L287" s="22"/>
      <c r="M287" s="25">
        <f t="shared" si="21"/>
        <v>0</v>
      </c>
      <c r="N287" s="25">
        <f t="shared" si="22"/>
        <v>0</v>
      </c>
      <c r="O287" s="25">
        <f t="shared" si="23"/>
        <v>0</v>
      </c>
      <c r="P287" s="25">
        <f t="shared" si="24"/>
        <v>0</v>
      </c>
      <c r="Q287" s="22"/>
      <c r="R287" s="22"/>
      <c r="S287" s="22"/>
      <c r="T287" s="168"/>
      <c r="U287" s="171">
        <f t="shared" si="25"/>
        <v>0</v>
      </c>
      <c r="V287" s="169"/>
      <c r="W287" s="28"/>
      <c r="X287" s="25" t="str">
        <f>+IF(AND('GRADING PACKING'!L$5=INWARDDATA!J287,'GRADING PACKING'!L$6=INWARDDATA!I287,AB287=0),"TRUE","FALSE")</f>
        <v>FALSE</v>
      </c>
      <c r="Y287" s="29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1"/>
      <c r="AK287" s="31"/>
      <c r="AL287" s="31"/>
      <c r="AM287" s="31"/>
      <c r="AN287" s="32" t="str">
        <f>+IF(AND('GRADING PACKING'!L$5=INWARDDATA!J287,'GRADING PACKING'!L$6=INWARDDATA!I287,AR287=0),"good","bad")</f>
        <v>bad</v>
      </c>
      <c r="AO287" s="33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86"/>
      <c r="BC287" s="86"/>
      <c r="BD287" s="97">
        <f>Table_15[[#This Row],[Wgt-Bag]]-Table_15[[#This Row],[Total Graded]]-Table_15[[#This Row],[UNDERSIZE]]+0.0011</f>
        <v>1.1000000000000001E-3</v>
      </c>
      <c r="BE287" s="86">
        <f>Table_15[[#This Row],[Total Graded]]-Table_15[[#This Row],[Packing Quantity]]+Table_15[[#This Row],[PACKING LOOSE]]</f>
        <v>0</v>
      </c>
      <c r="BF287" s="34">
        <f>IF(Table_15[[#This Row],[GRADED BAGS]]&gt;0,Table_15[[#This Row],[GRADED BAGS]],Table_15[[#This Row],[Bags]])</f>
        <v>0</v>
      </c>
    </row>
    <row r="288" spans="1:58" ht="14.25" hidden="1" customHeight="1" x14ac:dyDescent="0.35">
      <c r="A288" s="22">
        <v>286</v>
      </c>
      <c r="B288" s="22"/>
      <c r="C288" s="23"/>
      <c r="D288" s="23"/>
      <c r="E288" s="24"/>
      <c r="F288" s="23"/>
      <c r="G288" s="100"/>
      <c r="H288" s="101"/>
      <c r="I288" s="102"/>
      <c r="J288" s="102"/>
      <c r="K288" s="233"/>
      <c r="L288" s="22"/>
      <c r="M288" s="25">
        <f t="shared" si="21"/>
        <v>0</v>
      </c>
      <c r="N288" s="25">
        <f t="shared" si="22"/>
        <v>0</v>
      </c>
      <c r="O288" s="25">
        <f t="shared" si="23"/>
        <v>0</v>
      </c>
      <c r="P288" s="25">
        <f t="shared" si="24"/>
        <v>0</v>
      </c>
      <c r="Q288" s="22"/>
      <c r="R288" s="22"/>
      <c r="S288" s="22"/>
      <c r="T288" s="168"/>
      <c r="U288" s="171">
        <f t="shared" si="25"/>
        <v>0</v>
      </c>
      <c r="V288" s="169"/>
      <c r="W288" s="28"/>
      <c r="X288" s="25" t="str">
        <f>+IF(AND('GRADING PACKING'!L$5=INWARDDATA!J288,'GRADING PACKING'!L$6=INWARDDATA!I288,AB288=0),"TRUE","FALSE")</f>
        <v>FALSE</v>
      </c>
      <c r="Y288" s="29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1"/>
      <c r="AK288" s="31"/>
      <c r="AL288" s="31"/>
      <c r="AM288" s="31"/>
      <c r="AN288" s="32" t="str">
        <f>+IF(AND('GRADING PACKING'!L$5=INWARDDATA!J288,'GRADING PACKING'!L$6=INWARDDATA!I288,AR288=0),"good","bad")</f>
        <v>bad</v>
      </c>
      <c r="AO288" s="33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86"/>
      <c r="BC288" s="86"/>
      <c r="BD288" s="97">
        <f>Table_15[[#This Row],[Wgt-Bag]]-Table_15[[#This Row],[Total Graded]]-Table_15[[#This Row],[UNDERSIZE]]+0.0011</f>
        <v>1.1000000000000001E-3</v>
      </c>
      <c r="BE288" s="86">
        <f>Table_15[[#This Row],[Total Graded]]-Table_15[[#This Row],[Packing Quantity]]+Table_15[[#This Row],[PACKING LOOSE]]</f>
        <v>0</v>
      </c>
      <c r="BF288" s="34">
        <f>IF(Table_15[[#This Row],[GRADED BAGS]]&gt;0,Table_15[[#This Row],[GRADED BAGS]],Table_15[[#This Row],[Bags]])</f>
        <v>0</v>
      </c>
    </row>
    <row r="289" spans="1:58" ht="14.25" hidden="1" customHeight="1" x14ac:dyDescent="0.35">
      <c r="A289" s="22">
        <v>287</v>
      </c>
      <c r="B289" s="22"/>
      <c r="C289" s="23"/>
      <c r="D289" s="23"/>
      <c r="E289" s="24"/>
      <c r="F289" s="23"/>
      <c r="G289" s="100"/>
      <c r="H289" s="101"/>
      <c r="I289" s="102"/>
      <c r="J289" s="102"/>
      <c r="K289" s="233"/>
      <c r="L289" s="22"/>
      <c r="M289" s="25">
        <f t="shared" si="21"/>
        <v>0</v>
      </c>
      <c r="N289" s="25">
        <f t="shared" si="22"/>
        <v>0</v>
      </c>
      <c r="O289" s="25">
        <f t="shared" si="23"/>
        <v>0</v>
      </c>
      <c r="P289" s="25">
        <f t="shared" si="24"/>
        <v>0</v>
      </c>
      <c r="Q289" s="22"/>
      <c r="R289" s="22"/>
      <c r="S289" s="22"/>
      <c r="T289" s="168"/>
      <c r="U289" s="171">
        <f t="shared" si="25"/>
        <v>0</v>
      </c>
      <c r="V289" s="169"/>
      <c r="W289" s="28"/>
      <c r="X289" s="25" t="str">
        <f>+IF(AND('GRADING PACKING'!L$5=INWARDDATA!J289,'GRADING PACKING'!L$6=INWARDDATA!I289,AB289=0),"TRUE","FALSE")</f>
        <v>FALSE</v>
      </c>
      <c r="Y289" s="29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1"/>
      <c r="AK289" s="31"/>
      <c r="AL289" s="31"/>
      <c r="AM289" s="31"/>
      <c r="AN289" s="32" t="str">
        <f>+IF(AND('GRADING PACKING'!L$5=INWARDDATA!J289,'GRADING PACKING'!L$6=INWARDDATA!I289,AR289=0),"good","bad")</f>
        <v>bad</v>
      </c>
      <c r="AO289" s="33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86"/>
      <c r="BC289" s="86"/>
      <c r="BD289" s="97">
        <f>Table_15[[#This Row],[Wgt-Bag]]-Table_15[[#This Row],[Total Graded]]-Table_15[[#This Row],[UNDERSIZE]]+0.0011</f>
        <v>1.1000000000000001E-3</v>
      </c>
      <c r="BE289" s="86">
        <f>Table_15[[#This Row],[Total Graded]]-Table_15[[#This Row],[Packing Quantity]]+Table_15[[#This Row],[PACKING LOOSE]]</f>
        <v>0</v>
      </c>
      <c r="BF289" s="34">
        <f>IF(Table_15[[#This Row],[GRADED BAGS]]&gt;0,Table_15[[#This Row],[GRADED BAGS]],Table_15[[#This Row],[Bags]])</f>
        <v>0</v>
      </c>
    </row>
    <row r="290" spans="1:58" ht="14.25" hidden="1" customHeight="1" x14ac:dyDescent="0.35">
      <c r="A290" s="22">
        <v>288</v>
      </c>
      <c r="B290" s="22"/>
      <c r="C290" s="23"/>
      <c r="D290" s="23"/>
      <c r="E290" s="24"/>
      <c r="F290" s="23"/>
      <c r="G290" s="100"/>
      <c r="H290" s="101"/>
      <c r="I290" s="102"/>
      <c r="J290" s="102"/>
      <c r="K290" s="233"/>
      <c r="L290" s="22"/>
      <c r="M290" s="25">
        <f t="shared" si="21"/>
        <v>0</v>
      </c>
      <c r="N290" s="25">
        <f t="shared" si="22"/>
        <v>0</v>
      </c>
      <c r="O290" s="25">
        <f t="shared" si="23"/>
        <v>0</v>
      </c>
      <c r="P290" s="25">
        <f t="shared" si="24"/>
        <v>0</v>
      </c>
      <c r="Q290" s="22"/>
      <c r="R290" s="22"/>
      <c r="S290" s="22"/>
      <c r="T290" s="168"/>
      <c r="U290" s="171">
        <f t="shared" si="25"/>
        <v>0</v>
      </c>
      <c r="V290" s="169"/>
      <c r="W290" s="28"/>
      <c r="X290" s="25" t="str">
        <f>+IF(AND('GRADING PACKING'!L$5=INWARDDATA!J290,'GRADING PACKING'!L$6=INWARDDATA!I290,AB290=0),"TRUE","FALSE")</f>
        <v>FALSE</v>
      </c>
      <c r="Y290" s="29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1"/>
      <c r="AK290" s="31"/>
      <c r="AL290" s="31"/>
      <c r="AM290" s="31"/>
      <c r="AN290" s="32" t="str">
        <f>+IF(AND('GRADING PACKING'!L$5=INWARDDATA!J290,'GRADING PACKING'!L$6=INWARDDATA!I290,AR290=0),"good","bad")</f>
        <v>bad</v>
      </c>
      <c r="AO290" s="33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86"/>
      <c r="BC290" s="86"/>
      <c r="BD290" s="97">
        <f>Table_15[[#This Row],[Wgt-Bag]]-Table_15[[#This Row],[Total Graded]]-Table_15[[#This Row],[UNDERSIZE]]+0.0011</f>
        <v>1.1000000000000001E-3</v>
      </c>
      <c r="BE290" s="86">
        <f>Table_15[[#This Row],[Total Graded]]-Table_15[[#This Row],[Packing Quantity]]+Table_15[[#This Row],[PACKING LOOSE]]</f>
        <v>0</v>
      </c>
      <c r="BF290" s="34">
        <f>IF(Table_15[[#This Row],[GRADED BAGS]]&gt;0,Table_15[[#This Row],[GRADED BAGS]],Table_15[[#This Row],[Bags]])</f>
        <v>0</v>
      </c>
    </row>
    <row r="291" spans="1:58" ht="14.25" hidden="1" customHeight="1" x14ac:dyDescent="0.35">
      <c r="A291" s="22">
        <v>289</v>
      </c>
      <c r="B291" s="22"/>
      <c r="C291" s="23"/>
      <c r="D291" s="23"/>
      <c r="E291" s="24"/>
      <c r="F291" s="23"/>
      <c r="G291" s="100"/>
      <c r="H291" s="101"/>
      <c r="I291" s="102"/>
      <c r="J291" s="102"/>
      <c r="K291" s="233"/>
      <c r="L291" s="22"/>
      <c r="M291" s="25">
        <f t="shared" si="21"/>
        <v>0</v>
      </c>
      <c r="N291" s="25">
        <f t="shared" si="22"/>
        <v>0</v>
      </c>
      <c r="O291" s="25">
        <f t="shared" si="23"/>
        <v>0</v>
      </c>
      <c r="P291" s="25">
        <f t="shared" si="24"/>
        <v>0</v>
      </c>
      <c r="Q291" s="22"/>
      <c r="R291" s="22"/>
      <c r="S291" s="22"/>
      <c r="T291" s="168"/>
      <c r="U291" s="171">
        <f t="shared" si="25"/>
        <v>0</v>
      </c>
      <c r="V291" s="169"/>
      <c r="W291" s="28"/>
      <c r="X291" s="25" t="str">
        <f>+IF(AND('GRADING PACKING'!L$5=INWARDDATA!J291,'GRADING PACKING'!L$6=INWARDDATA!I291,AB291=0),"TRUE","FALSE")</f>
        <v>FALSE</v>
      </c>
      <c r="Y291" s="29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1"/>
      <c r="AK291" s="31"/>
      <c r="AL291" s="31"/>
      <c r="AM291" s="31"/>
      <c r="AN291" s="32" t="str">
        <f>+IF(AND('GRADING PACKING'!L$5=INWARDDATA!J291,'GRADING PACKING'!L$6=INWARDDATA!I291,AR291=0),"good","bad")</f>
        <v>bad</v>
      </c>
      <c r="AO291" s="33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86"/>
      <c r="BC291" s="86"/>
      <c r="BD291" s="97">
        <f>Table_15[[#This Row],[Wgt-Bag]]-Table_15[[#This Row],[Total Graded]]-Table_15[[#This Row],[UNDERSIZE]]+0.0011</f>
        <v>1.1000000000000001E-3</v>
      </c>
      <c r="BE291" s="86">
        <f>Table_15[[#This Row],[Total Graded]]-Table_15[[#This Row],[Packing Quantity]]+Table_15[[#This Row],[PACKING LOOSE]]</f>
        <v>0</v>
      </c>
      <c r="BF291" s="34">
        <f>IF(Table_15[[#This Row],[GRADED BAGS]]&gt;0,Table_15[[#This Row],[GRADED BAGS]],Table_15[[#This Row],[Bags]])</f>
        <v>0</v>
      </c>
    </row>
    <row r="292" spans="1:58" ht="14.25" hidden="1" customHeight="1" x14ac:dyDescent="0.35">
      <c r="A292" s="22">
        <v>290</v>
      </c>
      <c r="B292" s="22"/>
      <c r="C292" s="23"/>
      <c r="D292" s="23"/>
      <c r="E292" s="24"/>
      <c r="F292" s="23"/>
      <c r="G292" s="100"/>
      <c r="H292" s="101"/>
      <c r="I292" s="102"/>
      <c r="J292" s="102"/>
      <c r="K292" s="233"/>
      <c r="L292" s="22"/>
      <c r="M292" s="25">
        <f t="shared" si="21"/>
        <v>0</v>
      </c>
      <c r="N292" s="25">
        <f t="shared" si="22"/>
        <v>0</v>
      </c>
      <c r="O292" s="25">
        <f t="shared" si="23"/>
        <v>0</v>
      </c>
      <c r="P292" s="25">
        <f t="shared" si="24"/>
        <v>0</v>
      </c>
      <c r="Q292" s="22"/>
      <c r="R292" s="22"/>
      <c r="S292" s="22"/>
      <c r="T292" s="168"/>
      <c r="U292" s="171">
        <f t="shared" si="25"/>
        <v>0</v>
      </c>
      <c r="V292" s="169"/>
      <c r="W292" s="28"/>
      <c r="X292" s="25" t="str">
        <f>+IF(AND('GRADING PACKING'!L$5=INWARDDATA!J292,'GRADING PACKING'!L$6=INWARDDATA!I292,AB292=0),"TRUE","FALSE")</f>
        <v>FALSE</v>
      </c>
      <c r="Y292" s="29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1"/>
      <c r="AK292" s="31"/>
      <c r="AL292" s="31"/>
      <c r="AM292" s="31"/>
      <c r="AN292" s="32" t="str">
        <f>+IF(AND('GRADING PACKING'!L$5=INWARDDATA!J292,'GRADING PACKING'!L$6=INWARDDATA!I292,AR292=0),"good","bad")</f>
        <v>bad</v>
      </c>
      <c r="AO292" s="33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86"/>
      <c r="BC292" s="86"/>
      <c r="BD292" s="97">
        <f>Table_15[[#This Row],[Wgt-Bag]]-Table_15[[#This Row],[Total Graded]]-Table_15[[#This Row],[UNDERSIZE]]+0.0011</f>
        <v>1.1000000000000001E-3</v>
      </c>
      <c r="BE292" s="86">
        <f>Table_15[[#This Row],[Total Graded]]-Table_15[[#This Row],[Packing Quantity]]+Table_15[[#This Row],[PACKING LOOSE]]</f>
        <v>0</v>
      </c>
      <c r="BF292" s="34">
        <f>IF(Table_15[[#This Row],[GRADED BAGS]]&gt;0,Table_15[[#This Row],[GRADED BAGS]],Table_15[[#This Row],[Bags]])</f>
        <v>0</v>
      </c>
    </row>
    <row r="293" spans="1:58" ht="14.25" hidden="1" customHeight="1" x14ac:dyDescent="0.35">
      <c r="A293" s="22">
        <v>291</v>
      </c>
      <c r="B293" s="22"/>
      <c r="C293" s="23"/>
      <c r="D293" s="23"/>
      <c r="E293" s="24"/>
      <c r="F293" s="23"/>
      <c r="G293" s="100"/>
      <c r="H293" s="101"/>
      <c r="I293" s="102"/>
      <c r="J293" s="102"/>
      <c r="K293" s="233"/>
      <c r="L293" s="22"/>
      <c r="M293" s="25">
        <f t="shared" si="21"/>
        <v>0</v>
      </c>
      <c r="N293" s="25">
        <f t="shared" si="22"/>
        <v>0</v>
      </c>
      <c r="O293" s="25">
        <f t="shared" si="23"/>
        <v>0</v>
      </c>
      <c r="P293" s="25">
        <f t="shared" si="24"/>
        <v>0</v>
      </c>
      <c r="Q293" s="22"/>
      <c r="R293" s="22"/>
      <c r="S293" s="22"/>
      <c r="T293" s="168"/>
      <c r="U293" s="171">
        <f t="shared" si="25"/>
        <v>0</v>
      </c>
      <c r="V293" s="169"/>
      <c r="W293" s="28"/>
      <c r="X293" s="25" t="str">
        <f>+IF(AND('GRADING PACKING'!L$5=INWARDDATA!J293,'GRADING PACKING'!L$6=INWARDDATA!I293,AB293=0),"TRUE","FALSE")</f>
        <v>FALSE</v>
      </c>
      <c r="Y293" s="29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1"/>
      <c r="AK293" s="31"/>
      <c r="AL293" s="31"/>
      <c r="AM293" s="31"/>
      <c r="AN293" s="32" t="str">
        <f>+IF(AND('GRADING PACKING'!L$5=INWARDDATA!J293,'GRADING PACKING'!L$6=INWARDDATA!I293,AR293=0),"good","bad")</f>
        <v>bad</v>
      </c>
      <c r="AO293" s="33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86"/>
      <c r="BC293" s="86"/>
      <c r="BD293" s="97">
        <f>Table_15[[#This Row],[Wgt-Bag]]-Table_15[[#This Row],[Total Graded]]-Table_15[[#This Row],[UNDERSIZE]]+0.0011</f>
        <v>1.1000000000000001E-3</v>
      </c>
      <c r="BE293" s="86">
        <f>Table_15[[#This Row],[Total Graded]]-Table_15[[#This Row],[Packing Quantity]]+Table_15[[#This Row],[PACKING LOOSE]]</f>
        <v>0</v>
      </c>
      <c r="BF293" s="34">
        <f>IF(Table_15[[#This Row],[GRADED BAGS]]&gt;0,Table_15[[#This Row],[GRADED BAGS]],Table_15[[#This Row],[Bags]])</f>
        <v>0</v>
      </c>
    </row>
    <row r="294" spans="1:58" ht="14.25" hidden="1" customHeight="1" x14ac:dyDescent="0.35">
      <c r="A294" s="22">
        <v>292</v>
      </c>
      <c r="B294" s="22"/>
      <c r="C294" s="23"/>
      <c r="D294" s="23"/>
      <c r="E294" s="24"/>
      <c r="F294" s="23"/>
      <c r="G294" s="100"/>
      <c r="H294" s="101"/>
      <c r="I294" s="102"/>
      <c r="J294" s="102"/>
      <c r="K294" s="233"/>
      <c r="L294" s="22"/>
      <c r="M294" s="25">
        <f t="shared" si="21"/>
        <v>0</v>
      </c>
      <c r="N294" s="25">
        <f t="shared" si="22"/>
        <v>0</v>
      </c>
      <c r="O294" s="25">
        <f t="shared" si="23"/>
        <v>0</v>
      </c>
      <c r="P294" s="25">
        <f t="shared" si="24"/>
        <v>0</v>
      </c>
      <c r="Q294" s="22"/>
      <c r="R294" s="22"/>
      <c r="S294" s="22"/>
      <c r="T294" s="168"/>
      <c r="U294" s="171">
        <f t="shared" si="25"/>
        <v>0</v>
      </c>
      <c r="V294" s="169"/>
      <c r="W294" s="28"/>
      <c r="X294" s="25" t="str">
        <f>+IF(AND('GRADING PACKING'!L$5=INWARDDATA!J294,'GRADING PACKING'!L$6=INWARDDATA!I294,AB294=0),"TRUE","FALSE")</f>
        <v>FALSE</v>
      </c>
      <c r="Y294" s="29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1"/>
      <c r="AK294" s="31"/>
      <c r="AL294" s="31"/>
      <c r="AM294" s="31"/>
      <c r="AN294" s="32" t="str">
        <f>+IF(AND('GRADING PACKING'!L$5=INWARDDATA!J294,'GRADING PACKING'!L$6=INWARDDATA!I294,AR294=0),"good","bad")</f>
        <v>bad</v>
      </c>
      <c r="AO294" s="33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86"/>
      <c r="BC294" s="86"/>
      <c r="BD294" s="97">
        <f>Table_15[[#This Row],[Wgt-Bag]]-Table_15[[#This Row],[Total Graded]]-Table_15[[#This Row],[UNDERSIZE]]+0.0011</f>
        <v>1.1000000000000001E-3</v>
      </c>
      <c r="BE294" s="86">
        <f>Table_15[[#This Row],[Total Graded]]-Table_15[[#This Row],[Packing Quantity]]+Table_15[[#This Row],[PACKING LOOSE]]</f>
        <v>0</v>
      </c>
      <c r="BF294" s="34">
        <f>IF(Table_15[[#This Row],[GRADED BAGS]]&gt;0,Table_15[[#This Row],[GRADED BAGS]],Table_15[[#This Row],[Bags]])</f>
        <v>0</v>
      </c>
    </row>
    <row r="295" spans="1:58" ht="14.25" hidden="1" customHeight="1" x14ac:dyDescent="0.35">
      <c r="A295" s="22">
        <v>293</v>
      </c>
      <c r="B295" s="22"/>
      <c r="C295" s="23"/>
      <c r="D295" s="23"/>
      <c r="E295" s="24"/>
      <c r="F295" s="23"/>
      <c r="G295" s="100"/>
      <c r="H295" s="101"/>
      <c r="I295" s="102"/>
      <c r="J295" s="102"/>
      <c r="K295" s="233"/>
      <c r="L295" s="22"/>
      <c r="M295" s="25">
        <f t="shared" si="21"/>
        <v>0</v>
      </c>
      <c r="N295" s="25">
        <f t="shared" si="22"/>
        <v>0</v>
      </c>
      <c r="O295" s="25">
        <f t="shared" si="23"/>
        <v>0</v>
      </c>
      <c r="P295" s="25">
        <f t="shared" si="24"/>
        <v>0</v>
      </c>
      <c r="Q295" s="22"/>
      <c r="R295" s="22"/>
      <c r="S295" s="22"/>
      <c r="T295" s="168"/>
      <c r="U295" s="171">
        <f t="shared" si="25"/>
        <v>0</v>
      </c>
      <c r="V295" s="169"/>
      <c r="W295" s="28"/>
      <c r="X295" s="25" t="str">
        <f>+IF(AND('GRADING PACKING'!L$5=INWARDDATA!J295,'GRADING PACKING'!L$6=INWARDDATA!I295,AB295=0),"TRUE","FALSE")</f>
        <v>FALSE</v>
      </c>
      <c r="Y295" s="29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1"/>
      <c r="AK295" s="31"/>
      <c r="AL295" s="31"/>
      <c r="AM295" s="31"/>
      <c r="AN295" s="32" t="str">
        <f>+IF(AND('GRADING PACKING'!L$5=INWARDDATA!J295,'GRADING PACKING'!L$6=INWARDDATA!I295,AR295=0),"good","bad")</f>
        <v>bad</v>
      </c>
      <c r="AO295" s="33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86"/>
      <c r="BC295" s="86"/>
      <c r="BD295" s="97">
        <f>Table_15[[#This Row],[Wgt-Bag]]-Table_15[[#This Row],[Total Graded]]-Table_15[[#This Row],[UNDERSIZE]]+0.0011</f>
        <v>1.1000000000000001E-3</v>
      </c>
      <c r="BE295" s="86">
        <f>Table_15[[#This Row],[Total Graded]]-Table_15[[#This Row],[Packing Quantity]]+Table_15[[#This Row],[PACKING LOOSE]]</f>
        <v>0</v>
      </c>
      <c r="BF295" s="34">
        <f>IF(Table_15[[#This Row],[GRADED BAGS]]&gt;0,Table_15[[#This Row],[GRADED BAGS]],Table_15[[#This Row],[Bags]])</f>
        <v>0</v>
      </c>
    </row>
    <row r="296" spans="1:58" ht="14.25" hidden="1" customHeight="1" x14ac:dyDescent="0.35">
      <c r="A296" s="22">
        <v>294</v>
      </c>
      <c r="B296" s="22"/>
      <c r="C296" s="23"/>
      <c r="D296" s="23"/>
      <c r="E296" s="24"/>
      <c r="F296" s="23"/>
      <c r="G296" s="100"/>
      <c r="H296" s="101"/>
      <c r="I296" s="102"/>
      <c r="J296" s="102"/>
      <c r="K296" s="233"/>
      <c r="L296" s="22"/>
      <c r="M296" s="25">
        <f t="shared" si="21"/>
        <v>0</v>
      </c>
      <c r="N296" s="25">
        <f t="shared" si="22"/>
        <v>0</v>
      </c>
      <c r="O296" s="25">
        <f t="shared" si="23"/>
        <v>0</v>
      </c>
      <c r="P296" s="25">
        <f t="shared" si="24"/>
        <v>0</v>
      </c>
      <c r="Q296" s="22"/>
      <c r="R296" s="22"/>
      <c r="S296" s="22"/>
      <c r="T296" s="168"/>
      <c r="U296" s="171">
        <f t="shared" si="25"/>
        <v>0</v>
      </c>
      <c r="V296" s="169"/>
      <c r="W296" s="28"/>
      <c r="X296" s="25" t="str">
        <f>+IF(AND('GRADING PACKING'!L$5=INWARDDATA!J296,'GRADING PACKING'!L$6=INWARDDATA!I296,AB296=0),"TRUE","FALSE")</f>
        <v>FALSE</v>
      </c>
      <c r="Y296" s="29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1"/>
      <c r="AK296" s="31"/>
      <c r="AL296" s="31"/>
      <c r="AM296" s="31"/>
      <c r="AN296" s="32" t="str">
        <f>+IF(AND('GRADING PACKING'!L$5=INWARDDATA!J296,'GRADING PACKING'!L$6=INWARDDATA!I296,AR296=0),"good","bad")</f>
        <v>bad</v>
      </c>
      <c r="AO296" s="33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86"/>
      <c r="BC296" s="86"/>
      <c r="BD296" s="97">
        <f>Table_15[[#This Row],[Wgt-Bag]]-Table_15[[#This Row],[Total Graded]]-Table_15[[#This Row],[UNDERSIZE]]+0.0011</f>
        <v>1.1000000000000001E-3</v>
      </c>
      <c r="BE296" s="86">
        <f>Table_15[[#This Row],[Total Graded]]-Table_15[[#This Row],[Packing Quantity]]+Table_15[[#This Row],[PACKING LOOSE]]</f>
        <v>0</v>
      </c>
      <c r="BF296" s="34">
        <f>IF(Table_15[[#This Row],[GRADED BAGS]]&gt;0,Table_15[[#This Row],[GRADED BAGS]],Table_15[[#This Row],[Bags]])</f>
        <v>0</v>
      </c>
    </row>
    <row r="297" spans="1:58" ht="14.25" hidden="1" customHeight="1" x14ac:dyDescent="0.35">
      <c r="A297" s="22">
        <v>295</v>
      </c>
      <c r="B297" s="22"/>
      <c r="C297" s="23"/>
      <c r="D297" s="23"/>
      <c r="E297" s="24"/>
      <c r="F297" s="23"/>
      <c r="G297" s="100"/>
      <c r="H297" s="101"/>
      <c r="I297" s="102"/>
      <c r="J297" s="102"/>
      <c r="K297" s="233"/>
      <c r="L297" s="22"/>
      <c r="M297" s="25">
        <f t="shared" si="21"/>
        <v>0</v>
      </c>
      <c r="N297" s="25">
        <f t="shared" si="22"/>
        <v>0</v>
      </c>
      <c r="O297" s="25">
        <f t="shared" si="23"/>
        <v>0</v>
      </c>
      <c r="P297" s="25">
        <f t="shared" si="24"/>
        <v>0</v>
      </c>
      <c r="Q297" s="22"/>
      <c r="R297" s="22"/>
      <c r="S297" s="22"/>
      <c r="T297" s="168"/>
      <c r="U297" s="171">
        <f t="shared" si="25"/>
        <v>0</v>
      </c>
      <c r="V297" s="169"/>
      <c r="W297" s="28"/>
      <c r="X297" s="25" t="str">
        <f>+IF(AND('GRADING PACKING'!L$5=INWARDDATA!J297,'GRADING PACKING'!L$6=INWARDDATA!I297,AB297=0),"TRUE","FALSE")</f>
        <v>FALSE</v>
      </c>
      <c r="Y297" s="29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1"/>
      <c r="AK297" s="31"/>
      <c r="AL297" s="31"/>
      <c r="AM297" s="31"/>
      <c r="AN297" s="32" t="str">
        <f>+IF(AND('GRADING PACKING'!L$5=INWARDDATA!J297,'GRADING PACKING'!L$6=INWARDDATA!I297,AR297=0),"good","bad")</f>
        <v>bad</v>
      </c>
      <c r="AO297" s="33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86"/>
      <c r="BC297" s="86"/>
      <c r="BD297" s="97">
        <f>Table_15[[#This Row],[Wgt-Bag]]-Table_15[[#This Row],[Total Graded]]-Table_15[[#This Row],[UNDERSIZE]]+0.0011</f>
        <v>1.1000000000000001E-3</v>
      </c>
      <c r="BE297" s="86">
        <f>Table_15[[#This Row],[Total Graded]]-Table_15[[#This Row],[Packing Quantity]]+Table_15[[#This Row],[PACKING LOOSE]]</f>
        <v>0</v>
      </c>
      <c r="BF297" s="34">
        <f>IF(Table_15[[#This Row],[GRADED BAGS]]&gt;0,Table_15[[#This Row],[GRADED BAGS]],Table_15[[#This Row],[Bags]])</f>
        <v>0</v>
      </c>
    </row>
    <row r="298" spans="1:58" ht="14.25" hidden="1" customHeight="1" x14ac:dyDescent="0.35">
      <c r="A298" s="22">
        <v>296</v>
      </c>
      <c r="B298" s="22"/>
      <c r="C298" s="23"/>
      <c r="D298" s="23"/>
      <c r="E298" s="24"/>
      <c r="F298" s="23"/>
      <c r="G298" s="100"/>
      <c r="H298" s="101"/>
      <c r="I298" s="102"/>
      <c r="J298" s="102"/>
      <c r="K298" s="233"/>
      <c r="L298" s="22"/>
      <c r="M298" s="25">
        <f t="shared" si="21"/>
        <v>0</v>
      </c>
      <c r="N298" s="25">
        <f t="shared" si="22"/>
        <v>0</v>
      </c>
      <c r="O298" s="25">
        <f t="shared" si="23"/>
        <v>0</v>
      </c>
      <c r="P298" s="25">
        <f t="shared" si="24"/>
        <v>0</v>
      </c>
      <c r="Q298" s="22"/>
      <c r="R298" s="22"/>
      <c r="S298" s="22"/>
      <c r="T298" s="168"/>
      <c r="U298" s="171">
        <f t="shared" si="25"/>
        <v>0</v>
      </c>
      <c r="V298" s="169"/>
      <c r="W298" s="28"/>
      <c r="X298" s="25" t="str">
        <f>+IF(AND('GRADING PACKING'!L$5=INWARDDATA!J298,'GRADING PACKING'!L$6=INWARDDATA!I298,AB298=0),"TRUE","FALSE")</f>
        <v>FALSE</v>
      </c>
      <c r="Y298" s="29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1"/>
      <c r="AK298" s="31"/>
      <c r="AL298" s="31"/>
      <c r="AM298" s="31"/>
      <c r="AN298" s="32" t="str">
        <f>+IF(AND('GRADING PACKING'!L$5=INWARDDATA!J298,'GRADING PACKING'!L$6=INWARDDATA!I298,AR298=0),"good","bad")</f>
        <v>bad</v>
      </c>
      <c r="AO298" s="33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86"/>
      <c r="BC298" s="86"/>
      <c r="BD298" s="97">
        <f>Table_15[[#This Row],[Wgt-Bag]]-Table_15[[#This Row],[Total Graded]]-Table_15[[#This Row],[UNDERSIZE]]+0.0011</f>
        <v>1.1000000000000001E-3</v>
      </c>
      <c r="BE298" s="86">
        <f>Table_15[[#This Row],[Total Graded]]-Table_15[[#This Row],[Packing Quantity]]+Table_15[[#This Row],[PACKING LOOSE]]</f>
        <v>0</v>
      </c>
      <c r="BF298" s="34">
        <f>IF(Table_15[[#This Row],[GRADED BAGS]]&gt;0,Table_15[[#This Row],[GRADED BAGS]],Table_15[[#This Row],[Bags]])</f>
        <v>0</v>
      </c>
    </row>
    <row r="299" spans="1:58" ht="14.25" hidden="1" customHeight="1" x14ac:dyDescent="0.35">
      <c r="A299" s="22">
        <v>297</v>
      </c>
      <c r="B299" s="22"/>
      <c r="C299" s="23"/>
      <c r="D299" s="23"/>
      <c r="E299" s="24"/>
      <c r="F299" s="23"/>
      <c r="G299" s="100"/>
      <c r="H299" s="101"/>
      <c r="I299" s="102"/>
      <c r="J299" s="102"/>
      <c r="K299" s="233"/>
      <c r="L299" s="22"/>
      <c r="M299" s="25">
        <f t="shared" si="21"/>
        <v>0</v>
      </c>
      <c r="N299" s="25">
        <f t="shared" si="22"/>
        <v>0</v>
      </c>
      <c r="O299" s="25">
        <f t="shared" si="23"/>
        <v>0</v>
      </c>
      <c r="P299" s="25">
        <f t="shared" si="24"/>
        <v>0</v>
      </c>
      <c r="Q299" s="22"/>
      <c r="R299" s="22"/>
      <c r="S299" s="22"/>
      <c r="T299" s="168"/>
      <c r="U299" s="171">
        <f t="shared" si="25"/>
        <v>0</v>
      </c>
      <c r="V299" s="169"/>
      <c r="W299" s="28"/>
      <c r="X299" s="25" t="str">
        <f>+IF(AND('GRADING PACKING'!L$5=INWARDDATA!J299,'GRADING PACKING'!L$6=INWARDDATA!I299,AB299=0),"TRUE","FALSE")</f>
        <v>FALSE</v>
      </c>
      <c r="Y299" s="29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1"/>
      <c r="AK299" s="31"/>
      <c r="AL299" s="31"/>
      <c r="AM299" s="31"/>
      <c r="AN299" s="32" t="str">
        <f>+IF(AND('GRADING PACKING'!L$5=INWARDDATA!J299,'GRADING PACKING'!L$6=INWARDDATA!I299,AR299=0),"good","bad")</f>
        <v>bad</v>
      </c>
      <c r="AO299" s="33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86"/>
      <c r="BC299" s="86"/>
      <c r="BD299" s="97">
        <f>Table_15[[#This Row],[Wgt-Bag]]-Table_15[[#This Row],[Total Graded]]-Table_15[[#This Row],[UNDERSIZE]]+0.0011</f>
        <v>1.1000000000000001E-3</v>
      </c>
      <c r="BE299" s="86">
        <f>Table_15[[#This Row],[Total Graded]]-Table_15[[#This Row],[Packing Quantity]]+Table_15[[#This Row],[PACKING LOOSE]]</f>
        <v>0</v>
      </c>
      <c r="BF299" s="34">
        <f>IF(Table_15[[#This Row],[GRADED BAGS]]&gt;0,Table_15[[#This Row],[GRADED BAGS]],Table_15[[#This Row],[Bags]])</f>
        <v>0</v>
      </c>
    </row>
    <row r="300" spans="1:58" ht="14.25" hidden="1" customHeight="1" x14ac:dyDescent="0.35">
      <c r="A300" s="22">
        <v>298</v>
      </c>
      <c r="B300" s="22"/>
      <c r="C300" s="23"/>
      <c r="D300" s="23"/>
      <c r="E300" s="24"/>
      <c r="F300" s="23"/>
      <c r="G300" s="100"/>
      <c r="H300" s="101"/>
      <c r="I300" s="102"/>
      <c r="J300" s="102"/>
      <c r="K300" s="233"/>
      <c r="L300" s="22"/>
      <c r="M300" s="25">
        <f t="shared" si="21"/>
        <v>0</v>
      </c>
      <c r="N300" s="25">
        <f t="shared" si="22"/>
        <v>0</v>
      </c>
      <c r="O300" s="25">
        <f t="shared" si="23"/>
        <v>0</v>
      </c>
      <c r="P300" s="25">
        <f t="shared" si="24"/>
        <v>0</v>
      </c>
      <c r="Q300" s="22"/>
      <c r="R300" s="22"/>
      <c r="S300" s="22"/>
      <c r="T300" s="168"/>
      <c r="U300" s="171">
        <f t="shared" si="25"/>
        <v>0</v>
      </c>
      <c r="V300" s="169"/>
      <c r="W300" s="28"/>
      <c r="X300" s="25" t="str">
        <f>+IF(AND('GRADING PACKING'!L$5=INWARDDATA!J300,'GRADING PACKING'!L$6=INWARDDATA!I300,AB300=0),"TRUE","FALSE")</f>
        <v>FALSE</v>
      </c>
      <c r="Y300" s="29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1"/>
      <c r="AK300" s="31"/>
      <c r="AL300" s="31"/>
      <c r="AM300" s="31"/>
      <c r="AN300" s="32" t="str">
        <f>+IF(AND('GRADING PACKING'!L$5=INWARDDATA!J300,'GRADING PACKING'!L$6=INWARDDATA!I300,AR300=0),"good","bad")</f>
        <v>bad</v>
      </c>
      <c r="AO300" s="33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86"/>
      <c r="BC300" s="86"/>
      <c r="BD300" s="97">
        <f>Table_15[[#This Row],[Wgt-Bag]]-Table_15[[#This Row],[Total Graded]]-Table_15[[#This Row],[UNDERSIZE]]+0.0011</f>
        <v>1.1000000000000001E-3</v>
      </c>
      <c r="BE300" s="86">
        <f>Table_15[[#This Row],[Total Graded]]-Table_15[[#This Row],[Packing Quantity]]+Table_15[[#This Row],[PACKING LOOSE]]</f>
        <v>0</v>
      </c>
      <c r="BF300" s="34">
        <f>IF(Table_15[[#This Row],[GRADED BAGS]]&gt;0,Table_15[[#This Row],[GRADED BAGS]],Table_15[[#This Row],[Bags]])</f>
        <v>0</v>
      </c>
    </row>
    <row r="301" spans="1:58" ht="14.25" hidden="1" customHeight="1" x14ac:dyDescent="0.35">
      <c r="A301" s="22">
        <v>299</v>
      </c>
      <c r="B301" s="22"/>
      <c r="C301" s="23"/>
      <c r="D301" s="23"/>
      <c r="E301" s="24"/>
      <c r="F301" s="23"/>
      <c r="G301" s="100"/>
      <c r="H301" s="101"/>
      <c r="I301" s="102"/>
      <c r="J301" s="102"/>
      <c r="K301" s="233"/>
      <c r="L301" s="22"/>
      <c r="M301" s="25">
        <f t="shared" si="21"/>
        <v>0</v>
      </c>
      <c r="N301" s="25">
        <f t="shared" si="22"/>
        <v>0</v>
      </c>
      <c r="O301" s="25">
        <f t="shared" si="23"/>
        <v>0</v>
      </c>
      <c r="P301" s="25">
        <f t="shared" si="24"/>
        <v>0</v>
      </c>
      <c r="Q301" s="22"/>
      <c r="R301" s="22"/>
      <c r="S301" s="22"/>
      <c r="T301" s="168"/>
      <c r="U301" s="171">
        <f t="shared" si="25"/>
        <v>0</v>
      </c>
      <c r="V301" s="169"/>
      <c r="W301" s="28"/>
      <c r="X301" s="25" t="str">
        <f>+IF(AND('GRADING PACKING'!L$5=INWARDDATA!J301,'GRADING PACKING'!L$6=INWARDDATA!I301,AB301=0),"TRUE","FALSE")</f>
        <v>FALSE</v>
      </c>
      <c r="Y301" s="29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1"/>
      <c r="AK301" s="31"/>
      <c r="AL301" s="31"/>
      <c r="AM301" s="31"/>
      <c r="AN301" s="32" t="str">
        <f>+IF(AND('GRADING PACKING'!L$5=INWARDDATA!J301,'GRADING PACKING'!L$6=INWARDDATA!I301,AR301=0),"good","bad")</f>
        <v>bad</v>
      </c>
      <c r="AO301" s="33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86"/>
      <c r="BC301" s="86"/>
      <c r="BD301" s="97">
        <f>Table_15[[#This Row],[Wgt-Bag]]-Table_15[[#This Row],[Total Graded]]-Table_15[[#This Row],[UNDERSIZE]]+0.0011</f>
        <v>1.1000000000000001E-3</v>
      </c>
      <c r="BE301" s="86">
        <f>Table_15[[#This Row],[Total Graded]]-Table_15[[#This Row],[Packing Quantity]]+Table_15[[#This Row],[PACKING LOOSE]]</f>
        <v>0</v>
      </c>
      <c r="BF301" s="34">
        <f>IF(Table_15[[#This Row],[GRADED BAGS]]&gt;0,Table_15[[#This Row],[GRADED BAGS]],Table_15[[#This Row],[Bags]])</f>
        <v>0</v>
      </c>
    </row>
    <row r="302" spans="1:58" ht="14.25" hidden="1" customHeight="1" x14ac:dyDescent="0.35">
      <c r="A302" s="22">
        <v>300</v>
      </c>
      <c r="B302" s="22"/>
      <c r="C302" s="23"/>
      <c r="D302" s="23"/>
      <c r="E302" s="24"/>
      <c r="F302" s="23"/>
      <c r="G302" s="100"/>
      <c r="H302" s="101"/>
      <c r="I302" s="102"/>
      <c r="J302" s="102"/>
      <c r="K302" s="233"/>
      <c r="L302" s="22"/>
      <c r="M302" s="25">
        <f t="shared" si="21"/>
        <v>0</v>
      </c>
      <c r="N302" s="25">
        <f t="shared" si="22"/>
        <v>0</v>
      </c>
      <c r="O302" s="25">
        <f t="shared" si="23"/>
        <v>0</v>
      </c>
      <c r="P302" s="25">
        <f t="shared" si="24"/>
        <v>0</v>
      </c>
      <c r="Q302" s="22"/>
      <c r="R302" s="22"/>
      <c r="S302" s="22"/>
      <c r="T302" s="168"/>
      <c r="U302" s="171">
        <f t="shared" si="25"/>
        <v>0</v>
      </c>
      <c r="V302" s="169"/>
      <c r="W302" s="28"/>
      <c r="X302" s="25" t="str">
        <f>+IF(AND('GRADING PACKING'!L$5=INWARDDATA!J302,'GRADING PACKING'!L$6=INWARDDATA!I302,AB302=0),"TRUE","FALSE")</f>
        <v>FALSE</v>
      </c>
      <c r="Y302" s="29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1"/>
      <c r="AK302" s="31"/>
      <c r="AL302" s="31"/>
      <c r="AM302" s="31"/>
      <c r="AN302" s="32" t="str">
        <f>+IF(AND('GRADING PACKING'!L$5=INWARDDATA!J302,'GRADING PACKING'!L$6=INWARDDATA!I302,AR302=0),"good","bad")</f>
        <v>bad</v>
      </c>
      <c r="AO302" s="33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86"/>
      <c r="BC302" s="86"/>
      <c r="BD302" s="97">
        <f>Table_15[[#This Row],[Wgt-Bag]]-Table_15[[#This Row],[Total Graded]]-Table_15[[#This Row],[UNDERSIZE]]+0.0011</f>
        <v>1.1000000000000001E-3</v>
      </c>
      <c r="BE302" s="86">
        <f>Table_15[[#This Row],[Total Graded]]-Table_15[[#This Row],[Packing Quantity]]+Table_15[[#This Row],[PACKING LOOSE]]</f>
        <v>0</v>
      </c>
      <c r="BF302" s="34">
        <f>IF(Table_15[[#This Row],[GRADED BAGS]]&gt;0,Table_15[[#This Row],[GRADED BAGS]],Table_15[[#This Row],[Bags]])</f>
        <v>0</v>
      </c>
    </row>
    <row r="303" spans="1:58" ht="14.25" hidden="1" customHeight="1" x14ac:dyDescent="0.35">
      <c r="A303" s="22">
        <v>301</v>
      </c>
      <c r="B303" s="22"/>
      <c r="C303" s="23"/>
      <c r="D303" s="23"/>
      <c r="E303" s="24"/>
      <c r="F303" s="23"/>
      <c r="G303" s="100"/>
      <c r="H303" s="101"/>
      <c r="I303" s="102"/>
      <c r="J303" s="102"/>
      <c r="K303" s="233"/>
      <c r="L303" s="22"/>
      <c r="M303" s="25">
        <f t="shared" si="21"/>
        <v>0</v>
      </c>
      <c r="N303" s="25">
        <f t="shared" si="22"/>
        <v>0</v>
      </c>
      <c r="O303" s="25">
        <f t="shared" si="23"/>
        <v>0</v>
      </c>
      <c r="P303" s="25">
        <f t="shared" si="24"/>
        <v>0</v>
      </c>
      <c r="Q303" s="22"/>
      <c r="R303" s="22"/>
      <c r="S303" s="22"/>
      <c r="T303" s="168"/>
      <c r="U303" s="171">
        <f t="shared" si="25"/>
        <v>0</v>
      </c>
      <c r="V303" s="169"/>
      <c r="W303" s="28"/>
      <c r="X303" s="25" t="str">
        <f>+IF(AND('GRADING PACKING'!L$5=INWARDDATA!J303,'GRADING PACKING'!L$6=INWARDDATA!I303,AB303=0),"TRUE","FALSE")</f>
        <v>FALSE</v>
      </c>
      <c r="Y303" s="29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1"/>
      <c r="AK303" s="31"/>
      <c r="AL303" s="31"/>
      <c r="AM303" s="31"/>
      <c r="AN303" s="32" t="str">
        <f>+IF(AND('GRADING PACKING'!L$5=INWARDDATA!J303,'GRADING PACKING'!L$6=INWARDDATA!I303,AR303=0),"good","bad")</f>
        <v>bad</v>
      </c>
      <c r="AO303" s="33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86"/>
      <c r="BC303" s="86"/>
      <c r="BD303" s="97">
        <f>Table_15[[#This Row],[Wgt-Bag]]-Table_15[[#This Row],[Total Graded]]-Table_15[[#This Row],[UNDERSIZE]]+0.0011</f>
        <v>1.1000000000000001E-3</v>
      </c>
      <c r="BE303" s="86">
        <f>Table_15[[#This Row],[Total Graded]]-Table_15[[#This Row],[Packing Quantity]]+Table_15[[#This Row],[PACKING LOOSE]]</f>
        <v>0</v>
      </c>
      <c r="BF303" s="34">
        <f>IF(Table_15[[#This Row],[GRADED BAGS]]&gt;0,Table_15[[#This Row],[GRADED BAGS]],Table_15[[#This Row],[Bags]])</f>
        <v>0</v>
      </c>
    </row>
    <row r="304" spans="1:58" ht="14.25" hidden="1" customHeight="1" x14ac:dyDescent="0.35">
      <c r="A304" s="22">
        <v>302</v>
      </c>
      <c r="B304" s="22"/>
      <c r="C304" s="23"/>
      <c r="D304" s="23"/>
      <c r="E304" s="24"/>
      <c r="F304" s="23"/>
      <c r="G304" s="100"/>
      <c r="H304" s="101"/>
      <c r="I304" s="102"/>
      <c r="J304" s="102"/>
      <c r="K304" s="233"/>
      <c r="L304" s="22"/>
      <c r="M304" s="25">
        <f t="shared" si="21"/>
        <v>0</v>
      </c>
      <c r="N304" s="25">
        <f t="shared" si="22"/>
        <v>0</v>
      </c>
      <c r="O304" s="25">
        <f t="shared" si="23"/>
        <v>0</v>
      </c>
      <c r="P304" s="25">
        <f t="shared" si="24"/>
        <v>0</v>
      </c>
      <c r="Q304" s="22"/>
      <c r="R304" s="22"/>
      <c r="S304" s="22"/>
      <c r="T304" s="168"/>
      <c r="U304" s="171">
        <f t="shared" si="25"/>
        <v>0</v>
      </c>
      <c r="V304" s="169"/>
      <c r="W304" s="28"/>
      <c r="X304" s="25" t="str">
        <f>+IF(AND('GRADING PACKING'!L$5=INWARDDATA!J304,'GRADING PACKING'!L$6=INWARDDATA!I304,AB304=0),"TRUE","FALSE")</f>
        <v>FALSE</v>
      </c>
      <c r="Y304" s="29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1"/>
      <c r="AK304" s="31"/>
      <c r="AL304" s="31"/>
      <c r="AM304" s="31"/>
      <c r="AN304" s="32" t="str">
        <f>+IF(AND('GRADING PACKING'!L$5=INWARDDATA!J304,'GRADING PACKING'!L$6=INWARDDATA!I304,AR304=0),"good","bad")</f>
        <v>bad</v>
      </c>
      <c r="AO304" s="33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86"/>
      <c r="BC304" s="86"/>
      <c r="BD304" s="97">
        <f>Table_15[[#This Row],[Wgt-Bag]]-Table_15[[#This Row],[Total Graded]]-Table_15[[#This Row],[UNDERSIZE]]+0.0011</f>
        <v>1.1000000000000001E-3</v>
      </c>
      <c r="BE304" s="86">
        <f>Table_15[[#This Row],[Total Graded]]-Table_15[[#This Row],[Packing Quantity]]+Table_15[[#This Row],[PACKING LOOSE]]</f>
        <v>0</v>
      </c>
      <c r="BF304" s="34">
        <f>IF(Table_15[[#This Row],[GRADED BAGS]]&gt;0,Table_15[[#This Row],[GRADED BAGS]],Table_15[[#This Row],[Bags]])</f>
        <v>0</v>
      </c>
    </row>
    <row r="305" spans="1:58" ht="14.25" hidden="1" customHeight="1" x14ac:dyDescent="0.35">
      <c r="A305" s="22">
        <v>303</v>
      </c>
      <c r="B305" s="22"/>
      <c r="C305" s="23"/>
      <c r="D305" s="23"/>
      <c r="E305" s="24"/>
      <c r="F305" s="23"/>
      <c r="G305" s="100"/>
      <c r="H305" s="101"/>
      <c r="I305" s="102"/>
      <c r="J305" s="102"/>
      <c r="K305" s="233"/>
      <c r="L305" s="22"/>
      <c r="M305" s="25">
        <f t="shared" si="21"/>
        <v>0</v>
      </c>
      <c r="N305" s="25">
        <f t="shared" si="22"/>
        <v>0</v>
      </c>
      <c r="O305" s="25">
        <f t="shared" si="23"/>
        <v>0</v>
      </c>
      <c r="P305" s="25">
        <f t="shared" si="24"/>
        <v>0</v>
      </c>
      <c r="Q305" s="22"/>
      <c r="R305" s="22"/>
      <c r="S305" s="22"/>
      <c r="T305" s="168"/>
      <c r="U305" s="171">
        <f t="shared" si="25"/>
        <v>0</v>
      </c>
      <c r="V305" s="169"/>
      <c r="W305" s="28"/>
      <c r="X305" s="25" t="str">
        <f>+IF(AND('GRADING PACKING'!L$5=INWARDDATA!J305,'GRADING PACKING'!L$6=INWARDDATA!I305,AB305=0),"TRUE","FALSE")</f>
        <v>FALSE</v>
      </c>
      <c r="Y305" s="29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1"/>
      <c r="AK305" s="31"/>
      <c r="AL305" s="31"/>
      <c r="AM305" s="31"/>
      <c r="AN305" s="32" t="str">
        <f>+IF(AND('GRADING PACKING'!L$5=INWARDDATA!J305,'GRADING PACKING'!L$6=INWARDDATA!I305,AR305=0),"good","bad")</f>
        <v>bad</v>
      </c>
      <c r="AO305" s="33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86"/>
      <c r="BC305" s="86"/>
      <c r="BD305" s="97">
        <f>Table_15[[#This Row],[Wgt-Bag]]-Table_15[[#This Row],[Total Graded]]-Table_15[[#This Row],[UNDERSIZE]]+0.0011</f>
        <v>1.1000000000000001E-3</v>
      </c>
      <c r="BE305" s="86">
        <f>Table_15[[#This Row],[Total Graded]]-Table_15[[#This Row],[Packing Quantity]]+Table_15[[#This Row],[PACKING LOOSE]]</f>
        <v>0</v>
      </c>
      <c r="BF305" s="34">
        <f>IF(Table_15[[#This Row],[GRADED BAGS]]&gt;0,Table_15[[#This Row],[GRADED BAGS]],Table_15[[#This Row],[Bags]])</f>
        <v>0</v>
      </c>
    </row>
    <row r="306" spans="1:58" ht="14.25" hidden="1" customHeight="1" x14ac:dyDescent="0.35">
      <c r="A306" s="22">
        <v>304</v>
      </c>
      <c r="B306" s="22"/>
      <c r="C306" s="23"/>
      <c r="D306" s="23"/>
      <c r="E306" s="24"/>
      <c r="F306" s="23"/>
      <c r="G306" s="100"/>
      <c r="H306" s="101"/>
      <c r="I306" s="102"/>
      <c r="J306" s="102"/>
      <c r="K306" s="233"/>
      <c r="L306" s="22"/>
      <c r="M306" s="25">
        <f t="shared" si="21"/>
        <v>0</v>
      </c>
      <c r="N306" s="25">
        <f t="shared" si="22"/>
        <v>0</v>
      </c>
      <c r="O306" s="25">
        <f t="shared" si="23"/>
        <v>0</v>
      </c>
      <c r="P306" s="25">
        <f t="shared" si="24"/>
        <v>0</v>
      </c>
      <c r="Q306" s="22"/>
      <c r="R306" s="22"/>
      <c r="S306" s="22"/>
      <c r="T306" s="168"/>
      <c r="U306" s="171">
        <f t="shared" si="25"/>
        <v>0</v>
      </c>
      <c r="V306" s="169"/>
      <c r="W306" s="28"/>
      <c r="X306" s="25" t="str">
        <f>+IF(AND('GRADING PACKING'!L$5=INWARDDATA!J306,'GRADING PACKING'!L$6=INWARDDATA!I306,AB306=0),"TRUE","FALSE")</f>
        <v>FALSE</v>
      </c>
      <c r="Y306" s="29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1"/>
      <c r="AK306" s="31"/>
      <c r="AL306" s="31"/>
      <c r="AM306" s="31"/>
      <c r="AN306" s="32" t="str">
        <f>+IF(AND('GRADING PACKING'!L$5=INWARDDATA!J306,'GRADING PACKING'!L$6=INWARDDATA!I306,AR306=0),"good","bad")</f>
        <v>bad</v>
      </c>
      <c r="AO306" s="33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86"/>
      <c r="BC306" s="86"/>
      <c r="BD306" s="97">
        <f>Table_15[[#This Row],[Wgt-Bag]]-Table_15[[#This Row],[Total Graded]]-Table_15[[#This Row],[UNDERSIZE]]+0.0011</f>
        <v>1.1000000000000001E-3</v>
      </c>
      <c r="BE306" s="86">
        <f>Table_15[[#This Row],[Total Graded]]-Table_15[[#This Row],[Packing Quantity]]+Table_15[[#This Row],[PACKING LOOSE]]</f>
        <v>0</v>
      </c>
      <c r="BF306" s="34">
        <f>IF(Table_15[[#This Row],[GRADED BAGS]]&gt;0,Table_15[[#This Row],[GRADED BAGS]],Table_15[[#This Row],[Bags]])</f>
        <v>0</v>
      </c>
    </row>
    <row r="307" spans="1:58" ht="14.25" hidden="1" customHeight="1" x14ac:dyDescent="0.35">
      <c r="A307" s="22">
        <v>305</v>
      </c>
      <c r="B307" s="22"/>
      <c r="C307" s="23"/>
      <c r="D307" s="23"/>
      <c r="E307" s="24"/>
      <c r="F307" s="23"/>
      <c r="G307" s="100"/>
      <c r="H307" s="101"/>
      <c r="I307" s="102"/>
      <c r="J307" s="102"/>
      <c r="K307" s="233"/>
      <c r="L307" s="22"/>
      <c r="M307" s="25">
        <f t="shared" si="21"/>
        <v>0</v>
      </c>
      <c r="N307" s="25">
        <f t="shared" si="22"/>
        <v>0</v>
      </c>
      <c r="O307" s="25">
        <f t="shared" si="23"/>
        <v>0</v>
      </c>
      <c r="P307" s="25">
        <f t="shared" si="24"/>
        <v>0</v>
      </c>
      <c r="Q307" s="22"/>
      <c r="R307" s="22"/>
      <c r="S307" s="22"/>
      <c r="T307" s="168"/>
      <c r="U307" s="171">
        <f t="shared" si="25"/>
        <v>0</v>
      </c>
      <c r="V307" s="169"/>
      <c r="W307" s="28"/>
      <c r="X307" s="25" t="str">
        <f>+IF(AND('GRADING PACKING'!L$5=INWARDDATA!J307,'GRADING PACKING'!L$6=INWARDDATA!I307,AB307=0),"TRUE","FALSE")</f>
        <v>FALSE</v>
      </c>
      <c r="Y307" s="29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1"/>
      <c r="AK307" s="31"/>
      <c r="AL307" s="31"/>
      <c r="AM307" s="31"/>
      <c r="AN307" s="32" t="str">
        <f>+IF(AND('GRADING PACKING'!L$5=INWARDDATA!J307,'GRADING PACKING'!L$6=INWARDDATA!I307,AR307=0),"good","bad")</f>
        <v>bad</v>
      </c>
      <c r="AO307" s="33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86"/>
      <c r="BC307" s="86"/>
      <c r="BD307" s="97">
        <f>Table_15[[#This Row],[Wgt-Bag]]-Table_15[[#This Row],[Total Graded]]-Table_15[[#This Row],[UNDERSIZE]]+0.0011</f>
        <v>1.1000000000000001E-3</v>
      </c>
      <c r="BE307" s="86">
        <f>Table_15[[#This Row],[Total Graded]]-Table_15[[#This Row],[Packing Quantity]]+Table_15[[#This Row],[PACKING LOOSE]]</f>
        <v>0</v>
      </c>
      <c r="BF307" s="34">
        <f>IF(Table_15[[#This Row],[GRADED BAGS]]&gt;0,Table_15[[#This Row],[GRADED BAGS]],Table_15[[#This Row],[Bags]])</f>
        <v>0</v>
      </c>
    </row>
    <row r="308" spans="1:58" ht="14.25" hidden="1" customHeight="1" x14ac:dyDescent="0.35">
      <c r="A308" s="22">
        <v>306</v>
      </c>
      <c r="B308" s="22"/>
      <c r="C308" s="23"/>
      <c r="D308" s="23"/>
      <c r="E308" s="24"/>
      <c r="F308" s="23"/>
      <c r="G308" s="100"/>
      <c r="H308" s="101"/>
      <c r="I308" s="102"/>
      <c r="J308" s="102"/>
      <c r="K308" s="233"/>
      <c r="L308" s="22"/>
      <c r="M308" s="25">
        <f t="shared" si="21"/>
        <v>0</v>
      </c>
      <c r="N308" s="25">
        <f t="shared" si="22"/>
        <v>0</v>
      </c>
      <c r="O308" s="25">
        <f t="shared" si="23"/>
        <v>0</v>
      </c>
      <c r="P308" s="25">
        <f t="shared" si="24"/>
        <v>0</v>
      </c>
      <c r="Q308" s="22"/>
      <c r="R308" s="22"/>
      <c r="S308" s="22"/>
      <c r="T308" s="168"/>
      <c r="U308" s="171">
        <f t="shared" si="25"/>
        <v>0</v>
      </c>
      <c r="V308" s="169"/>
      <c r="W308" s="28"/>
      <c r="X308" s="25" t="str">
        <f>+IF(AND('GRADING PACKING'!L$5=INWARDDATA!J308,'GRADING PACKING'!L$6=INWARDDATA!I308,AB308=0),"TRUE","FALSE")</f>
        <v>FALSE</v>
      </c>
      <c r="Y308" s="29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1"/>
      <c r="AK308" s="31"/>
      <c r="AL308" s="31"/>
      <c r="AM308" s="31"/>
      <c r="AN308" s="32" t="str">
        <f>+IF(AND('GRADING PACKING'!L$5=INWARDDATA!J308,'GRADING PACKING'!L$6=INWARDDATA!I308,AR308=0),"good","bad")</f>
        <v>bad</v>
      </c>
      <c r="AO308" s="33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86"/>
      <c r="BC308" s="86"/>
      <c r="BD308" s="97">
        <f>Table_15[[#This Row],[Wgt-Bag]]-Table_15[[#This Row],[Total Graded]]-Table_15[[#This Row],[UNDERSIZE]]+0.0011</f>
        <v>1.1000000000000001E-3</v>
      </c>
      <c r="BE308" s="86">
        <f>Table_15[[#This Row],[Total Graded]]-Table_15[[#This Row],[Packing Quantity]]+Table_15[[#This Row],[PACKING LOOSE]]</f>
        <v>0</v>
      </c>
      <c r="BF308" s="34">
        <f>IF(Table_15[[#This Row],[GRADED BAGS]]&gt;0,Table_15[[#This Row],[GRADED BAGS]],Table_15[[#This Row],[Bags]])</f>
        <v>0</v>
      </c>
    </row>
    <row r="309" spans="1:58" ht="14.25" hidden="1" customHeight="1" x14ac:dyDescent="0.35">
      <c r="A309" s="22">
        <v>307</v>
      </c>
      <c r="B309" s="22"/>
      <c r="C309" s="23"/>
      <c r="D309" s="23"/>
      <c r="E309" s="24"/>
      <c r="F309" s="23"/>
      <c r="G309" s="100"/>
      <c r="H309" s="101"/>
      <c r="I309" s="102"/>
      <c r="J309" s="102"/>
      <c r="K309" s="233"/>
      <c r="L309" s="22"/>
      <c r="M309" s="25">
        <f t="shared" si="21"/>
        <v>0</v>
      </c>
      <c r="N309" s="25">
        <f t="shared" si="22"/>
        <v>0</v>
      </c>
      <c r="O309" s="25">
        <f t="shared" si="23"/>
        <v>0</v>
      </c>
      <c r="P309" s="25">
        <f t="shared" si="24"/>
        <v>0</v>
      </c>
      <c r="Q309" s="22"/>
      <c r="R309" s="22"/>
      <c r="S309" s="22"/>
      <c r="T309" s="168"/>
      <c r="U309" s="171">
        <f t="shared" si="25"/>
        <v>0</v>
      </c>
      <c r="V309" s="169"/>
      <c r="W309" s="28"/>
      <c r="X309" s="25" t="str">
        <f>+IF(AND('GRADING PACKING'!L$5=INWARDDATA!J309,'GRADING PACKING'!L$6=INWARDDATA!I309,AB309=0),"TRUE","FALSE")</f>
        <v>FALSE</v>
      </c>
      <c r="Y309" s="29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1"/>
      <c r="AK309" s="31"/>
      <c r="AL309" s="31"/>
      <c r="AM309" s="31"/>
      <c r="AN309" s="32" t="str">
        <f>+IF(AND('GRADING PACKING'!L$5=INWARDDATA!J309,'GRADING PACKING'!L$6=INWARDDATA!I309,AR309=0),"good","bad")</f>
        <v>bad</v>
      </c>
      <c r="AO309" s="33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86"/>
      <c r="BC309" s="86"/>
      <c r="BD309" s="97">
        <f>Table_15[[#This Row],[Wgt-Bag]]-Table_15[[#This Row],[Total Graded]]-Table_15[[#This Row],[UNDERSIZE]]+0.0011</f>
        <v>1.1000000000000001E-3</v>
      </c>
      <c r="BE309" s="86">
        <f>Table_15[[#This Row],[Total Graded]]-Table_15[[#This Row],[Packing Quantity]]+Table_15[[#This Row],[PACKING LOOSE]]</f>
        <v>0</v>
      </c>
      <c r="BF309" s="34">
        <f>IF(Table_15[[#This Row],[GRADED BAGS]]&gt;0,Table_15[[#This Row],[GRADED BAGS]],Table_15[[#This Row],[Bags]])</f>
        <v>0</v>
      </c>
    </row>
    <row r="310" spans="1:58" ht="14.25" hidden="1" customHeight="1" x14ac:dyDescent="0.35">
      <c r="A310" s="22">
        <v>308</v>
      </c>
      <c r="B310" s="22"/>
      <c r="C310" s="23"/>
      <c r="D310" s="23"/>
      <c r="E310" s="24"/>
      <c r="F310" s="23"/>
      <c r="G310" s="100"/>
      <c r="H310" s="101"/>
      <c r="I310" s="102"/>
      <c r="J310" s="102"/>
      <c r="K310" s="233"/>
      <c r="L310" s="22"/>
      <c r="M310" s="25">
        <f t="shared" si="21"/>
        <v>0</v>
      </c>
      <c r="N310" s="25">
        <f t="shared" si="22"/>
        <v>0</v>
      </c>
      <c r="O310" s="25">
        <f t="shared" si="23"/>
        <v>0</v>
      </c>
      <c r="P310" s="25">
        <f t="shared" si="24"/>
        <v>0</v>
      </c>
      <c r="Q310" s="22"/>
      <c r="R310" s="22"/>
      <c r="S310" s="22"/>
      <c r="T310" s="168"/>
      <c r="U310" s="171">
        <f t="shared" si="25"/>
        <v>0</v>
      </c>
      <c r="V310" s="169"/>
      <c r="W310" s="28"/>
      <c r="X310" s="25" t="str">
        <f>+IF(AND('GRADING PACKING'!L$5=INWARDDATA!J310,'GRADING PACKING'!L$6=INWARDDATA!I310,AB310=0),"TRUE","FALSE")</f>
        <v>FALSE</v>
      </c>
      <c r="Y310" s="29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1"/>
      <c r="AK310" s="31"/>
      <c r="AL310" s="31"/>
      <c r="AM310" s="31"/>
      <c r="AN310" s="32" t="str">
        <f>+IF(AND('GRADING PACKING'!L$5=INWARDDATA!J310,'GRADING PACKING'!L$6=INWARDDATA!I310,AR310=0),"good","bad")</f>
        <v>bad</v>
      </c>
      <c r="AO310" s="33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86"/>
      <c r="BC310" s="86"/>
      <c r="BD310" s="97">
        <f>Table_15[[#This Row],[Wgt-Bag]]-Table_15[[#This Row],[Total Graded]]-Table_15[[#This Row],[UNDERSIZE]]+0.0011</f>
        <v>1.1000000000000001E-3</v>
      </c>
      <c r="BE310" s="86">
        <f>Table_15[[#This Row],[Total Graded]]-Table_15[[#This Row],[Packing Quantity]]+Table_15[[#This Row],[PACKING LOOSE]]</f>
        <v>0</v>
      </c>
      <c r="BF310" s="34">
        <f>IF(Table_15[[#This Row],[GRADED BAGS]]&gt;0,Table_15[[#This Row],[GRADED BAGS]],Table_15[[#This Row],[Bags]])</f>
        <v>0</v>
      </c>
    </row>
    <row r="311" spans="1:58" ht="14.25" hidden="1" customHeight="1" x14ac:dyDescent="0.35">
      <c r="A311" s="22">
        <v>309</v>
      </c>
      <c r="B311" s="22"/>
      <c r="C311" s="23"/>
      <c r="D311" s="23"/>
      <c r="E311" s="24"/>
      <c r="F311" s="23"/>
      <c r="G311" s="100"/>
      <c r="H311" s="101"/>
      <c r="I311" s="102"/>
      <c r="J311" s="102"/>
      <c r="K311" s="233"/>
      <c r="L311" s="22"/>
      <c r="M311" s="25">
        <f t="shared" si="21"/>
        <v>0</v>
      </c>
      <c r="N311" s="25">
        <f t="shared" si="22"/>
        <v>0</v>
      </c>
      <c r="O311" s="25">
        <f t="shared" si="23"/>
        <v>0</v>
      </c>
      <c r="P311" s="25">
        <f t="shared" si="24"/>
        <v>0</v>
      </c>
      <c r="Q311" s="22"/>
      <c r="R311" s="22"/>
      <c r="S311" s="22"/>
      <c r="T311" s="168"/>
      <c r="U311" s="171">
        <f t="shared" si="25"/>
        <v>0</v>
      </c>
      <c r="V311" s="169"/>
      <c r="W311" s="28"/>
      <c r="X311" s="25" t="str">
        <f>+IF(AND('GRADING PACKING'!L$5=INWARDDATA!J311,'GRADING PACKING'!L$6=INWARDDATA!I311,AB311=0),"TRUE","FALSE")</f>
        <v>FALSE</v>
      </c>
      <c r="Y311" s="29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1"/>
      <c r="AK311" s="31"/>
      <c r="AL311" s="31"/>
      <c r="AM311" s="31"/>
      <c r="AN311" s="32" t="str">
        <f>+IF(AND('GRADING PACKING'!L$5=INWARDDATA!J311,'GRADING PACKING'!L$6=INWARDDATA!I311,AR311=0),"good","bad")</f>
        <v>bad</v>
      </c>
      <c r="AO311" s="33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86"/>
      <c r="BC311" s="86"/>
      <c r="BD311" s="97">
        <f>Table_15[[#This Row],[Wgt-Bag]]-Table_15[[#This Row],[Total Graded]]-Table_15[[#This Row],[UNDERSIZE]]+0.0011</f>
        <v>1.1000000000000001E-3</v>
      </c>
      <c r="BE311" s="86">
        <f>Table_15[[#This Row],[Total Graded]]-Table_15[[#This Row],[Packing Quantity]]+Table_15[[#This Row],[PACKING LOOSE]]</f>
        <v>0</v>
      </c>
      <c r="BF311" s="34">
        <f>IF(Table_15[[#This Row],[GRADED BAGS]]&gt;0,Table_15[[#This Row],[GRADED BAGS]],Table_15[[#This Row],[Bags]])</f>
        <v>0</v>
      </c>
    </row>
    <row r="312" spans="1:58" ht="14.25" hidden="1" customHeight="1" x14ac:dyDescent="0.35">
      <c r="A312" s="22">
        <v>310</v>
      </c>
      <c r="B312" s="22"/>
      <c r="C312" s="23"/>
      <c r="D312" s="23"/>
      <c r="E312" s="24"/>
      <c r="F312" s="23"/>
      <c r="G312" s="100"/>
      <c r="H312" s="101"/>
      <c r="I312" s="102"/>
      <c r="J312" s="102"/>
      <c r="K312" s="233"/>
      <c r="L312" s="22"/>
      <c r="M312" s="25">
        <f t="shared" si="21"/>
        <v>0</v>
      </c>
      <c r="N312" s="25">
        <f t="shared" si="22"/>
        <v>0</v>
      </c>
      <c r="O312" s="25">
        <f t="shared" si="23"/>
        <v>0</v>
      </c>
      <c r="P312" s="25">
        <f t="shared" si="24"/>
        <v>0</v>
      </c>
      <c r="Q312" s="22"/>
      <c r="R312" s="22"/>
      <c r="S312" s="22"/>
      <c r="T312" s="168"/>
      <c r="U312" s="171">
        <f t="shared" si="25"/>
        <v>0</v>
      </c>
      <c r="V312" s="169"/>
      <c r="W312" s="28"/>
      <c r="X312" s="25" t="str">
        <f>+IF(AND('GRADING PACKING'!L$5=INWARDDATA!J312,'GRADING PACKING'!L$6=INWARDDATA!I312,AB312=0),"TRUE","FALSE")</f>
        <v>FALSE</v>
      </c>
      <c r="Y312" s="29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1"/>
      <c r="AK312" s="31"/>
      <c r="AL312" s="31"/>
      <c r="AM312" s="31"/>
      <c r="AN312" s="32" t="str">
        <f>+IF(AND('GRADING PACKING'!L$5=INWARDDATA!J312,'GRADING PACKING'!L$6=INWARDDATA!I312,AR312=0),"good","bad")</f>
        <v>bad</v>
      </c>
      <c r="AO312" s="33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86"/>
      <c r="BC312" s="86"/>
      <c r="BD312" s="97">
        <f>Table_15[[#This Row],[Wgt-Bag]]-Table_15[[#This Row],[Total Graded]]-Table_15[[#This Row],[UNDERSIZE]]+0.0011</f>
        <v>1.1000000000000001E-3</v>
      </c>
      <c r="BE312" s="86">
        <f>Table_15[[#This Row],[Total Graded]]-Table_15[[#This Row],[Packing Quantity]]+Table_15[[#This Row],[PACKING LOOSE]]</f>
        <v>0</v>
      </c>
      <c r="BF312" s="34">
        <f>IF(Table_15[[#This Row],[GRADED BAGS]]&gt;0,Table_15[[#This Row],[GRADED BAGS]],Table_15[[#This Row],[Bags]])</f>
        <v>0</v>
      </c>
    </row>
    <row r="313" spans="1:58" ht="14.25" hidden="1" customHeight="1" x14ac:dyDescent="0.35">
      <c r="A313" s="22">
        <v>311</v>
      </c>
      <c r="B313" s="22"/>
      <c r="C313" s="23"/>
      <c r="D313" s="23"/>
      <c r="E313" s="24"/>
      <c r="F313" s="23"/>
      <c r="G313" s="100"/>
      <c r="H313" s="101"/>
      <c r="I313" s="102"/>
      <c r="J313" s="102"/>
      <c r="K313" s="233"/>
      <c r="L313" s="22"/>
      <c r="M313" s="25">
        <f t="shared" si="21"/>
        <v>0</v>
      </c>
      <c r="N313" s="25">
        <f t="shared" si="22"/>
        <v>0</v>
      </c>
      <c r="O313" s="25">
        <f t="shared" si="23"/>
        <v>0</v>
      </c>
      <c r="P313" s="25">
        <f t="shared" si="24"/>
        <v>0</v>
      </c>
      <c r="Q313" s="22"/>
      <c r="R313" s="22"/>
      <c r="S313" s="22"/>
      <c r="T313" s="168"/>
      <c r="U313" s="171">
        <f t="shared" si="25"/>
        <v>0</v>
      </c>
      <c r="V313" s="169"/>
      <c r="W313" s="28"/>
      <c r="X313" s="25" t="str">
        <f>+IF(AND('GRADING PACKING'!L$5=INWARDDATA!J313,'GRADING PACKING'!L$6=INWARDDATA!I313,AB313=0),"TRUE","FALSE")</f>
        <v>FALSE</v>
      </c>
      <c r="Y313" s="29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1"/>
      <c r="AK313" s="31"/>
      <c r="AL313" s="31"/>
      <c r="AM313" s="31"/>
      <c r="AN313" s="32" t="str">
        <f>+IF(AND('GRADING PACKING'!L$5=INWARDDATA!J313,'GRADING PACKING'!L$6=INWARDDATA!I313,AR313=0),"good","bad")</f>
        <v>bad</v>
      </c>
      <c r="AO313" s="33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86"/>
      <c r="BC313" s="86"/>
      <c r="BD313" s="97">
        <f>Table_15[[#This Row],[Wgt-Bag]]-Table_15[[#This Row],[Total Graded]]-Table_15[[#This Row],[UNDERSIZE]]+0.0011</f>
        <v>1.1000000000000001E-3</v>
      </c>
      <c r="BE313" s="86">
        <f>Table_15[[#This Row],[Total Graded]]-Table_15[[#This Row],[Packing Quantity]]+Table_15[[#This Row],[PACKING LOOSE]]</f>
        <v>0</v>
      </c>
      <c r="BF313" s="34">
        <f>IF(Table_15[[#This Row],[GRADED BAGS]]&gt;0,Table_15[[#This Row],[GRADED BAGS]],Table_15[[#This Row],[Bags]])</f>
        <v>0</v>
      </c>
    </row>
    <row r="314" spans="1:58" ht="14.25" hidden="1" customHeight="1" x14ac:dyDescent="0.35">
      <c r="A314" s="22">
        <v>312</v>
      </c>
      <c r="B314" s="22"/>
      <c r="C314" s="23"/>
      <c r="D314" s="23"/>
      <c r="E314" s="24"/>
      <c r="F314" s="23"/>
      <c r="G314" s="100"/>
      <c r="H314" s="101"/>
      <c r="I314" s="102"/>
      <c r="J314" s="102"/>
      <c r="K314" s="233"/>
      <c r="L314" s="22"/>
      <c r="M314" s="25">
        <f t="shared" si="21"/>
        <v>0</v>
      </c>
      <c r="N314" s="25">
        <f t="shared" si="22"/>
        <v>0</v>
      </c>
      <c r="O314" s="25">
        <f t="shared" si="23"/>
        <v>0</v>
      </c>
      <c r="P314" s="25">
        <f t="shared" si="24"/>
        <v>0</v>
      </c>
      <c r="Q314" s="22"/>
      <c r="R314" s="22"/>
      <c r="S314" s="22"/>
      <c r="T314" s="168"/>
      <c r="U314" s="171">
        <f t="shared" si="25"/>
        <v>0</v>
      </c>
      <c r="V314" s="169"/>
      <c r="W314" s="28"/>
      <c r="X314" s="25" t="str">
        <f>+IF(AND('GRADING PACKING'!L$5=INWARDDATA!J314,'GRADING PACKING'!L$6=INWARDDATA!I314,AB314=0),"TRUE","FALSE")</f>
        <v>FALSE</v>
      </c>
      <c r="Y314" s="29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1"/>
      <c r="AK314" s="31"/>
      <c r="AL314" s="31"/>
      <c r="AM314" s="31"/>
      <c r="AN314" s="32" t="str">
        <f>+IF(AND('GRADING PACKING'!L$5=INWARDDATA!J314,'GRADING PACKING'!L$6=INWARDDATA!I314,AR314=0),"good","bad")</f>
        <v>bad</v>
      </c>
      <c r="AO314" s="33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86"/>
      <c r="BC314" s="86"/>
      <c r="BD314" s="97">
        <f>Table_15[[#This Row],[Wgt-Bag]]-Table_15[[#This Row],[Total Graded]]-Table_15[[#This Row],[UNDERSIZE]]+0.0011</f>
        <v>1.1000000000000001E-3</v>
      </c>
      <c r="BE314" s="86">
        <f>Table_15[[#This Row],[Total Graded]]-Table_15[[#This Row],[Packing Quantity]]+Table_15[[#This Row],[PACKING LOOSE]]</f>
        <v>0</v>
      </c>
      <c r="BF314" s="34">
        <f>IF(Table_15[[#This Row],[GRADED BAGS]]&gt;0,Table_15[[#This Row],[GRADED BAGS]],Table_15[[#This Row],[Bags]])</f>
        <v>0</v>
      </c>
    </row>
    <row r="315" spans="1:58" ht="14.25" hidden="1" customHeight="1" x14ac:dyDescent="0.35">
      <c r="A315" s="22">
        <v>313</v>
      </c>
      <c r="B315" s="22"/>
      <c r="C315" s="23"/>
      <c r="D315" s="23"/>
      <c r="E315" s="24"/>
      <c r="F315" s="23"/>
      <c r="G315" s="100"/>
      <c r="H315" s="101"/>
      <c r="I315" s="102"/>
      <c r="J315" s="102"/>
      <c r="K315" s="233"/>
      <c r="L315" s="22"/>
      <c r="M315" s="25">
        <f t="shared" si="21"/>
        <v>0</v>
      </c>
      <c r="N315" s="25">
        <f t="shared" si="22"/>
        <v>0</v>
      </c>
      <c r="O315" s="25">
        <f t="shared" si="23"/>
        <v>0</v>
      </c>
      <c r="P315" s="25">
        <f t="shared" si="24"/>
        <v>0</v>
      </c>
      <c r="Q315" s="22"/>
      <c r="R315" s="22"/>
      <c r="S315" s="22"/>
      <c r="T315" s="22"/>
      <c r="U315" s="170">
        <f t="shared" si="25"/>
        <v>0</v>
      </c>
      <c r="V315" s="27"/>
      <c r="W315" s="28"/>
      <c r="X315" s="25" t="str">
        <f>+IF(AND('GRADING PACKING'!L$5=INWARDDATA!J315,'GRADING PACKING'!L$6=INWARDDATA!I315,AB315=0),"TRUE","FALSE")</f>
        <v>FALSE</v>
      </c>
      <c r="Y315" s="29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1"/>
      <c r="AK315" s="31"/>
      <c r="AL315" s="31"/>
      <c r="AM315" s="31"/>
      <c r="AN315" s="32" t="str">
        <f>+IF(AND('GRADING PACKING'!L$5=INWARDDATA!J315,'GRADING PACKING'!L$6=INWARDDATA!I315,AR315=0),"good","bad")</f>
        <v>bad</v>
      </c>
      <c r="AO315" s="33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86"/>
      <c r="BC315" s="86"/>
      <c r="BD315" s="97">
        <f>Table_15[[#This Row],[Wgt-Bag]]-Table_15[[#This Row],[Total Graded]]-Table_15[[#This Row],[UNDERSIZE]]+0.0011</f>
        <v>1.1000000000000001E-3</v>
      </c>
      <c r="BE315" s="86">
        <f>Table_15[[#This Row],[Total Graded]]-Table_15[[#This Row],[Packing Quantity]]+Table_15[[#This Row],[PACKING LOOSE]]</f>
        <v>0</v>
      </c>
      <c r="BF315" s="34">
        <f>IF(Table_15[[#This Row],[GRADED BAGS]]&gt;0,Table_15[[#This Row],[GRADED BAGS]],Table_15[[#This Row],[Bags]])</f>
        <v>0</v>
      </c>
    </row>
    <row r="316" spans="1:58" ht="14.25" hidden="1" customHeight="1" x14ac:dyDescent="0.35">
      <c r="A316" s="22">
        <v>314</v>
      </c>
      <c r="B316" s="22"/>
      <c r="C316" s="23"/>
      <c r="D316" s="23"/>
      <c r="E316" s="24"/>
      <c r="F316" s="23"/>
      <c r="G316" s="100"/>
      <c r="H316" s="101"/>
      <c r="I316" s="102"/>
      <c r="J316" s="102"/>
      <c r="K316" s="233"/>
      <c r="L316" s="22"/>
      <c r="M316" s="25">
        <f t="shared" si="21"/>
        <v>0</v>
      </c>
      <c r="N316" s="25">
        <f t="shared" si="22"/>
        <v>0</v>
      </c>
      <c r="O316" s="25">
        <f t="shared" si="23"/>
        <v>0</v>
      </c>
      <c r="P316" s="25">
        <f t="shared" si="24"/>
        <v>0</v>
      </c>
      <c r="Q316" s="22"/>
      <c r="R316" s="22"/>
      <c r="S316" s="22"/>
      <c r="T316" s="22"/>
      <c r="U316" s="26">
        <f t="shared" si="25"/>
        <v>0</v>
      </c>
      <c r="V316" s="27"/>
      <c r="W316" s="28"/>
      <c r="X316" s="25" t="str">
        <f>+IF(AND('GRADING PACKING'!L$5=INWARDDATA!J316,'GRADING PACKING'!L$6=INWARDDATA!I316,AB316=0),"TRUE","FALSE")</f>
        <v>FALSE</v>
      </c>
      <c r="Y316" s="29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1"/>
      <c r="AK316" s="31"/>
      <c r="AL316" s="31"/>
      <c r="AM316" s="31"/>
      <c r="AN316" s="32" t="str">
        <f>+IF(AND('GRADING PACKING'!L$5=INWARDDATA!J316,'GRADING PACKING'!L$6=INWARDDATA!I316,AR316=0),"good","bad")</f>
        <v>bad</v>
      </c>
      <c r="AO316" s="33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86"/>
      <c r="BC316" s="86"/>
      <c r="BD316" s="97">
        <f>Table_15[[#This Row],[Wgt-Bag]]-Table_15[[#This Row],[Total Graded]]-Table_15[[#This Row],[UNDERSIZE]]+0.0011</f>
        <v>1.1000000000000001E-3</v>
      </c>
      <c r="BE316" s="86">
        <f>Table_15[[#This Row],[Total Graded]]-Table_15[[#This Row],[Packing Quantity]]+Table_15[[#This Row],[PACKING LOOSE]]</f>
        <v>0</v>
      </c>
      <c r="BF316" s="34">
        <f>IF(Table_15[[#This Row],[GRADED BAGS]]&gt;0,Table_15[[#This Row],[GRADED BAGS]],Table_15[[#This Row],[Bags]])</f>
        <v>0</v>
      </c>
    </row>
    <row r="317" spans="1:58" ht="14.25" hidden="1" customHeight="1" x14ac:dyDescent="0.35">
      <c r="A317" s="22">
        <v>315</v>
      </c>
      <c r="B317" s="22"/>
      <c r="C317" s="23"/>
      <c r="D317" s="23"/>
      <c r="E317" s="24"/>
      <c r="F317" s="23"/>
      <c r="G317" s="100"/>
      <c r="H317" s="101"/>
      <c r="I317" s="102"/>
      <c r="J317" s="102"/>
      <c r="K317" s="233"/>
      <c r="L317" s="22"/>
      <c r="M317" s="25">
        <f t="shared" si="21"/>
        <v>0</v>
      </c>
      <c r="N317" s="25">
        <f t="shared" si="22"/>
        <v>0</v>
      </c>
      <c r="O317" s="25">
        <f t="shared" si="23"/>
        <v>0</v>
      </c>
      <c r="P317" s="25">
        <f t="shared" si="24"/>
        <v>0</v>
      </c>
      <c r="Q317" s="22"/>
      <c r="R317" s="22"/>
      <c r="S317" s="22"/>
      <c r="T317" s="22"/>
      <c r="U317" s="26">
        <f t="shared" si="25"/>
        <v>0</v>
      </c>
      <c r="V317" s="27"/>
      <c r="W317" s="28"/>
      <c r="X317" s="25" t="str">
        <f>+IF(AND('GRADING PACKING'!L$5=INWARDDATA!J317,'GRADING PACKING'!L$6=INWARDDATA!I317,AB317=0),"TRUE","FALSE")</f>
        <v>FALSE</v>
      </c>
      <c r="Y317" s="29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1"/>
      <c r="AK317" s="31"/>
      <c r="AL317" s="31"/>
      <c r="AM317" s="31"/>
      <c r="AN317" s="32" t="str">
        <f>+IF(AND('GRADING PACKING'!L$5=INWARDDATA!J317,'GRADING PACKING'!L$6=INWARDDATA!I317,AR317=0),"good","bad")</f>
        <v>bad</v>
      </c>
      <c r="AO317" s="33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86"/>
      <c r="BC317" s="86"/>
      <c r="BD317" s="97">
        <f>Table_15[[#This Row],[Wgt-Bag]]-Table_15[[#This Row],[Total Graded]]-Table_15[[#This Row],[UNDERSIZE]]+0.0011</f>
        <v>1.1000000000000001E-3</v>
      </c>
      <c r="BE317" s="86">
        <f>Table_15[[#This Row],[Total Graded]]-Table_15[[#This Row],[Packing Quantity]]+Table_15[[#This Row],[PACKING LOOSE]]</f>
        <v>0</v>
      </c>
      <c r="BF317" s="34">
        <f>IF(Table_15[[#This Row],[GRADED BAGS]]&gt;0,Table_15[[#This Row],[GRADED BAGS]],Table_15[[#This Row],[Bags]])</f>
        <v>0</v>
      </c>
    </row>
    <row r="318" spans="1:58" ht="15.75" hidden="1" customHeight="1" x14ac:dyDescent="0.35">
      <c r="A318" s="22">
        <v>316</v>
      </c>
      <c r="B318" s="22"/>
      <c r="C318" s="23"/>
      <c r="D318" s="23"/>
      <c r="E318" s="24"/>
      <c r="F318" s="23"/>
      <c r="G318" s="100"/>
      <c r="H318" s="101"/>
      <c r="I318" s="102"/>
      <c r="J318" s="102"/>
      <c r="K318" s="233"/>
      <c r="L318" s="22"/>
      <c r="M318" s="25">
        <f t="shared" si="21"/>
        <v>0</v>
      </c>
      <c r="N318" s="25">
        <f t="shared" si="22"/>
        <v>0</v>
      </c>
      <c r="O318" s="25">
        <f t="shared" si="23"/>
        <v>0</v>
      </c>
      <c r="P318" s="25">
        <f t="shared" si="24"/>
        <v>0</v>
      </c>
      <c r="Q318" s="22"/>
      <c r="R318" s="22"/>
      <c r="S318" s="22"/>
      <c r="T318" s="22"/>
      <c r="U318" s="26">
        <f t="shared" si="25"/>
        <v>0</v>
      </c>
      <c r="V318" s="27"/>
      <c r="W318" s="28"/>
      <c r="X318" s="25" t="str">
        <f>+IF(AND('GRADING PACKING'!L$5=INWARDDATA!J318,'GRADING PACKING'!L$6=INWARDDATA!I318,AB318=0),"TRUE","FALSE")</f>
        <v>FALSE</v>
      </c>
      <c r="Y318" s="29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1"/>
      <c r="AK318" s="31"/>
      <c r="AL318" s="31"/>
      <c r="AM318" s="31"/>
      <c r="AN318" s="32" t="str">
        <f>+IF(AND('GRADING PACKING'!L$5=INWARDDATA!J318,'GRADING PACKING'!L$6=INWARDDATA!I318,AR318=0),"good","bad")</f>
        <v>bad</v>
      </c>
      <c r="AO318" s="33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86"/>
      <c r="BC318" s="86"/>
      <c r="BD318" s="97">
        <f>Table_15[[#This Row],[Wgt-Bag]]-Table_15[[#This Row],[Total Graded]]-Table_15[[#This Row],[UNDERSIZE]]+0.0011</f>
        <v>1.1000000000000001E-3</v>
      </c>
      <c r="BE318" s="86">
        <f>Table_15[[#This Row],[Total Graded]]-Table_15[[#This Row],[Packing Quantity]]+Table_15[[#This Row],[PACKING LOOSE]]</f>
        <v>0</v>
      </c>
      <c r="BF318" s="34">
        <f>IF(Table_15[[#This Row],[GRADED BAGS]]&gt;0,Table_15[[#This Row],[GRADED BAGS]],Table_15[[#This Row],[Bags]])</f>
        <v>0</v>
      </c>
    </row>
    <row r="319" spans="1:58" ht="15.75" hidden="1" customHeight="1" x14ac:dyDescent="0.35">
      <c r="A319" s="22">
        <v>317</v>
      </c>
      <c r="B319" s="22"/>
      <c r="C319" s="23"/>
      <c r="D319" s="23"/>
      <c r="E319" s="24"/>
      <c r="F319" s="23"/>
      <c r="G319" s="100"/>
      <c r="H319" s="101"/>
      <c r="I319" s="102"/>
      <c r="J319" s="102"/>
      <c r="K319" s="233"/>
      <c r="L319" s="22"/>
      <c r="M319" s="25">
        <f t="shared" si="21"/>
        <v>0</v>
      </c>
      <c r="N319" s="25">
        <f t="shared" si="22"/>
        <v>0</v>
      </c>
      <c r="O319" s="25">
        <f t="shared" si="23"/>
        <v>0</v>
      </c>
      <c r="P319" s="25">
        <f t="shared" si="24"/>
        <v>0</v>
      </c>
      <c r="Q319" s="22"/>
      <c r="R319" s="22"/>
      <c r="S319" s="22"/>
      <c r="T319" s="22"/>
      <c r="U319" s="26">
        <f t="shared" si="25"/>
        <v>0</v>
      </c>
      <c r="V319" s="27"/>
      <c r="W319" s="28"/>
      <c r="X319" s="25" t="str">
        <f>+IF(AND('GRADING PACKING'!L$5=INWARDDATA!J319,'GRADING PACKING'!L$6=INWARDDATA!I319,AB319=0),"TRUE","FALSE")</f>
        <v>FALSE</v>
      </c>
      <c r="Y319" s="29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1"/>
      <c r="AK319" s="31"/>
      <c r="AL319" s="31"/>
      <c r="AM319" s="31"/>
      <c r="AN319" s="32" t="str">
        <f>+IF(AND('GRADING PACKING'!L$5=INWARDDATA!J319,'GRADING PACKING'!L$6=INWARDDATA!I319,AR319=0),"good","bad")</f>
        <v>bad</v>
      </c>
      <c r="AO319" s="33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86"/>
      <c r="BC319" s="86"/>
      <c r="BD319" s="97">
        <f>Table_15[[#This Row],[Wgt-Bag]]-Table_15[[#This Row],[Total Graded]]-Table_15[[#This Row],[UNDERSIZE]]+0.0011</f>
        <v>1.1000000000000001E-3</v>
      </c>
      <c r="BE319" s="86">
        <f>Table_15[[#This Row],[Total Graded]]-Table_15[[#This Row],[Packing Quantity]]+Table_15[[#This Row],[PACKING LOOSE]]</f>
        <v>0</v>
      </c>
      <c r="BF319" s="34">
        <f>IF(Table_15[[#This Row],[GRADED BAGS]]&gt;0,Table_15[[#This Row],[GRADED BAGS]],Table_15[[#This Row],[Bags]])</f>
        <v>0</v>
      </c>
    </row>
    <row r="320" spans="1:58" ht="15.75" hidden="1" customHeight="1" x14ac:dyDescent="0.35">
      <c r="A320" s="22">
        <v>318</v>
      </c>
      <c r="B320" s="22"/>
      <c r="C320" s="23"/>
      <c r="D320" s="23"/>
      <c r="E320" s="24"/>
      <c r="F320" s="23"/>
      <c r="G320" s="100"/>
      <c r="H320" s="101"/>
      <c r="I320" s="102"/>
      <c r="J320" s="102"/>
      <c r="K320" s="233"/>
      <c r="L320" s="22"/>
      <c r="M320" s="25">
        <f t="shared" si="21"/>
        <v>0</v>
      </c>
      <c r="N320" s="25">
        <f t="shared" si="22"/>
        <v>0</v>
      </c>
      <c r="O320" s="25">
        <f t="shared" si="23"/>
        <v>0</v>
      </c>
      <c r="P320" s="25">
        <f t="shared" si="24"/>
        <v>0</v>
      </c>
      <c r="Q320" s="22"/>
      <c r="R320" s="22"/>
      <c r="S320" s="22"/>
      <c r="T320" s="22"/>
      <c r="U320" s="26">
        <f t="shared" si="25"/>
        <v>0</v>
      </c>
      <c r="V320" s="27"/>
      <c r="W320" s="28"/>
      <c r="X320" s="25" t="str">
        <f>+IF(AND('GRADING PACKING'!L$5=INWARDDATA!J320,'GRADING PACKING'!L$6=INWARDDATA!I320,AB320=0),"TRUE","FALSE")</f>
        <v>FALSE</v>
      </c>
      <c r="Y320" s="29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1"/>
      <c r="AK320" s="31"/>
      <c r="AL320" s="31"/>
      <c r="AM320" s="31"/>
      <c r="AN320" s="32" t="str">
        <f>+IF(AND('GRADING PACKING'!L$5=INWARDDATA!J320,'GRADING PACKING'!L$6=INWARDDATA!I320,AR320=0),"good","bad")</f>
        <v>bad</v>
      </c>
      <c r="AO320" s="33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86"/>
      <c r="BC320" s="86"/>
      <c r="BD320" s="97">
        <f>Table_15[[#This Row],[Wgt-Bag]]-Table_15[[#This Row],[Total Graded]]-Table_15[[#This Row],[UNDERSIZE]]+0.0011</f>
        <v>1.1000000000000001E-3</v>
      </c>
      <c r="BE320" s="86">
        <f>Table_15[[#This Row],[Total Graded]]-Table_15[[#This Row],[Packing Quantity]]+Table_15[[#This Row],[PACKING LOOSE]]</f>
        <v>0</v>
      </c>
      <c r="BF320" s="34">
        <f>IF(Table_15[[#This Row],[GRADED BAGS]]&gt;0,Table_15[[#This Row],[GRADED BAGS]],Table_15[[#This Row],[Bags]])</f>
        <v>0</v>
      </c>
    </row>
    <row r="321" spans="1:58" ht="15.75" hidden="1" customHeight="1" x14ac:dyDescent="0.35">
      <c r="A321" s="22">
        <v>319</v>
      </c>
      <c r="B321" s="22"/>
      <c r="C321" s="23"/>
      <c r="D321" s="23"/>
      <c r="E321" s="24"/>
      <c r="F321" s="23"/>
      <c r="G321" s="100"/>
      <c r="H321" s="101"/>
      <c r="I321" s="102"/>
      <c r="J321" s="102"/>
      <c r="K321" s="233"/>
      <c r="L321" s="22"/>
      <c r="M321" s="25">
        <f t="shared" si="21"/>
        <v>0</v>
      </c>
      <c r="N321" s="25">
        <f t="shared" si="22"/>
        <v>0</v>
      </c>
      <c r="O321" s="25">
        <f t="shared" si="23"/>
        <v>0</v>
      </c>
      <c r="P321" s="25">
        <f t="shared" si="24"/>
        <v>0</v>
      </c>
      <c r="Q321" s="22"/>
      <c r="R321" s="22"/>
      <c r="S321" s="22"/>
      <c r="T321" s="22"/>
      <c r="U321" s="26">
        <f t="shared" si="25"/>
        <v>0</v>
      </c>
      <c r="V321" s="27"/>
      <c r="W321" s="28"/>
      <c r="X321" s="25" t="str">
        <f>+IF(AND('GRADING PACKING'!L$5=INWARDDATA!J321,'GRADING PACKING'!L$6=INWARDDATA!I321,AB321=0),"TRUE","FALSE")</f>
        <v>FALSE</v>
      </c>
      <c r="Y321" s="29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1"/>
      <c r="AK321" s="31"/>
      <c r="AL321" s="31"/>
      <c r="AM321" s="31"/>
      <c r="AN321" s="32" t="str">
        <f>+IF(AND('GRADING PACKING'!L$5=INWARDDATA!J321,'GRADING PACKING'!L$6=INWARDDATA!I321,AR321=0),"good","bad")</f>
        <v>bad</v>
      </c>
      <c r="AO321" s="33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86"/>
      <c r="BC321" s="86"/>
      <c r="BD321" s="97">
        <f>Table_15[[#This Row],[Wgt-Bag]]-Table_15[[#This Row],[Total Graded]]-Table_15[[#This Row],[UNDERSIZE]]+0.0011</f>
        <v>1.1000000000000001E-3</v>
      </c>
      <c r="BE321" s="86">
        <f>Table_15[[#This Row],[Total Graded]]-Table_15[[#This Row],[Packing Quantity]]+Table_15[[#This Row],[PACKING LOOSE]]</f>
        <v>0</v>
      </c>
      <c r="BF321" s="34">
        <f>IF(Table_15[[#This Row],[GRADED BAGS]]&gt;0,Table_15[[#This Row],[GRADED BAGS]],Table_15[[#This Row],[Bags]])</f>
        <v>0</v>
      </c>
    </row>
    <row r="322" spans="1:58" ht="15.75" hidden="1" customHeight="1" x14ac:dyDescent="0.35">
      <c r="A322" s="22">
        <v>320</v>
      </c>
      <c r="B322" s="22"/>
      <c r="C322" s="23"/>
      <c r="D322" s="23"/>
      <c r="E322" s="24"/>
      <c r="F322" s="23"/>
      <c r="G322" s="100"/>
      <c r="H322" s="101"/>
      <c r="I322" s="102"/>
      <c r="J322" s="102"/>
      <c r="K322" s="233"/>
      <c r="L322" s="22"/>
      <c r="M322" s="25">
        <f t="shared" si="21"/>
        <v>0</v>
      </c>
      <c r="N322" s="25">
        <f t="shared" si="22"/>
        <v>0</v>
      </c>
      <c r="O322" s="25">
        <f t="shared" si="23"/>
        <v>0</v>
      </c>
      <c r="P322" s="25">
        <f t="shared" si="24"/>
        <v>0</v>
      </c>
      <c r="Q322" s="22"/>
      <c r="R322" s="22"/>
      <c r="S322" s="22"/>
      <c r="T322" s="22"/>
      <c r="U322" s="26">
        <f t="shared" si="25"/>
        <v>0</v>
      </c>
      <c r="V322" s="27"/>
      <c r="W322" s="28"/>
      <c r="X322" s="25" t="str">
        <f>+IF(AND('GRADING PACKING'!L$5=INWARDDATA!J322,'GRADING PACKING'!L$6=INWARDDATA!I322,AB322=0),"TRUE","FALSE")</f>
        <v>FALSE</v>
      </c>
      <c r="Y322" s="29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1"/>
      <c r="AK322" s="31"/>
      <c r="AL322" s="31"/>
      <c r="AM322" s="31"/>
      <c r="AN322" s="32" t="str">
        <f>+IF(AND('GRADING PACKING'!L$5=INWARDDATA!J322,'GRADING PACKING'!L$6=INWARDDATA!I322,AR322=0),"good","bad")</f>
        <v>bad</v>
      </c>
      <c r="AO322" s="33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86"/>
      <c r="BC322" s="86"/>
      <c r="BD322" s="97">
        <f>Table_15[[#This Row],[Wgt-Bag]]-Table_15[[#This Row],[Total Graded]]-Table_15[[#This Row],[UNDERSIZE]]+0.0011</f>
        <v>1.1000000000000001E-3</v>
      </c>
      <c r="BE322" s="86">
        <f>Table_15[[#This Row],[Total Graded]]-Table_15[[#This Row],[Packing Quantity]]+Table_15[[#This Row],[PACKING LOOSE]]</f>
        <v>0</v>
      </c>
      <c r="BF322" s="34">
        <f>IF(Table_15[[#This Row],[GRADED BAGS]]&gt;0,Table_15[[#This Row],[GRADED BAGS]],Table_15[[#This Row],[Bags]])</f>
        <v>0</v>
      </c>
    </row>
    <row r="323" spans="1:58" ht="15.75" hidden="1" customHeight="1" x14ac:dyDescent="0.35">
      <c r="A323" s="22">
        <v>321</v>
      </c>
      <c r="B323" s="22"/>
      <c r="C323" s="23"/>
      <c r="D323" s="23"/>
      <c r="E323" s="24"/>
      <c r="F323" s="23"/>
      <c r="G323" s="100"/>
      <c r="H323" s="101"/>
      <c r="I323" s="102"/>
      <c r="J323" s="102"/>
      <c r="K323" s="233"/>
      <c r="L323" s="22"/>
      <c r="M323" s="25">
        <f t="shared" ref="M323:M386" si="26">ROUNDUP((K323*L323),0)</f>
        <v>0</v>
      </c>
      <c r="N323" s="25">
        <f t="shared" ref="N323:N386" si="27">(H323-M323)/100</f>
        <v>0</v>
      </c>
      <c r="O323" s="25">
        <f t="shared" ref="O323:O386" si="28">ROUNDUP((H323/90)*0.003,2)</f>
        <v>0</v>
      </c>
      <c r="P323" s="25">
        <f t="shared" ref="P323:P386" si="29">(N323)-O323</f>
        <v>0</v>
      </c>
      <c r="Q323" s="22"/>
      <c r="R323" s="22"/>
      <c r="S323" s="22"/>
      <c r="T323" s="22"/>
      <c r="U323" s="26">
        <f t="shared" ref="U323:U386" si="30">T323*P323</f>
        <v>0</v>
      </c>
      <c r="V323" s="27"/>
      <c r="W323" s="28"/>
      <c r="X323" s="25" t="str">
        <f>+IF(AND('GRADING PACKING'!L$5=INWARDDATA!J323,'GRADING PACKING'!L$6=INWARDDATA!I323,AB323=0),"TRUE","FALSE")</f>
        <v>FALSE</v>
      </c>
      <c r="Y323" s="29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1"/>
      <c r="AK323" s="31"/>
      <c r="AL323" s="31"/>
      <c r="AM323" s="31"/>
      <c r="AN323" s="32" t="str">
        <f>+IF(AND('GRADING PACKING'!L$5=INWARDDATA!J323,'GRADING PACKING'!L$6=INWARDDATA!I323,AR323=0),"good","bad")</f>
        <v>bad</v>
      </c>
      <c r="AO323" s="33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86"/>
      <c r="BC323" s="86"/>
      <c r="BD323" s="97">
        <f>Table_15[[#This Row],[Wgt-Bag]]-Table_15[[#This Row],[Total Graded]]-Table_15[[#This Row],[UNDERSIZE]]+0.0011</f>
        <v>1.1000000000000001E-3</v>
      </c>
      <c r="BE323" s="86">
        <f>Table_15[[#This Row],[Total Graded]]-Table_15[[#This Row],[Packing Quantity]]+Table_15[[#This Row],[PACKING LOOSE]]</f>
        <v>0</v>
      </c>
      <c r="BF323" s="34">
        <f>IF(Table_15[[#This Row],[GRADED BAGS]]&gt;0,Table_15[[#This Row],[GRADED BAGS]],Table_15[[#This Row],[Bags]])</f>
        <v>0</v>
      </c>
    </row>
    <row r="324" spans="1:58" ht="15.75" hidden="1" customHeight="1" x14ac:dyDescent="0.35">
      <c r="A324" s="22">
        <v>322</v>
      </c>
      <c r="B324" s="22"/>
      <c r="C324" s="23"/>
      <c r="D324" s="23"/>
      <c r="E324" s="24"/>
      <c r="F324" s="23"/>
      <c r="G324" s="100"/>
      <c r="H324" s="101"/>
      <c r="I324" s="102"/>
      <c r="J324" s="102"/>
      <c r="K324" s="233"/>
      <c r="L324" s="22"/>
      <c r="M324" s="25">
        <f t="shared" si="26"/>
        <v>0</v>
      </c>
      <c r="N324" s="25">
        <f t="shared" si="27"/>
        <v>0</v>
      </c>
      <c r="O324" s="25">
        <f t="shared" si="28"/>
        <v>0</v>
      </c>
      <c r="P324" s="25">
        <f t="shared" si="29"/>
        <v>0</v>
      </c>
      <c r="Q324" s="22"/>
      <c r="R324" s="22"/>
      <c r="S324" s="22"/>
      <c r="T324" s="22"/>
      <c r="U324" s="26">
        <f t="shared" si="30"/>
        <v>0</v>
      </c>
      <c r="V324" s="27"/>
      <c r="W324" s="28"/>
      <c r="X324" s="25" t="str">
        <f>+IF(AND('GRADING PACKING'!L$5=INWARDDATA!J324,'GRADING PACKING'!L$6=INWARDDATA!I324,AB324=0),"TRUE","FALSE")</f>
        <v>FALSE</v>
      </c>
      <c r="Y324" s="29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1"/>
      <c r="AK324" s="31"/>
      <c r="AL324" s="31"/>
      <c r="AM324" s="31"/>
      <c r="AN324" s="32" t="str">
        <f>+IF(AND('GRADING PACKING'!L$5=INWARDDATA!J324,'GRADING PACKING'!L$6=INWARDDATA!I324,AR324=0),"good","bad")</f>
        <v>bad</v>
      </c>
      <c r="AO324" s="33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86"/>
      <c r="BC324" s="86"/>
      <c r="BD324" s="97">
        <f>Table_15[[#This Row],[Wgt-Bag]]-Table_15[[#This Row],[Total Graded]]-Table_15[[#This Row],[UNDERSIZE]]+0.0011</f>
        <v>1.1000000000000001E-3</v>
      </c>
      <c r="BE324" s="86">
        <f>Table_15[[#This Row],[Total Graded]]-Table_15[[#This Row],[Packing Quantity]]+Table_15[[#This Row],[PACKING LOOSE]]</f>
        <v>0</v>
      </c>
      <c r="BF324" s="34">
        <f>IF(Table_15[[#This Row],[GRADED BAGS]]&gt;0,Table_15[[#This Row],[GRADED BAGS]],Table_15[[#This Row],[Bags]])</f>
        <v>0</v>
      </c>
    </row>
    <row r="325" spans="1:58" ht="15.75" hidden="1" customHeight="1" x14ac:dyDescent="0.35">
      <c r="A325" s="22">
        <v>323</v>
      </c>
      <c r="B325" s="22"/>
      <c r="C325" s="23"/>
      <c r="D325" s="23"/>
      <c r="E325" s="24"/>
      <c r="F325" s="23"/>
      <c r="G325" s="100"/>
      <c r="H325" s="101"/>
      <c r="I325" s="102"/>
      <c r="J325" s="102"/>
      <c r="K325" s="233"/>
      <c r="L325" s="22"/>
      <c r="M325" s="25">
        <f t="shared" si="26"/>
        <v>0</v>
      </c>
      <c r="N325" s="25">
        <f t="shared" si="27"/>
        <v>0</v>
      </c>
      <c r="O325" s="25">
        <f t="shared" si="28"/>
        <v>0</v>
      </c>
      <c r="P325" s="25">
        <f t="shared" si="29"/>
        <v>0</v>
      </c>
      <c r="Q325" s="22"/>
      <c r="R325" s="22"/>
      <c r="S325" s="22"/>
      <c r="T325" s="22"/>
      <c r="U325" s="26">
        <f t="shared" si="30"/>
        <v>0</v>
      </c>
      <c r="V325" s="27"/>
      <c r="W325" s="28"/>
      <c r="X325" s="25" t="str">
        <f>+IF(AND('GRADING PACKING'!L$5=INWARDDATA!J325,'GRADING PACKING'!L$6=INWARDDATA!I325,AB325=0),"TRUE","FALSE")</f>
        <v>FALSE</v>
      </c>
      <c r="Y325" s="29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1"/>
      <c r="AK325" s="31"/>
      <c r="AL325" s="31"/>
      <c r="AM325" s="31"/>
      <c r="AN325" s="32" t="str">
        <f>+IF(AND('GRADING PACKING'!L$5=INWARDDATA!J325,'GRADING PACKING'!L$6=INWARDDATA!I325,AR325=0),"good","bad")</f>
        <v>bad</v>
      </c>
      <c r="AO325" s="33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86"/>
      <c r="BC325" s="86"/>
      <c r="BD325" s="97">
        <f>Table_15[[#This Row],[Wgt-Bag]]-Table_15[[#This Row],[Total Graded]]-Table_15[[#This Row],[UNDERSIZE]]+0.0011</f>
        <v>1.1000000000000001E-3</v>
      </c>
      <c r="BE325" s="86">
        <f>Table_15[[#This Row],[Total Graded]]-Table_15[[#This Row],[Packing Quantity]]+Table_15[[#This Row],[PACKING LOOSE]]</f>
        <v>0</v>
      </c>
      <c r="BF325" s="34">
        <f>IF(Table_15[[#This Row],[GRADED BAGS]]&gt;0,Table_15[[#This Row],[GRADED BAGS]],Table_15[[#This Row],[Bags]])</f>
        <v>0</v>
      </c>
    </row>
    <row r="326" spans="1:58" ht="15.75" hidden="1" customHeight="1" x14ac:dyDescent="0.35">
      <c r="A326" s="22">
        <v>324</v>
      </c>
      <c r="B326" s="22"/>
      <c r="C326" s="23"/>
      <c r="D326" s="23"/>
      <c r="E326" s="24"/>
      <c r="F326" s="23"/>
      <c r="G326" s="100"/>
      <c r="H326" s="101"/>
      <c r="I326" s="102"/>
      <c r="J326" s="102"/>
      <c r="K326" s="233"/>
      <c r="L326" s="22"/>
      <c r="M326" s="25">
        <f t="shared" si="26"/>
        <v>0</v>
      </c>
      <c r="N326" s="25">
        <f t="shared" si="27"/>
        <v>0</v>
      </c>
      <c r="O326" s="25">
        <f t="shared" si="28"/>
        <v>0</v>
      </c>
      <c r="P326" s="25">
        <f t="shared" si="29"/>
        <v>0</v>
      </c>
      <c r="Q326" s="22"/>
      <c r="R326" s="22"/>
      <c r="S326" s="22"/>
      <c r="T326" s="22"/>
      <c r="U326" s="26">
        <f t="shared" si="30"/>
        <v>0</v>
      </c>
      <c r="V326" s="27"/>
      <c r="W326" s="28"/>
      <c r="X326" s="25" t="str">
        <f>+IF(AND('GRADING PACKING'!L$5=INWARDDATA!J326,'GRADING PACKING'!L$6=INWARDDATA!I326,AB326=0),"TRUE","FALSE")</f>
        <v>FALSE</v>
      </c>
      <c r="Y326" s="29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1"/>
      <c r="AK326" s="31"/>
      <c r="AL326" s="31"/>
      <c r="AM326" s="31"/>
      <c r="AN326" s="32" t="str">
        <f>+IF(AND('GRADING PACKING'!L$5=INWARDDATA!J326,'GRADING PACKING'!L$6=INWARDDATA!I326,AR326=0),"good","bad")</f>
        <v>bad</v>
      </c>
      <c r="AO326" s="33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86"/>
      <c r="BC326" s="86"/>
      <c r="BD326" s="97">
        <f>Table_15[[#This Row],[Wgt-Bag]]-Table_15[[#This Row],[Total Graded]]-Table_15[[#This Row],[UNDERSIZE]]+0.0011</f>
        <v>1.1000000000000001E-3</v>
      </c>
      <c r="BE326" s="86">
        <f>Table_15[[#This Row],[Total Graded]]-Table_15[[#This Row],[Packing Quantity]]+Table_15[[#This Row],[PACKING LOOSE]]</f>
        <v>0</v>
      </c>
      <c r="BF326" s="34">
        <f>IF(Table_15[[#This Row],[GRADED BAGS]]&gt;0,Table_15[[#This Row],[GRADED BAGS]],Table_15[[#This Row],[Bags]])</f>
        <v>0</v>
      </c>
    </row>
    <row r="327" spans="1:58" ht="15.75" hidden="1" customHeight="1" x14ac:dyDescent="0.35">
      <c r="A327" s="22">
        <v>325</v>
      </c>
      <c r="B327" s="22"/>
      <c r="C327" s="23"/>
      <c r="D327" s="23"/>
      <c r="E327" s="24"/>
      <c r="F327" s="23"/>
      <c r="G327" s="100"/>
      <c r="H327" s="101"/>
      <c r="I327" s="102"/>
      <c r="J327" s="102"/>
      <c r="K327" s="233"/>
      <c r="L327" s="22"/>
      <c r="M327" s="25">
        <f t="shared" si="26"/>
        <v>0</v>
      </c>
      <c r="N327" s="25">
        <f t="shared" si="27"/>
        <v>0</v>
      </c>
      <c r="O327" s="25">
        <f t="shared" si="28"/>
        <v>0</v>
      </c>
      <c r="P327" s="25">
        <f t="shared" si="29"/>
        <v>0</v>
      </c>
      <c r="Q327" s="22"/>
      <c r="R327" s="22"/>
      <c r="S327" s="22"/>
      <c r="T327" s="22"/>
      <c r="U327" s="26">
        <f t="shared" si="30"/>
        <v>0</v>
      </c>
      <c r="V327" s="27"/>
      <c r="W327" s="28"/>
      <c r="X327" s="25" t="str">
        <f>+IF(AND('GRADING PACKING'!L$5=INWARDDATA!J327,'GRADING PACKING'!L$6=INWARDDATA!I327,AB327=0),"TRUE","FALSE")</f>
        <v>FALSE</v>
      </c>
      <c r="Y327" s="29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1"/>
      <c r="AK327" s="31"/>
      <c r="AL327" s="31"/>
      <c r="AM327" s="31"/>
      <c r="AN327" s="32" t="str">
        <f>+IF(AND('GRADING PACKING'!L$5=INWARDDATA!J327,'GRADING PACKING'!L$6=INWARDDATA!I327,AR327=0),"good","bad")</f>
        <v>bad</v>
      </c>
      <c r="AO327" s="33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86"/>
      <c r="BC327" s="86"/>
      <c r="BD327" s="97">
        <f>Table_15[[#This Row],[Wgt-Bag]]-Table_15[[#This Row],[Total Graded]]-Table_15[[#This Row],[UNDERSIZE]]+0.0011</f>
        <v>1.1000000000000001E-3</v>
      </c>
      <c r="BE327" s="86">
        <f>Table_15[[#This Row],[Total Graded]]-Table_15[[#This Row],[Packing Quantity]]+Table_15[[#This Row],[PACKING LOOSE]]</f>
        <v>0</v>
      </c>
      <c r="BF327" s="34">
        <f>IF(Table_15[[#This Row],[GRADED BAGS]]&gt;0,Table_15[[#This Row],[GRADED BAGS]],Table_15[[#This Row],[Bags]])</f>
        <v>0</v>
      </c>
    </row>
    <row r="328" spans="1:58" ht="15.75" hidden="1" customHeight="1" x14ac:dyDescent="0.35">
      <c r="A328" s="22">
        <v>326</v>
      </c>
      <c r="B328" s="22"/>
      <c r="C328" s="23"/>
      <c r="D328" s="23"/>
      <c r="E328" s="24"/>
      <c r="F328" s="23"/>
      <c r="G328" s="100"/>
      <c r="H328" s="101"/>
      <c r="I328" s="102"/>
      <c r="J328" s="102"/>
      <c r="K328" s="233"/>
      <c r="L328" s="22"/>
      <c r="M328" s="25">
        <f t="shared" si="26"/>
        <v>0</v>
      </c>
      <c r="N328" s="25">
        <f t="shared" si="27"/>
        <v>0</v>
      </c>
      <c r="O328" s="25">
        <f t="shared" si="28"/>
        <v>0</v>
      </c>
      <c r="P328" s="25">
        <f t="shared" si="29"/>
        <v>0</v>
      </c>
      <c r="Q328" s="22"/>
      <c r="R328" s="22"/>
      <c r="S328" s="22"/>
      <c r="T328" s="22"/>
      <c r="U328" s="26">
        <f t="shared" si="30"/>
        <v>0</v>
      </c>
      <c r="V328" s="27"/>
      <c r="W328" s="28"/>
      <c r="X328" s="25" t="str">
        <f>+IF(AND('GRADING PACKING'!L$5=INWARDDATA!J328,'GRADING PACKING'!L$6=INWARDDATA!I328,AB328=0),"TRUE","FALSE")</f>
        <v>FALSE</v>
      </c>
      <c r="Y328" s="29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1"/>
      <c r="AK328" s="31"/>
      <c r="AL328" s="31"/>
      <c r="AM328" s="31"/>
      <c r="AN328" s="32" t="str">
        <f>+IF(AND('GRADING PACKING'!L$5=INWARDDATA!J328,'GRADING PACKING'!L$6=INWARDDATA!I328,AR328=0),"good","bad")</f>
        <v>bad</v>
      </c>
      <c r="AO328" s="33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86"/>
      <c r="BC328" s="86"/>
      <c r="BD328" s="97">
        <f>Table_15[[#This Row],[Wgt-Bag]]-Table_15[[#This Row],[Total Graded]]-Table_15[[#This Row],[UNDERSIZE]]+0.0011</f>
        <v>1.1000000000000001E-3</v>
      </c>
      <c r="BE328" s="86">
        <f>Table_15[[#This Row],[Total Graded]]-Table_15[[#This Row],[Packing Quantity]]+Table_15[[#This Row],[PACKING LOOSE]]</f>
        <v>0</v>
      </c>
      <c r="BF328" s="34">
        <f>IF(Table_15[[#This Row],[GRADED BAGS]]&gt;0,Table_15[[#This Row],[GRADED BAGS]],Table_15[[#This Row],[Bags]])</f>
        <v>0</v>
      </c>
    </row>
    <row r="329" spans="1:58" ht="15.75" hidden="1" customHeight="1" x14ac:dyDescent="0.35">
      <c r="A329" s="22">
        <v>327</v>
      </c>
      <c r="B329" s="22"/>
      <c r="C329" s="23"/>
      <c r="D329" s="23"/>
      <c r="E329" s="24"/>
      <c r="F329" s="23"/>
      <c r="G329" s="100"/>
      <c r="H329" s="101"/>
      <c r="I329" s="102"/>
      <c r="J329" s="102"/>
      <c r="K329" s="233"/>
      <c r="L329" s="22"/>
      <c r="M329" s="25">
        <f t="shared" si="26"/>
        <v>0</v>
      </c>
      <c r="N329" s="25">
        <f t="shared" si="27"/>
        <v>0</v>
      </c>
      <c r="O329" s="25">
        <f t="shared" si="28"/>
        <v>0</v>
      </c>
      <c r="P329" s="25">
        <f t="shared" si="29"/>
        <v>0</v>
      </c>
      <c r="Q329" s="22"/>
      <c r="R329" s="22"/>
      <c r="S329" s="22"/>
      <c r="T329" s="22"/>
      <c r="U329" s="26">
        <f t="shared" si="30"/>
        <v>0</v>
      </c>
      <c r="V329" s="27"/>
      <c r="W329" s="28"/>
      <c r="X329" s="25" t="str">
        <f>+IF(AND('GRADING PACKING'!L$5=INWARDDATA!J329,'GRADING PACKING'!L$6=INWARDDATA!I329,AB329=0),"TRUE","FALSE")</f>
        <v>FALSE</v>
      </c>
      <c r="Y329" s="29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1"/>
      <c r="AK329" s="31"/>
      <c r="AL329" s="31"/>
      <c r="AM329" s="31"/>
      <c r="AN329" s="32" t="str">
        <f>+IF(AND('GRADING PACKING'!L$5=INWARDDATA!J329,'GRADING PACKING'!L$6=INWARDDATA!I329,AR329=0),"good","bad")</f>
        <v>bad</v>
      </c>
      <c r="AO329" s="33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86"/>
      <c r="BC329" s="86"/>
      <c r="BD329" s="97">
        <f>Table_15[[#This Row],[Wgt-Bag]]-Table_15[[#This Row],[Total Graded]]-Table_15[[#This Row],[UNDERSIZE]]+0.0011</f>
        <v>1.1000000000000001E-3</v>
      </c>
      <c r="BE329" s="86">
        <f>Table_15[[#This Row],[Total Graded]]-Table_15[[#This Row],[Packing Quantity]]+Table_15[[#This Row],[PACKING LOOSE]]</f>
        <v>0</v>
      </c>
      <c r="BF329" s="34">
        <f>IF(Table_15[[#This Row],[GRADED BAGS]]&gt;0,Table_15[[#This Row],[GRADED BAGS]],Table_15[[#This Row],[Bags]])</f>
        <v>0</v>
      </c>
    </row>
    <row r="330" spans="1:58" ht="15.75" hidden="1" customHeight="1" x14ac:dyDescent="0.35">
      <c r="A330" s="22">
        <v>328</v>
      </c>
      <c r="B330" s="22"/>
      <c r="C330" s="23"/>
      <c r="D330" s="23"/>
      <c r="E330" s="24"/>
      <c r="F330" s="23"/>
      <c r="G330" s="100"/>
      <c r="H330" s="101"/>
      <c r="I330" s="102"/>
      <c r="J330" s="102"/>
      <c r="K330" s="233"/>
      <c r="L330" s="22"/>
      <c r="M330" s="25">
        <f t="shared" si="26"/>
        <v>0</v>
      </c>
      <c r="N330" s="25">
        <f t="shared" si="27"/>
        <v>0</v>
      </c>
      <c r="O330" s="25">
        <f t="shared" si="28"/>
        <v>0</v>
      </c>
      <c r="P330" s="25">
        <f t="shared" si="29"/>
        <v>0</v>
      </c>
      <c r="Q330" s="22"/>
      <c r="R330" s="22"/>
      <c r="S330" s="22"/>
      <c r="T330" s="22"/>
      <c r="U330" s="26">
        <f t="shared" si="30"/>
        <v>0</v>
      </c>
      <c r="V330" s="27"/>
      <c r="W330" s="28"/>
      <c r="X330" s="25" t="str">
        <f>+IF(AND('GRADING PACKING'!L$5=INWARDDATA!J330,'GRADING PACKING'!L$6=INWARDDATA!I330,AB330=0),"TRUE","FALSE")</f>
        <v>FALSE</v>
      </c>
      <c r="Y330" s="29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1"/>
      <c r="AK330" s="31"/>
      <c r="AL330" s="31"/>
      <c r="AM330" s="31"/>
      <c r="AN330" s="32" t="str">
        <f>+IF(AND('GRADING PACKING'!L$5=INWARDDATA!J330,'GRADING PACKING'!L$6=INWARDDATA!I330,AR330=0),"good","bad")</f>
        <v>bad</v>
      </c>
      <c r="AO330" s="33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86"/>
      <c r="BC330" s="86"/>
      <c r="BD330" s="97">
        <f>Table_15[[#This Row],[Wgt-Bag]]-Table_15[[#This Row],[Total Graded]]-Table_15[[#This Row],[UNDERSIZE]]+0.0011</f>
        <v>1.1000000000000001E-3</v>
      </c>
      <c r="BE330" s="86">
        <f>Table_15[[#This Row],[Total Graded]]-Table_15[[#This Row],[Packing Quantity]]+Table_15[[#This Row],[PACKING LOOSE]]</f>
        <v>0</v>
      </c>
      <c r="BF330" s="34">
        <f>IF(Table_15[[#This Row],[GRADED BAGS]]&gt;0,Table_15[[#This Row],[GRADED BAGS]],Table_15[[#This Row],[Bags]])</f>
        <v>0</v>
      </c>
    </row>
    <row r="331" spans="1:58" ht="15.75" hidden="1" customHeight="1" x14ac:dyDescent="0.35">
      <c r="A331" s="22">
        <v>329</v>
      </c>
      <c r="B331" s="22"/>
      <c r="C331" s="23"/>
      <c r="D331" s="23"/>
      <c r="E331" s="24"/>
      <c r="F331" s="23"/>
      <c r="G331" s="100"/>
      <c r="H331" s="101"/>
      <c r="I331" s="102"/>
      <c r="J331" s="102"/>
      <c r="K331" s="233"/>
      <c r="L331" s="22"/>
      <c r="M331" s="25">
        <f t="shared" si="26"/>
        <v>0</v>
      </c>
      <c r="N331" s="25">
        <f t="shared" si="27"/>
        <v>0</v>
      </c>
      <c r="O331" s="25">
        <f t="shared" si="28"/>
        <v>0</v>
      </c>
      <c r="P331" s="25">
        <f t="shared" si="29"/>
        <v>0</v>
      </c>
      <c r="Q331" s="22"/>
      <c r="R331" s="22"/>
      <c r="S331" s="22"/>
      <c r="T331" s="22"/>
      <c r="U331" s="26">
        <f t="shared" si="30"/>
        <v>0</v>
      </c>
      <c r="V331" s="27"/>
      <c r="W331" s="28"/>
      <c r="X331" s="25" t="str">
        <f>+IF(AND('GRADING PACKING'!L$5=INWARDDATA!J331,'GRADING PACKING'!L$6=INWARDDATA!I331,AB331=0),"TRUE","FALSE")</f>
        <v>FALSE</v>
      </c>
      <c r="Y331" s="29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1"/>
      <c r="AK331" s="31"/>
      <c r="AL331" s="31"/>
      <c r="AM331" s="31"/>
      <c r="AN331" s="32" t="str">
        <f>+IF(AND('GRADING PACKING'!L$5=INWARDDATA!J331,'GRADING PACKING'!L$6=INWARDDATA!I331,AR331=0),"good","bad")</f>
        <v>bad</v>
      </c>
      <c r="AO331" s="33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86"/>
      <c r="BC331" s="86"/>
      <c r="BD331" s="97">
        <f>Table_15[[#This Row],[Wgt-Bag]]-Table_15[[#This Row],[Total Graded]]-Table_15[[#This Row],[UNDERSIZE]]+0.0011</f>
        <v>1.1000000000000001E-3</v>
      </c>
      <c r="BE331" s="86">
        <f>Table_15[[#This Row],[Total Graded]]-Table_15[[#This Row],[Packing Quantity]]+Table_15[[#This Row],[PACKING LOOSE]]</f>
        <v>0</v>
      </c>
      <c r="BF331" s="34">
        <f>IF(Table_15[[#This Row],[GRADED BAGS]]&gt;0,Table_15[[#This Row],[GRADED BAGS]],Table_15[[#This Row],[Bags]])</f>
        <v>0</v>
      </c>
    </row>
    <row r="332" spans="1:58" ht="15.75" hidden="1" customHeight="1" x14ac:dyDescent="0.35">
      <c r="A332" s="22">
        <v>330</v>
      </c>
      <c r="B332" s="22"/>
      <c r="C332" s="23"/>
      <c r="D332" s="23"/>
      <c r="E332" s="24"/>
      <c r="F332" s="23"/>
      <c r="G332" s="100"/>
      <c r="H332" s="101"/>
      <c r="I332" s="102"/>
      <c r="J332" s="102"/>
      <c r="K332" s="233"/>
      <c r="L332" s="22"/>
      <c r="M332" s="25">
        <f t="shared" si="26"/>
        <v>0</v>
      </c>
      <c r="N332" s="25">
        <f t="shared" si="27"/>
        <v>0</v>
      </c>
      <c r="O332" s="25">
        <f t="shared" si="28"/>
        <v>0</v>
      </c>
      <c r="P332" s="25">
        <f t="shared" si="29"/>
        <v>0</v>
      </c>
      <c r="Q332" s="22"/>
      <c r="R332" s="22"/>
      <c r="S332" s="22"/>
      <c r="T332" s="22"/>
      <c r="U332" s="26">
        <f t="shared" si="30"/>
        <v>0</v>
      </c>
      <c r="V332" s="27"/>
      <c r="W332" s="28"/>
      <c r="X332" s="25" t="str">
        <f>+IF(AND('GRADING PACKING'!L$5=INWARDDATA!J332,'GRADING PACKING'!L$6=INWARDDATA!I332,AB332=0),"TRUE","FALSE")</f>
        <v>FALSE</v>
      </c>
      <c r="Y332" s="29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1"/>
      <c r="AK332" s="31"/>
      <c r="AL332" s="31"/>
      <c r="AM332" s="31"/>
      <c r="AN332" s="32" t="str">
        <f>+IF(AND('GRADING PACKING'!L$5=INWARDDATA!J332,'GRADING PACKING'!L$6=INWARDDATA!I332,AR332=0),"good","bad")</f>
        <v>bad</v>
      </c>
      <c r="AO332" s="33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86"/>
      <c r="BC332" s="86"/>
      <c r="BD332" s="97">
        <f>Table_15[[#This Row],[Wgt-Bag]]-Table_15[[#This Row],[Total Graded]]-Table_15[[#This Row],[UNDERSIZE]]+0.0011</f>
        <v>1.1000000000000001E-3</v>
      </c>
      <c r="BE332" s="86">
        <f>Table_15[[#This Row],[Total Graded]]-Table_15[[#This Row],[Packing Quantity]]+Table_15[[#This Row],[PACKING LOOSE]]</f>
        <v>0</v>
      </c>
      <c r="BF332" s="34">
        <f>IF(Table_15[[#This Row],[GRADED BAGS]]&gt;0,Table_15[[#This Row],[GRADED BAGS]],Table_15[[#This Row],[Bags]])</f>
        <v>0</v>
      </c>
    </row>
    <row r="333" spans="1:58" ht="15.75" hidden="1" customHeight="1" x14ac:dyDescent="0.35">
      <c r="A333" s="22">
        <v>331</v>
      </c>
      <c r="B333" s="22"/>
      <c r="C333" s="23"/>
      <c r="D333" s="23"/>
      <c r="E333" s="24"/>
      <c r="F333" s="23"/>
      <c r="G333" s="100"/>
      <c r="H333" s="101"/>
      <c r="I333" s="102"/>
      <c r="J333" s="102"/>
      <c r="K333" s="233"/>
      <c r="L333" s="22"/>
      <c r="M333" s="25">
        <f t="shared" si="26"/>
        <v>0</v>
      </c>
      <c r="N333" s="25">
        <f t="shared" si="27"/>
        <v>0</v>
      </c>
      <c r="O333" s="25">
        <f t="shared" si="28"/>
        <v>0</v>
      </c>
      <c r="P333" s="25">
        <f t="shared" si="29"/>
        <v>0</v>
      </c>
      <c r="Q333" s="22"/>
      <c r="R333" s="22"/>
      <c r="S333" s="22"/>
      <c r="T333" s="22"/>
      <c r="U333" s="26">
        <f t="shared" si="30"/>
        <v>0</v>
      </c>
      <c r="V333" s="27"/>
      <c r="W333" s="28"/>
      <c r="X333" s="25" t="str">
        <f>+IF(AND('GRADING PACKING'!L$5=INWARDDATA!J333,'GRADING PACKING'!L$6=INWARDDATA!I333,AB333=0),"TRUE","FALSE")</f>
        <v>FALSE</v>
      </c>
      <c r="Y333" s="29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1"/>
      <c r="AK333" s="31"/>
      <c r="AL333" s="31"/>
      <c r="AM333" s="31"/>
      <c r="AN333" s="32" t="str">
        <f>+IF(AND('GRADING PACKING'!L$5=INWARDDATA!J333,'GRADING PACKING'!L$6=INWARDDATA!I333,AR333=0),"good","bad")</f>
        <v>bad</v>
      </c>
      <c r="AO333" s="33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86"/>
      <c r="BC333" s="86"/>
      <c r="BD333" s="97">
        <f>Table_15[[#This Row],[Wgt-Bag]]-Table_15[[#This Row],[Total Graded]]-Table_15[[#This Row],[UNDERSIZE]]+0.0011</f>
        <v>1.1000000000000001E-3</v>
      </c>
      <c r="BE333" s="86">
        <f>Table_15[[#This Row],[Total Graded]]-Table_15[[#This Row],[Packing Quantity]]+Table_15[[#This Row],[PACKING LOOSE]]</f>
        <v>0</v>
      </c>
      <c r="BF333" s="34">
        <f>IF(Table_15[[#This Row],[GRADED BAGS]]&gt;0,Table_15[[#This Row],[GRADED BAGS]],Table_15[[#This Row],[Bags]])</f>
        <v>0</v>
      </c>
    </row>
    <row r="334" spans="1:58" ht="15.75" hidden="1" customHeight="1" x14ac:dyDescent="0.35">
      <c r="A334" s="22">
        <v>332</v>
      </c>
      <c r="B334" s="22"/>
      <c r="C334" s="23"/>
      <c r="D334" s="23"/>
      <c r="E334" s="24"/>
      <c r="F334" s="23"/>
      <c r="G334" s="100"/>
      <c r="H334" s="101"/>
      <c r="I334" s="102"/>
      <c r="J334" s="102"/>
      <c r="K334" s="233"/>
      <c r="L334" s="22"/>
      <c r="M334" s="25">
        <f t="shared" si="26"/>
        <v>0</v>
      </c>
      <c r="N334" s="25">
        <f t="shared" si="27"/>
        <v>0</v>
      </c>
      <c r="O334" s="25">
        <f t="shared" si="28"/>
        <v>0</v>
      </c>
      <c r="P334" s="25">
        <f t="shared" si="29"/>
        <v>0</v>
      </c>
      <c r="Q334" s="22"/>
      <c r="R334" s="22"/>
      <c r="S334" s="22"/>
      <c r="T334" s="22"/>
      <c r="U334" s="26">
        <f t="shared" si="30"/>
        <v>0</v>
      </c>
      <c r="V334" s="27"/>
      <c r="W334" s="28"/>
      <c r="X334" s="25" t="str">
        <f>+IF(AND('GRADING PACKING'!L$5=INWARDDATA!J334,'GRADING PACKING'!L$6=INWARDDATA!I334,AB334=0),"TRUE","FALSE")</f>
        <v>FALSE</v>
      </c>
      <c r="Y334" s="29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1"/>
      <c r="AK334" s="31"/>
      <c r="AL334" s="31"/>
      <c r="AM334" s="31"/>
      <c r="AN334" s="32" t="str">
        <f>+IF(AND('GRADING PACKING'!L$5=INWARDDATA!J334,'GRADING PACKING'!L$6=INWARDDATA!I334,AR334=0),"good","bad")</f>
        <v>bad</v>
      </c>
      <c r="AO334" s="33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86"/>
      <c r="BC334" s="86"/>
      <c r="BD334" s="97">
        <f>Table_15[[#This Row],[Wgt-Bag]]-Table_15[[#This Row],[Total Graded]]-Table_15[[#This Row],[UNDERSIZE]]+0.0011</f>
        <v>1.1000000000000001E-3</v>
      </c>
      <c r="BE334" s="86">
        <f>Table_15[[#This Row],[Total Graded]]-Table_15[[#This Row],[Packing Quantity]]+Table_15[[#This Row],[PACKING LOOSE]]</f>
        <v>0</v>
      </c>
      <c r="BF334" s="34">
        <f>IF(Table_15[[#This Row],[GRADED BAGS]]&gt;0,Table_15[[#This Row],[GRADED BAGS]],Table_15[[#This Row],[Bags]])</f>
        <v>0</v>
      </c>
    </row>
    <row r="335" spans="1:58" ht="15.75" hidden="1" customHeight="1" x14ac:dyDescent="0.35">
      <c r="A335" s="22">
        <v>333</v>
      </c>
      <c r="B335" s="22"/>
      <c r="C335" s="23"/>
      <c r="D335" s="23"/>
      <c r="E335" s="24"/>
      <c r="F335" s="23"/>
      <c r="G335" s="100"/>
      <c r="H335" s="101"/>
      <c r="I335" s="102"/>
      <c r="J335" s="102"/>
      <c r="K335" s="233"/>
      <c r="L335" s="22"/>
      <c r="M335" s="25">
        <f t="shared" si="26"/>
        <v>0</v>
      </c>
      <c r="N335" s="25">
        <f t="shared" si="27"/>
        <v>0</v>
      </c>
      <c r="O335" s="25">
        <f t="shared" si="28"/>
        <v>0</v>
      </c>
      <c r="P335" s="25">
        <f t="shared" si="29"/>
        <v>0</v>
      </c>
      <c r="Q335" s="22"/>
      <c r="R335" s="22"/>
      <c r="S335" s="22"/>
      <c r="T335" s="22"/>
      <c r="U335" s="26">
        <f t="shared" si="30"/>
        <v>0</v>
      </c>
      <c r="V335" s="27"/>
      <c r="W335" s="28"/>
      <c r="X335" s="25" t="str">
        <f>+IF(AND('GRADING PACKING'!L$5=INWARDDATA!J335,'GRADING PACKING'!L$6=INWARDDATA!I335,AB335=0),"TRUE","FALSE")</f>
        <v>FALSE</v>
      </c>
      <c r="Y335" s="29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1"/>
      <c r="AK335" s="31"/>
      <c r="AL335" s="31"/>
      <c r="AM335" s="31"/>
      <c r="AN335" s="32" t="str">
        <f>+IF(AND('GRADING PACKING'!L$5=INWARDDATA!J335,'GRADING PACKING'!L$6=INWARDDATA!I335,AR335=0),"good","bad")</f>
        <v>bad</v>
      </c>
      <c r="AO335" s="33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86"/>
      <c r="BC335" s="86"/>
      <c r="BD335" s="97">
        <f>Table_15[[#This Row],[Wgt-Bag]]-Table_15[[#This Row],[Total Graded]]-Table_15[[#This Row],[UNDERSIZE]]+0.0011</f>
        <v>1.1000000000000001E-3</v>
      </c>
      <c r="BE335" s="86">
        <f>Table_15[[#This Row],[Total Graded]]-Table_15[[#This Row],[Packing Quantity]]+Table_15[[#This Row],[PACKING LOOSE]]</f>
        <v>0</v>
      </c>
      <c r="BF335" s="34">
        <f>IF(Table_15[[#This Row],[GRADED BAGS]]&gt;0,Table_15[[#This Row],[GRADED BAGS]],Table_15[[#This Row],[Bags]])</f>
        <v>0</v>
      </c>
    </row>
    <row r="336" spans="1:58" ht="15.75" hidden="1" customHeight="1" x14ac:dyDescent="0.35">
      <c r="A336" s="22">
        <v>334</v>
      </c>
      <c r="B336" s="22"/>
      <c r="C336" s="23"/>
      <c r="D336" s="23"/>
      <c r="E336" s="24"/>
      <c r="F336" s="23"/>
      <c r="G336" s="100"/>
      <c r="H336" s="101"/>
      <c r="I336" s="102"/>
      <c r="J336" s="102"/>
      <c r="K336" s="233"/>
      <c r="L336" s="22"/>
      <c r="M336" s="25">
        <f t="shared" si="26"/>
        <v>0</v>
      </c>
      <c r="N336" s="25">
        <f t="shared" si="27"/>
        <v>0</v>
      </c>
      <c r="O336" s="25">
        <f t="shared" si="28"/>
        <v>0</v>
      </c>
      <c r="P336" s="25">
        <f t="shared" si="29"/>
        <v>0</v>
      </c>
      <c r="Q336" s="22"/>
      <c r="R336" s="22"/>
      <c r="S336" s="22"/>
      <c r="T336" s="22"/>
      <c r="U336" s="26">
        <f t="shared" si="30"/>
        <v>0</v>
      </c>
      <c r="V336" s="27"/>
      <c r="W336" s="28"/>
      <c r="X336" s="25" t="str">
        <f>+IF(AND('GRADING PACKING'!L$5=INWARDDATA!J336,'GRADING PACKING'!L$6=INWARDDATA!I336,AB336=0),"TRUE","FALSE")</f>
        <v>FALSE</v>
      </c>
      <c r="Y336" s="29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1"/>
      <c r="AK336" s="31"/>
      <c r="AL336" s="31"/>
      <c r="AM336" s="31"/>
      <c r="AN336" s="32" t="str">
        <f>+IF(AND('GRADING PACKING'!L$5=INWARDDATA!J336,'GRADING PACKING'!L$6=INWARDDATA!I336,AR336=0),"good","bad")</f>
        <v>bad</v>
      </c>
      <c r="AO336" s="33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86"/>
      <c r="BC336" s="86"/>
      <c r="BD336" s="97">
        <f>Table_15[[#This Row],[Wgt-Bag]]-Table_15[[#This Row],[Total Graded]]-Table_15[[#This Row],[UNDERSIZE]]+0.0011</f>
        <v>1.1000000000000001E-3</v>
      </c>
      <c r="BE336" s="86">
        <f>Table_15[[#This Row],[Total Graded]]-Table_15[[#This Row],[Packing Quantity]]+Table_15[[#This Row],[PACKING LOOSE]]</f>
        <v>0</v>
      </c>
      <c r="BF336" s="34">
        <f>IF(Table_15[[#This Row],[GRADED BAGS]]&gt;0,Table_15[[#This Row],[GRADED BAGS]],Table_15[[#This Row],[Bags]])</f>
        <v>0</v>
      </c>
    </row>
    <row r="337" spans="1:58" ht="15.75" hidden="1" customHeight="1" x14ac:dyDescent="0.35">
      <c r="A337" s="22">
        <v>335</v>
      </c>
      <c r="B337" s="22"/>
      <c r="C337" s="23"/>
      <c r="D337" s="23"/>
      <c r="E337" s="24"/>
      <c r="F337" s="23"/>
      <c r="G337" s="100"/>
      <c r="H337" s="101"/>
      <c r="I337" s="102"/>
      <c r="J337" s="102"/>
      <c r="K337" s="233"/>
      <c r="L337" s="22"/>
      <c r="M337" s="25">
        <f t="shared" si="26"/>
        <v>0</v>
      </c>
      <c r="N337" s="25">
        <f t="shared" si="27"/>
        <v>0</v>
      </c>
      <c r="O337" s="25">
        <f t="shared" si="28"/>
        <v>0</v>
      </c>
      <c r="P337" s="25">
        <f t="shared" si="29"/>
        <v>0</v>
      </c>
      <c r="Q337" s="22"/>
      <c r="R337" s="22"/>
      <c r="S337" s="22"/>
      <c r="T337" s="22"/>
      <c r="U337" s="26">
        <f t="shared" si="30"/>
        <v>0</v>
      </c>
      <c r="V337" s="27"/>
      <c r="W337" s="28"/>
      <c r="X337" s="25" t="str">
        <f>+IF(AND('GRADING PACKING'!L$5=INWARDDATA!J337,'GRADING PACKING'!L$6=INWARDDATA!I337,AB337=0),"TRUE","FALSE")</f>
        <v>FALSE</v>
      </c>
      <c r="Y337" s="29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1"/>
      <c r="AK337" s="31"/>
      <c r="AL337" s="31"/>
      <c r="AM337" s="31"/>
      <c r="AN337" s="32" t="str">
        <f>+IF(AND('GRADING PACKING'!L$5=INWARDDATA!J337,'GRADING PACKING'!L$6=INWARDDATA!I337,AR337=0),"good","bad")</f>
        <v>bad</v>
      </c>
      <c r="AO337" s="33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86"/>
      <c r="BC337" s="86"/>
      <c r="BD337" s="97">
        <f>Table_15[[#This Row],[Wgt-Bag]]-Table_15[[#This Row],[Total Graded]]-Table_15[[#This Row],[UNDERSIZE]]+0.0011</f>
        <v>1.1000000000000001E-3</v>
      </c>
      <c r="BE337" s="86">
        <f>Table_15[[#This Row],[Total Graded]]-Table_15[[#This Row],[Packing Quantity]]+Table_15[[#This Row],[PACKING LOOSE]]</f>
        <v>0</v>
      </c>
      <c r="BF337" s="34">
        <f>IF(Table_15[[#This Row],[GRADED BAGS]]&gt;0,Table_15[[#This Row],[GRADED BAGS]],Table_15[[#This Row],[Bags]])</f>
        <v>0</v>
      </c>
    </row>
    <row r="338" spans="1:58" ht="15.75" hidden="1" customHeight="1" x14ac:dyDescent="0.35">
      <c r="A338" s="22">
        <v>336</v>
      </c>
      <c r="B338" s="22"/>
      <c r="C338" s="23"/>
      <c r="D338" s="23"/>
      <c r="E338" s="24"/>
      <c r="F338" s="23"/>
      <c r="G338" s="100"/>
      <c r="H338" s="101"/>
      <c r="I338" s="102"/>
      <c r="J338" s="102"/>
      <c r="K338" s="233"/>
      <c r="L338" s="22"/>
      <c r="M338" s="25">
        <f t="shared" si="26"/>
        <v>0</v>
      </c>
      <c r="N338" s="25">
        <f t="shared" si="27"/>
        <v>0</v>
      </c>
      <c r="O338" s="25">
        <f t="shared" si="28"/>
        <v>0</v>
      </c>
      <c r="P338" s="25">
        <f t="shared" si="29"/>
        <v>0</v>
      </c>
      <c r="Q338" s="22"/>
      <c r="R338" s="22"/>
      <c r="S338" s="22"/>
      <c r="T338" s="22"/>
      <c r="U338" s="26">
        <f t="shared" si="30"/>
        <v>0</v>
      </c>
      <c r="V338" s="27"/>
      <c r="W338" s="28"/>
      <c r="X338" s="25" t="str">
        <f>+IF(AND('GRADING PACKING'!L$5=INWARDDATA!J338,'GRADING PACKING'!L$6=INWARDDATA!I338,AB338=0),"TRUE","FALSE")</f>
        <v>FALSE</v>
      </c>
      <c r="Y338" s="29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1"/>
      <c r="AK338" s="31"/>
      <c r="AL338" s="31"/>
      <c r="AM338" s="31"/>
      <c r="AN338" s="32" t="str">
        <f>+IF(AND('GRADING PACKING'!L$5=INWARDDATA!J338,'GRADING PACKING'!L$6=INWARDDATA!I338,AR338=0),"good","bad")</f>
        <v>bad</v>
      </c>
      <c r="AO338" s="33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86"/>
      <c r="BC338" s="86"/>
      <c r="BD338" s="97">
        <f>Table_15[[#This Row],[Wgt-Bag]]-Table_15[[#This Row],[Total Graded]]-Table_15[[#This Row],[UNDERSIZE]]+0.0011</f>
        <v>1.1000000000000001E-3</v>
      </c>
      <c r="BE338" s="86">
        <f>Table_15[[#This Row],[Total Graded]]-Table_15[[#This Row],[Packing Quantity]]+Table_15[[#This Row],[PACKING LOOSE]]</f>
        <v>0</v>
      </c>
      <c r="BF338" s="34">
        <f>IF(Table_15[[#This Row],[GRADED BAGS]]&gt;0,Table_15[[#This Row],[GRADED BAGS]],Table_15[[#This Row],[Bags]])</f>
        <v>0</v>
      </c>
    </row>
    <row r="339" spans="1:58" ht="15.75" hidden="1" customHeight="1" x14ac:dyDescent="0.35">
      <c r="A339" s="22">
        <v>337</v>
      </c>
      <c r="B339" s="22"/>
      <c r="C339" s="23"/>
      <c r="D339" s="23"/>
      <c r="E339" s="24"/>
      <c r="F339" s="23"/>
      <c r="G339" s="100"/>
      <c r="H339" s="101"/>
      <c r="I339" s="102"/>
      <c r="J339" s="102"/>
      <c r="K339" s="233"/>
      <c r="L339" s="22"/>
      <c r="M339" s="25">
        <f t="shared" si="26"/>
        <v>0</v>
      </c>
      <c r="N339" s="25">
        <f t="shared" si="27"/>
        <v>0</v>
      </c>
      <c r="O339" s="25">
        <f t="shared" si="28"/>
        <v>0</v>
      </c>
      <c r="P339" s="25">
        <f t="shared" si="29"/>
        <v>0</v>
      </c>
      <c r="Q339" s="22"/>
      <c r="R339" s="22"/>
      <c r="S339" s="22"/>
      <c r="T339" s="22"/>
      <c r="U339" s="26">
        <f t="shared" si="30"/>
        <v>0</v>
      </c>
      <c r="V339" s="27"/>
      <c r="W339" s="28"/>
      <c r="X339" s="25" t="str">
        <f>+IF(AND('GRADING PACKING'!L$5=INWARDDATA!J339,'GRADING PACKING'!L$6=INWARDDATA!I339,AB339=0),"TRUE","FALSE")</f>
        <v>FALSE</v>
      </c>
      <c r="Y339" s="29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1"/>
      <c r="AK339" s="31"/>
      <c r="AL339" s="31"/>
      <c r="AM339" s="31"/>
      <c r="AN339" s="32" t="str">
        <f>+IF(AND('GRADING PACKING'!L$5=INWARDDATA!J339,'GRADING PACKING'!L$6=INWARDDATA!I339,AR339=0),"good","bad")</f>
        <v>bad</v>
      </c>
      <c r="AO339" s="33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86"/>
      <c r="BC339" s="86"/>
      <c r="BD339" s="97">
        <f>Table_15[[#This Row],[Wgt-Bag]]-Table_15[[#This Row],[Total Graded]]-Table_15[[#This Row],[UNDERSIZE]]+0.0011</f>
        <v>1.1000000000000001E-3</v>
      </c>
      <c r="BE339" s="86">
        <f>Table_15[[#This Row],[Total Graded]]-Table_15[[#This Row],[Packing Quantity]]+Table_15[[#This Row],[PACKING LOOSE]]</f>
        <v>0</v>
      </c>
      <c r="BF339" s="34">
        <f>IF(Table_15[[#This Row],[GRADED BAGS]]&gt;0,Table_15[[#This Row],[GRADED BAGS]],Table_15[[#This Row],[Bags]])</f>
        <v>0</v>
      </c>
    </row>
    <row r="340" spans="1:58" ht="15.75" hidden="1" customHeight="1" x14ac:dyDescent="0.35">
      <c r="A340" s="22">
        <v>338</v>
      </c>
      <c r="B340" s="22"/>
      <c r="C340" s="23"/>
      <c r="D340" s="23"/>
      <c r="E340" s="24"/>
      <c r="F340" s="23"/>
      <c r="G340" s="100"/>
      <c r="H340" s="101"/>
      <c r="I340" s="102"/>
      <c r="J340" s="102"/>
      <c r="K340" s="233"/>
      <c r="L340" s="22"/>
      <c r="M340" s="25">
        <f t="shared" si="26"/>
        <v>0</v>
      </c>
      <c r="N340" s="25">
        <f t="shared" si="27"/>
        <v>0</v>
      </c>
      <c r="O340" s="25">
        <f t="shared" si="28"/>
        <v>0</v>
      </c>
      <c r="P340" s="25">
        <f t="shared" si="29"/>
        <v>0</v>
      </c>
      <c r="Q340" s="22"/>
      <c r="R340" s="22"/>
      <c r="S340" s="22"/>
      <c r="T340" s="22"/>
      <c r="U340" s="26">
        <f t="shared" si="30"/>
        <v>0</v>
      </c>
      <c r="V340" s="27"/>
      <c r="W340" s="28"/>
      <c r="X340" s="25" t="str">
        <f>+IF(AND('GRADING PACKING'!L$5=INWARDDATA!J340,'GRADING PACKING'!L$6=INWARDDATA!I340,AB340=0),"TRUE","FALSE")</f>
        <v>FALSE</v>
      </c>
      <c r="Y340" s="29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1"/>
      <c r="AK340" s="31"/>
      <c r="AL340" s="31"/>
      <c r="AM340" s="31"/>
      <c r="AN340" s="32" t="str">
        <f>+IF(AND('GRADING PACKING'!L$5=INWARDDATA!J340,'GRADING PACKING'!L$6=INWARDDATA!I340,AR340=0),"good","bad")</f>
        <v>bad</v>
      </c>
      <c r="AO340" s="33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86"/>
      <c r="BC340" s="86"/>
      <c r="BD340" s="97">
        <f>Table_15[[#This Row],[Wgt-Bag]]-Table_15[[#This Row],[Total Graded]]-Table_15[[#This Row],[UNDERSIZE]]+0.0011</f>
        <v>1.1000000000000001E-3</v>
      </c>
      <c r="BE340" s="86">
        <f>Table_15[[#This Row],[Total Graded]]-Table_15[[#This Row],[Packing Quantity]]+Table_15[[#This Row],[PACKING LOOSE]]</f>
        <v>0</v>
      </c>
      <c r="BF340" s="34">
        <f>IF(Table_15[[#This Row],[GRADED BAGS]]&gt;0,Table_15[[#This Row],[GRADED BAGS]],Table_15[[#This Row],[Bags]])</f>
        <v>0</v>
      </c>
    </row>
    <row r="341" spans="1:58" ht="15.75" hidden="1" customHeight="1" x14ac:dyDescent="0.35">
      <c r="A341" s="22">
        <v>339</v>
      </c>
      <c r="B341" s="22"/>
      <c r="C341" s="23"/>
      <c r="D341" s="23"/>
      <c r="E341" s="24"/>
      <c r="F341" s="23"/>
      <c r="G341" s="100"/>
      <c r="H341" s="101"/>
      <c r="I341" s="102"/>
      <c r="J341" s="102"/>
      <c r="K341" s="233"/>
      <c r="L341" s="22"/>
      <c r="M341" s="25">
        <f t="shared" si="26"/>
        <v>0</v>
      </c>
      <c r="N341" s="25">
        <f t="shared" si="27"/>
        <v>0</v>
      </c>
      <c r="O341" s="25">
        <f t="shared" si="28"/>
        <v>0</v>
      </c>
      <c r="P341" s="25">
        <f t="shared" si="29"/>
        <v>0</v>
      </c>
      <c r="Q341" s="22"/>
      <c r="R341" s="22"/>
      <c r="S341" s="22"/>
      <c r="T341" s="22"/>
      <c r="U341" s="26">
        <f t="shared" si="30"/>
        <v>0</v>
      </c>
      <c r="V341" s="27"/>
      <c r="W341" s="28"/>
      <c r="X341" s="25" t="str">
        <f>+IF(AND('GRADING PACKING'!L$5=INWARDDATA!J341,'GRADING PACKING'!L$6=INWARDDATA!I341,AB341=0),"TRUE","FALSE")</f>
        <v>FALSE</v>
      </c>
      <c r="Y341" s="29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1"/>
      <c r="AK341" s="31"/>
      <c r="AL341" s="31"/>
      <c r="AM341" s="31"/>
      <c r="AN341" s="32" t="str">
        <f>+IF(AND('GRADING PACKING'!L$5=INWARDDATA!J341,'GRADING PACKING'!L$6=INWARDDATA!I341,AR341=0),"good","bad")</f>
        <v>bad</v>
      </c>
      <c r="AO341" s="33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86"/>
      <c r="BC341" s="86"/>
      <c r="BD341" s="97">
        <f>Table_15[[#This Row],[Wgt-Bag]]-Table_15[[#This Row],[Total Graded]]-Table_15[[#This Row],[UNDERSIZE]]+0.0011</f>
        <v>1.1000000000000001E-3</v>
      </c>
      <c r="BE341" s="86">
        <f>Table_15[[#This Row],[Total Graded]]-Table_15[[#This Row],[Packing Quantity]]+Table_15[[#This Row],[PACKING LOOSE]]</f>
        <v>0</v>
      </c>
      <c r="BF341" s="34">
        <f>IF(Table_15[[#This Row],[GRADED BAGS]]&gt;0,Table_15[[#This Row],[GRADED BAGS]],Table_15[[#This Row],[Bags]])</f>
        <v>0</v>
      </c>
    </row>
    <row r="342" spans="1:58" ht="15.75" hidden="1" customHeight="1" x14ac:dyDescent="0.35">
      <c r="A342" s="22">
        <v>340</v>
      </c>
      <c r="B342" s="22"/>
      <c r="C342" s="23"/>
      <c r="D342" s="23"/>
      <c r="E342" s="24"/>
      <c r="F342" s="23"/>
      <c r="G342" s="100"/>
      <c r="H342" s="101"/>
      <c r="I342" s="102"/>
      <c r="J342" s="102"/>
      <c r="K342" s="233"/>
      <c r="L342" s="22"/>
      <c r="M342" s="25">
        <f t="shared" si="26"/>
        <v>0</v>
      </c>
      <c r="N342" s="25">
        <f t="shared" si="27"/>
        <v>0</v>
      </c>
      <c r="O342" s="25">
        <f t="shared" si="28"/>
        <v>0</v>
      </c>
      <c r="P342" s="25">
        <f t="shared" si="29"/>
        <v>0</v>
      </c>
      <c r="Q342" s="22"/>
      <c r="R342" s="22"/>
      <c r="S342" s="22"/>
      <c r="T342" s="22"/>
      <c r="U342" s="26">
        <f t="shared" si="30"/>
        <v>0</v>
      </c>
      <c r="V342" s="27"/>
      <c r="W342" s="28"/>
      <c r="X342" s="25" t="str">
        <f>+IF(AND('GRADING PACKING'!L$5=INWARDDATA!J342,'GRADING PACKING'!L$6=INWARDDATA!I342,AB342=0),"TRUE","FALSE")</f>
        <v>FALSE</v>
      </c>
      <c r="Y342" s="29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1"/>
      <c r="AK342" s="31"/>
      <c r="AL342" s="31"/>
      <c r="AM342" s="31"/>
      <c r="AN342" s="32" t="str">
        <f>+IF(AND('GRADING PACKING'!L$5=INWARDDATA!J342,'GRADING PACKING'!L$6=INWARDDATA!I342,AR342=0),"good","bad")</f>
        <v>bad</v>
      </c>
      <c r="AO342" s="33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86"/>
      <c r="BC342" s="86"/>
      <c r="BD342" s="97">
        <f>Table_15[[#This Row],[Wgt-Bag]]-Table_15[[#This Row],[Total Graded]]-Table_15[[#This Row],[UNDERSIZE]]+0.0011</f>
        <v>1.1000000000000001E-3</v>
      </c>
      <c r="BE342" s="86">
        <f>Table_15[[#This Row],[Total Graded]]-Table_15[[#This Row],[Packing Quantity]]+Table_15[[#This Row],[PACKING LOOSE]]</f>
        <v>0</v>
      </c>
      <c r="BF342" s="34">
        <f>IF(Table_15[[#This Row],[GRADED BAGS]]&gt;0,Table_15[[#This Row],[GRADED BAGS]],Table_15[[#This Row],[Bags]])</f>
        <v>0</v>
      </c>
    </row>
    <row r="343" spans="1:58" ht="15.75" hidden="1" customHeight="1" x14ac:dyDescent="0.35">
      <c r="A343" s="22">
        <v>341</v>
      </c>
      <c r="B343" s="22"/>
      <c r="C343" s="23"/>
      <c r="D343" s="23"/>
      <c r="E343" s="24"/>
      <c r="F343" s="23"/>
      <c r="G343" s="100"/>
      <c r="H343" s="101"/>
      <c r="I343" s="102"/>
      <c r="J343" s="102"/>
      <c r="K343" s="233"/>
      <c r="L343" s="22"/>
      <c r="M343" s="25">
        <f t="shared" si="26"/>
        <v>0</v>
      </c>
      <c r="N343" s="25">
        <f t="shared" si="27"/>
        <v>0</v>
      </c>
      <c r="O343" s="25">
        <f t="shared" si="28"/>
        <v>0</v>
      </c>
      <c r="P343" s="25">
        <f t="shared" si="29"/>
        <v>0</v>
      </c>
      <c r="Q343" s="22"/>
      <c r="R343" s="22"/>
      <c r="S343" s="22"/>
      <c r="T343" s="22"/>
      <c r="U343" s="26">
        <f t="shared" si="30"/>
        <v>0</v>
      </c>
      <c r="V343" s="27"/>
      <c r="W343" s="28"/>
      <c r="X343" s="25" t="str">
        <f>+IF(AND('GRADING PACKING'!L$5=INWARDDATA!J343,'GRADING PACKING'!L$6=INWARDDATA!I343,AB343=0),"TRUE","FALSE")</f>
        <v>FALSE</v>
      </c>
      <c r="Y343" s="29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1"/>
      <c r="AK343" s="31"/>
      <c r="AL343" s="31"/>
      <c r="AM343" s="31"/>
      <c r="AN343" s="32" t="str">
        <f>+IF(AND('GRADING PACKING'!L$5=INWARDDATA!J343,'GRADING PACKING'!L$6=INWARDDATA!I343,AR343=0),"good","bad")</f>
        <v>bad</v>
      </c>
      <c r="AO343" s="33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86"/>
      <c r="BC343" s="86"/>
      <c r="BD343" s="97">
        <f>Table_15[[#This Row],[Wgt-Bag]]-Table_15[[#This Row],[Total Graded]]-Table_15[[#This Row],[UNDERSIZE]]+0.0011</f>
        <v>1.1000000000000001E-3</v>
      </c>
      <c r="BE343" s="86">
        <f>Table_15[[#This Row],[Total Graded]]-Table_15[[#This Row],[Packing Quantity]]+Table_15[[#This Row],[PACKING LOOSE]]</f>
        <v>0</v>
      </c>
      <c r="BF343" s="34">
        <f>IF(Table_15[[#This Row],[GRADED BAGS]]&gt;0,Table_15[[#This Row],[GRADED BAGS]],Table_15[[#This Row],[Bags]])</f>
        <v>0</v>
      </c>
    </row>
    <row r="344" spans="1:58" ht="15.75" hidden="1" customHeight="1" x14ac:dyDescent="0.35">
      <c r="A344" s="22">
        <v>342</v>
      </c>
      <c r="B344" s="22"/>
      <c r="C344" s="23"/>
      <c r="D344" s="23"/>
      <c r="E344" s="24"/>
      <c r="F344" s="23"/>
      <c r="G344" s="100"/>
      <c r="H344" s="101"/>
      <c r="I344" s="102"/>
      <c r="J344" s="102"/>
      <c r="K344" s="233"/>
      <c r="L344" s="22"/>
      <c r="M344" s="25">
        <f t="shared" si="26"/>
        <v>0</v>
      </c>
      <c r="N344" s="25">
        <f t="shared" si="27"/>
        <v>0</v>
      </c>
      <c r="O344" s="25">
        <f t="shared" si="28"/>
        <v>0</v>
      </c>
      <c r="P344" s="25">
        <f t="shared" si="29"/>
        <v>0</v>
      </c>
      <c r="Q344" s="22"/>
      <c r="R344" s="22"/>
      <c r="S344" s="22"/>
      <c r="T344" s="22"/>
      <c r="U344" s="26">
        <f t="shared" si="30"/>
        <v>0</v>
      </c>
      <c r="V344" s="27"/>
      <c r="W344" s="28"/>
      <c r="X344" s="25" t="str">
        <f>+IF(AND('GRADING PACKING'!L$5=INWARDDATA!J344,'GRADING PACKING'!L$6=INWARDDATA!I344,AB344=0),"TRUE","FALSE")</f>
        <v>FALSE</v>
      </c>
      <c r="Y344" s="29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1"/>
      <c r="AK344" s="31"/>
      <c r="AL344" s="31"/>
      <c r="AM344" s="31"/>
      <c r="AN344" s="32" t="str">
        <f>+IF(AND('GRADING PACKING'!L$5=INWARDDATA!J344,'GRADING PACKING'!L$6=INWARDDATA!I344,AR344=0),"good","bad")</f>
        <v>bad</v>
      </c>
      <c r="AO344" s="33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86"/>
      <c r="BC344" s="86"/>
      <c r="BD344" s="97">
        <f>Table_15[[#This Row],[Wgt-Bag]]-Table_15[[#This Row],[Total Graded]]-Table_15[[#This Row],[UNDERSIZE]]+0.0011</f>
        <v>1.1000000000000001E-3</v>
      </c>
      <c r="BE344" s="86">
        <f>Table_15[[#This Row],[Total Graded]]-Table_15[[#This Row],[Packing Quantity]]+Table_15[[#This Row],[PACKING LOOSE]]</f>
        <v>0</v>
      </c>
      <c r="BF344" s="34">
        <f>IF(Table_15[[#This Row],[GRADED BAGS]]&gt;0,Table_15[[#This Row],[GRADED BAGS]],Table_15[[#This Row],[Bags]])</f>
        <v>0</v>
      </c>
    </row>
    <row r="345" spans="1:58" ht="15.75" hidden="1" customHeight="1" x14ac:dyDescent="0.35">
      <c r="A345" s="22">
        <v>343</v>
      </c>
      <c r="B345" s="22"/>
      <c r="C345" s="23"/>
      <c r="D345" s="23"/>
      <c r="E345" s="24"/>
      <c r="F345" s="23"/>
      <c r="G345" s="100"/>
      <c r="H345" s="101"/>
      <c r="I345" s="102"/>
      <c r="J345" s="102"/>
      <c r="K345" s="233"/>
      <c r="L345" s="22"/>
      <c r="M345" s="25">
        <f t="shared" si="26"/>
        <v>0</v>
      </c>
      <c r="N345" s="25">
        <f t="shared" si="27"/>
        <v>0</v>
      </c>
      <c r="O345" s="25">
        <f t="shared" si="28"/>
        <v>0</v>
      </c>
      <c r="P345" s="25">
        <f t="shared" si="29"/>
        <v>0</v>
      </c>
      <c r="Q345" s="22"/>
      <c r="R345" s="22"/>
      <c r="S345" s="22"/>
      <c r="T345" s="22"/>
      <c r="U345" s="26">
        <f t="shared" si="30"/>
        <v>0</v>
      </c>
      <c r="V345" s="27"/>
      <c r="W345" s="28"/>
      <c r="X345" s="25" t="str">
        <f>+IF(AND('GRADING PACKING'!L$5=INWARDDATA!J345,'GRADING PACKING'!L$6=INWARDDATA!I345,AB345=0),"TRUE","FALSE")</f>
        <v>FALSE</v>
      </c>
      <c r="Y345" s="29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1"/>
      <c r="AK345" s="31"/>
      <c r="AL345" s="31"/>
      <c r="AM345" s="31"/>
      <c r="AN345" s="32" t="str">
        <f>+IF(AND('GRADING PACKING'!L$5=INWARDDATA!J345,'GRADING PACKING'!L$6=INWARDDATA!I345,AR345=0),"good","bad")</f>
        <v>bad</v>
      </c>
      <c r="AO345" s="33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86"/>
      <c r="BC345" s="86"/>
      <c r="BD345" s="97">
        <f>Table_15[[#This Row],[Wgt-Bag]]-Table_15[[#This Row],[Total Graded]]-Table_15[[#This Row],[UNDERSIZE]]+0.0011</f>
        <v>1.1000000000000001E-3</v>
      </c>
      <c r="BE345" s="86">
        <f>Table_15[[#This Row],[Total Graded]]-Table_15[[#This Row],[Packing Quantity]]+Table_15[[#This Row],[PACKING LOOSE]]</f>
        <v>0</v>
      </c>
      <c r="BF345" s="34">
        <f>IF(Table_15[[#This Row],[GRADED BAGS]]&gt;0,Table_15[[#This Row],[GRADED BAGS]],Table_15[[#This Row],[Bags]])</f>
        <v>0</v>
      </c>
    </row>
    <row r="346" spans="1:58" ht="15.75" hidden="1" customHeight="1" x14ac:dyDescent="0.35">
      <c r="A346" s="22">
        <v>344</v>
      </c>
      <c r="B346" s="22"/>
      <c r="C346" s="23"/>
      <c r="D346" s="23"/>
      <c r="E346" s="24"/>
      <c r="F346" s="23"/>
      <c r="G346" s="100"/>
      <c r="H346" s="101"/>
      <c r="I346" s="102"/>
      <c r="J346" s="102"/>
      <c r="K346" s="233"/>
      <c r="L346" s="22"/>
      <c r="M346" s="25">
        <f t="shared" si="26"/>
        <v>0</v>
      </c>
      <c r="N346" s="25">
        <f t="shared" si="27"/>
        <v>0</v>
      </c>
      <c r="O346" s="25">
        <f t="shared" si="28"/>
        <v>0</v>
      </c>
      <c r="P346" s="25">
        <f t="shared" si="29"/>
        <v>0</v>
      </c>
      <c r="Q346" s="22"/>
      <c r="R346" s="22"/>
      <c r="S346" s="22"/>
      <c r="T346" s="22"/>
      <c r="U346" s="26">
        <f t="shared" si="30"/>
        <v>0</v>
      </c>
      <c r="V346" s="27"/>
      <c r="W346" s="28"/>
      <c r="X346" s="25" t="str">
        <f>+IF(AND('GRADING PACKING'!L$5=INWARDDATA!J346,'GRADING PACKING'!L$6=INWARDDATA!I346,AB346=0),"TRUE","FALSE")</f>
        <v>FALSE</v>
      </c>
      <c r="Y346" s="29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1"/>
      <c r="AK346" s="31"/>
      <c r="AL346" s="31"/>
      <c r="AM346" s="31"/>
      <c r="AN346" s="32" t="str">
        <f>+IF(AND('GRADING PACKING'!L$5=INWARDDATA!J346,'GRADING PACKING'!L$6=INWARDDATA!I346,AR346=0),"good","bad")</f>
        <v>bad</v>
      </c>
      <c r="AO346" s="33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86"/>
      <c r="BC346" s="86"/>
      <c r="BD346" s="97">
        <f>Table_15[[#This Row],[Wgt-Bag]]-Table_15[[#This Row],[Total Graded]]-Table_15[[#This Row],[UNDERSIZE]]+0.0011</f>
        <v>1.1000000000000001E-3</v>
      </c>
      <c r="BE346" s="86">
        <f>Table_15[[#This Row],[Total Graded]]-Table_15[[#This Row],[Packing Quantity]]+Table_15[[#This Row],[PACKING LOOSE]]</f>
        <v>0</v>
      </c>
      <c r="BF346" s="34">
        <f>IF(Table_15[[#This Row],[GRADED BAGS]]&gt;0,Table_15[[#This Row],[GRADED BAGS]],Table_15[[#This Row],[Bags]])</f>
        <v>0</v>
      </c>
    </row>
    <row r="347" spans="1:58" ht="15.75" hidden="1" customHeight="1" x14ac:dyDescent="0.35">
      <c r="A347" s="22">
        <v>345</v>
      </c>
      <c r="B347" s="22"/>
      <c r="C347" s="23"/>
      <c r="D347" s="23"/>
      <c r="E347" s="24"/>
      <c r="F347" s="23"/>
      <c r="G347" s="100"/>
      <c r="H347" s="101"/>
      <c r="I347" s="102"/>
      <c r="J347" s="102"/>
      <c r="K347" s="233"/>
      <c r="L347" s="22"/>
      <c r="M347" s="25">
        <f t="shared" si="26"/>
        <v>0</v>
      </c>
      <c r="N347" s="25">
        <f t="shared" si="27"/>
        <v>0</v>
      </c>
      <c r="O347" s="25">
        <f t="shared" si="28"/>
        <v>0</v>
      </c>
      <c r="P347" s="25">
        <f t="shared" si="29"/>
        <v>0</v>
      </c>
      <c r="Q347" s="22"/>
      <c r="R347" s="22"/>
      <c r="S347" s="22"/>
      <c r="T347" s="22"/>
      <c r="U347" s="26">
        <f t="shared" si="30"/>
        <v>0</v>
      </c>
      <c r="V347" s="27"/>
      <c r="W347" s="28"/>
      <c r="X347" s="25" t="str">
        <f>+IF(AND('GRADING PACKING'!L$5=INWARDDATA!J347,'GRADING PACKING'!L$6=INWARDDATA!I347,AB347=0),"TRUE","FALSE")</f>
        <v>FALSE</v>
      </c>
      <c r="Y347" s="29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1"/>
      <c r="AK347" s="31"/>
      <c r="AL347" s="31"/>
      <c r="AM347" s="31"/>
      <c r="AN347" s="32" t="str">
        <f>+IF(AND('GRADING PACKING'!L$5=INWARDDATA!J347,'GRADING PACKING'!L$6=INWARDDATA!I347,AR347=0),"good","bad")</f>
        <v>bad</v>
      </c>
      <c r="AO347" s="33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86"/>
      <c r="BC347" s="86"/>
      <c r="BD347" s="97">
        <f>Table_15[[#This Row],[Wgt-Bag]]-Table_15[[#This Row],[Total Graded]]-Table_15[[#This Row],[UNDERSIZE]]+0.0011</f>
        <v>1.1000000000000001E-3</v>
      </c>
      <c r="BE347" s="86">
        <f>Table_15[[#This Row],[Total Graded]]-Table_15[[#This Row],[Packing Quantity]]+Table_15[[#This Row],[PACKING LOOSE]]</f>
        <v>0</v>
      </c>
      <c r="BF347" s="34">
        <f>IF(Table_15[[#This Row],[GRADED BAGS]]&gt;0,Table_15[[#This Row],[GRADED BAGS]],Table_15[[#This Row],[Bags]])</f>
        <v>0</v>
      </c>
    </row>
    <row r="348" spans="1:58" ht="15.75" hidden="1" customHeight="1" x14ac:dyDescent="0.35">
      <c r="A348" s="22">
        <v>346</v>
      </c>
      <c r="B348" s="22"/>
      <c r="C348" s="23"/>
      <c r="D348" s="23"/>
      <c r="E348" s="24"/>
      <c r="F348" s="23"/>
      <c r="G348" s="100"/>
      <c r="H348" s="101"/>
      <c r="I348" s="102"/>
      <c r="J348" s="102"/>
      <c r="K348" s="233"/>
      <c r="L348" s="22"/>
      <c r="M348" s="25">
        <f t="shared" si="26"/>
        <v>0</v>
      </c>
      <c r="N348" s="25">
        <f t="shared" si="27"/>
        <v>0</v>
      </c>
      <c r="O348" s="25">
        <f t="shared" si="28"/>
        <v>0</v>
      </c>
      <c r="P348" s="25">
        <f t="shared" si="29"/>
        <v>0</v>
      </c>
      <c r="Q348" s="22"/>
      <c r="R348" s="22"/>
      <c r="S348" s="22"/>
      <c r="T348" s="22"/>
      <c r="U348" s="26">
        <f t="shared" si="30"/>
        <v>0</v>
      </c>
      <c r="V348" s="27"/>
      <c r="W348" s="28"/>
      <c r="X348" s="25" t="str">
        <f>+IF(AND('GRADING PACKING'!L$5=INWARDDATA!J348,'GRADING PACKING'!L$6=INWARDDATA!I348,AB348=0),"TRUE","FALSE")</f>
        <v>FALSE</v>
      </c>
      <c r="Y348" s="29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1"/>
      <c r="AK348" s="31"/>
      <c r="AL348" s="31"/>
      <c r="AM348" s="31"/>
      <c r="AN348" s="32" t="str">
        <f>+IF(AND('GRADING PACKING'!L$5=INWARDDATA!J348,'GRADING PACKING'!L$6=INWARDDATA!I348,AR348=0),"good","bad")</f>
        <v>bad</v>
      </c>
      <c r="AO348" s="33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86"/>
      <c r="BC348" s="86"/>
      <c r="BD348" s="97">
        <f>Table_15[[#This Row],[Wgt-Bag]]-Table_15[[#This Row],[Total Graded]]-Table_15[[#This Row],[UNDERSIZE]]+0.0011</f>
        <v>1.1000000000000001E-3</v>
      </c>
      <c r="BE348" s="86">
        <f>Table_15[[#This Row],[Total Graded]]-Table_15[[#This Row],[Packing Quantity]]+Table_15[[#This Row],[PACKING LOOSE]]</f>
        <v>0</v>
      </c>
      <c r="BF348" s="34">
        <f>IF(Table_15[[#This Row],[GRADED BAGS]]&gt;0,Table_15[[#This Row],[GRADED BAGS]],Table_15[[#This Row],[Bags]])</f>
        <v>0</v>
      </c>
    </row>
    <row r="349" spans="1:58" ht="15.75" hidden="1" customHeight="1" x14ac:dyDescent="0.35">
      <c r="A349" s="22">
        <v>347</v>
      </c>
      <c r="B349" s="22"/>
      <c r="C349" s="23"/>
      <c r="D349" s="23"/>
      <c r="E349" s="24"/>
      <c r="F349" s="23"/>
      <c r="G349" s="100"/>
      <c r="H349" s="101"/>
      <c r="I349" s="102"/>
      <c r="J349" s="102"/>
      <c r="K349" s="233"/>
      <c r="L349" s="22"/>
      <c r="M349" s="25">
        <f t="shared" si="26"/>
        <v>0</v>
      </c>
      <c r="N349" s="25">
        <f t="shared" si="27"/>
        <v>0</v>
      </c>
      <c r="O349" s="25">
        <f t="shared" si="28"/>
        <v>0</v>
      </c>
      <c r="P349" s="25">
        <f t="shared" si="29"/>
        <v>0</v>
      </c>
      <c r="Q349" s="22"/>
      <c r="R349" s="22"/>
      <c r="S349" s="22"/>
      <c r="T349" s="22"/>
      <c r="U349" s="26">
        <f t="shared" si="30"/>
        <v>0</v>
      </c>
      <c r="V349" s="27"/>
      <c r="W349" s="28"/>
      <c r="X349" s="25" t="str">
        <f>+IF(AND('GRADING PACKING'!L$5=INWARDDATA!J349,'GRADING PACKING'!L$6=INWARDDATA!I349,AB349=0),"TRUE","FALSE")</f>
        <v>FALSE</v>
      </c>
      <c r="Y349" s="29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1"/>
      <c r="AK349" s="31"/>
      <c r="AL349" s="31"/>
      <c r="AM349" s="31"/>
      <c r="AN349" s="32" t="str">
        <f>+IF(AND('GRADING PACKING'!L$5=INWARDDATA!J349,'GRADING PACKING'!L$6=INWARDDATA!I349,AR349=0),"good","bad")</f>
        <v>bad</v>
      </c>
      <c r="AO349" s="33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86"/>
      <c r="BC349" s="86"/>
      <c r="BD349" s="97">
        <f>Table_15[[#This Row],[Wgt-Bag]]-Table_15[[#This Row],[Total Graded]]-Table_15[[#This Row],[UNDERSIZE]]+0.0011</f>
        <v>1.1000000000000001E-3</v>
      </c>
      <c r="BE349" s="86">
        <f>Table_15[[#This Row],[Total Graded]]-Table_15[[#This Row],[Packing Quantity]]+Table_15[[#This Row],[PACKING LOOSE]]</f>
        <v>0</v>
      </c>
      <c r="BF349" s="34">
        <f>IF(Table_15[[#This Row],[GRADED BAGS]]&gt;0,Table_15[[#This Row],[GRADED BAGS]],Table_15[[#This Row],[Bags]])</f>
        <v>0</v>
      </c>
    </row>
    <row r="350" spans="1:58" ht="15.75" hidden="1" customHeight="1" x14ac:dyDescent="0.35">
      <c r="A350" s="22">
        <v>348</v>
      </c>
      <c r="B350" s="22"/>
      <c r="C350" s="23"/>
      <c r="D350" s="23"/>
      <c r="E350" s="24"/>
      <c r="F350" s="23"/>
      <c r="G350" s="100"/>
      <c r="H350" s="101"/>
      <c r="I350" s="102"/>
      <c r="J350" s="102"/>
      <c r="K350" s="233"/>
      <c r="L350" s="22"/>
      <c r="M350" s="25">
        <f t="shared" si="26"/>
        <v>0</v>
      </c>
      <c r="N350" s="25">
        <f t="shared" si="27"/>
        <v>0</v>
      </c>
      <c r="O350" s="25">
        <f t="shared" si="28"/>
        <v>0</v>
      </c>
      <c r="P350" s="25">
        <f t="shared" si="29"/>
        <v>0</v>
      </c>
      <c r="Q350" s="22"/>
      <c r="R350" s="22"/>
      <c r="S350" s="22"/>
      <c r="T350" s="22"/>
      <c r="U350" s="26">
        <f t="shared" si="30"/>
        <v>0</v>
      </c>
      <c r="V350" s="27"/>
      <c r="W350" s="28"/>
      <c r="X350" s="25" t="str">
        <f>+IF(AND('GRADING PACKING'!L$5=INWARDDATA!J350,'GRADING PACKING'!L$6=INWARDDATA!I350,AB350=0),"TRUE","FALSE")</f>
        <v>FALSE</v>
      </c>
      <c r="Y350" s="29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1"/>
      <c r="AK350" s="31"/>
      <c r="AL350" s="31"/>
      <c r="AM350" s="31"/>
      <c r="AN350" s="32" t="str">
        <f>+IF(AND('GRADING PACKING'!L$5=INWARDDATA!J350,'GRADING PACKING'!L$6=INWARDDATA!I350,AR350=0),"good","bad")</f>
        <v>bad</v>
      </c>
      <c r="AO350" s="33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86"/>
      <c r="BC350" s="86"/>
      <c r="BD350" s="97">
        <f>Table_15[[#This Row],[Wgt-Bag]]-Table_15[[#This Row],[Total Graded]]-Table_15[[#This Row],[UNDERSIZE]]+0.0011</f>
        <v>1.1000000000000001E-3</v>
      </c>
      <c r="BE350" s="86">
        <f>Table_15[[#This Row],[Total Graded]]-Table_15[[#This Row],[Packing Quantity]]+Table_15[[#This Row],[PACKING LOOSE]]</f>
        <v>0</v>
      </c>
      <c r="BF350" s="34">
        <f>IF(Table_15[[#This Row],[GRADED BAGS]]&gt;0,Table_15[[#This Row],[GRADED BAGS]],Table_15[[#This Row],[Bags]])</f>
        <v>0</v>
      </c>
    </row>
    <row r="351" spans="1:58" ht="15.75" hidden="1" customHeight="1" x14ac:dyDescent="0.35">
      <c r="A351" s="22">
        <v>349</v>
      </c>
      <c r="B351" s="22"/>
      <c r="C351" s="23"/>
      <c r="D351" s="23"/>
      <c r="E351" s="24"/>
      <c r="F351" s="23"/>
      <c r="G351" s="100"/>
      <c r="H351" s="101"/>
      <c r="I351" s="102"/>
      <c r="J351" s="102"/>
      <c r="K351" s="233"/>
      <c r="L351" s="22"/>
      <c r="M351" s="25">
        <f t="shared" si="26"/>
        <v>0</v>
      </c>
      <c r="N351" s="25">
        <f t="shared" si="27"/>
        <v>0</v>
      </c>
      <c r="O351" s="25">
        <f t="shared" si="28"/>
        <v>0</v>
      </c>
      <c r="P351" s="25">
        <f t="shared" si="29"/>
        <v>0</v>
      </c>
      <c r="Q351" s="22"/>
      <c r="R351" s="22"/>
      <c r="S351" s="22"/>
      <c r="T351" s="22"/>
      <c r="U351" s="26">
        <f t="shared" si="30"/>
        <v>0</v>
      </c>
      <c r="V351" s="27"/>
      <c r="W351" s="28"/>
      <c r="X351" s="25" t="str">
        <f>+IF(AND('GRADING PACKING'!L$5=INWARDDATA!J351,'GRADING PACKING'!L$6=INWARDDATA!I351,AB351=0),"TRUE","FALSE")</f>
        <v>FALSE</v>
      </c>
      <c r="Y351" s="29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1"/>
      <c r="AK351" s="31"/>
      <c r="AL351" s="31"/>
      <c r="AM351" s="31"/>
      <c r="AN351" s="32" t="str">
        <f>+IF(AND('GRADING PACKING'!L$5=INWARDDATA!J351,'GRADING PACKING'!L$6=INWARDDATA!I351,AR351=0),"good","bad")</f>
        <v>bad</v>
      </c>
      <c r="AO351" s="33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86"/>
      <c r="BC351" s="86"/>
      <c r="BD351" s="97">
        <f>Table_15[[#This Row],[Wgt-Bag]]-Table_15[[#This Row],[Total Graded]]-Table_15[[#This Row],[UNDERSIZE]]+0.0011</f>
        <v>1.1000000000000001E-3</v>
      </c>
      <c r="BE351" s="86">
        <f>Table_15[[#This Row],[Total Graded]]-Table_15[[#This Row],[Packing Quantity]]+Table_15[[#This Row],[PACKING LOOSE]]</f>
        <v>0</v>
      </c>
      <c r="BF351" s="34">
        <f>IF(Table_15[[#This Row],[GRADED BAGS]]&gt;0,Table_15[[#This Row],[GRADED BAGS]],Table_15[[#This Row],[Bags]])</f>
        <v>0</v>
      </c>
    </row>
    <row r="352" spans="1:58" ht="15.75" hidden="1" customHeight="1" x14ac:dyDescent="0.35">
      <c r="A352" s="22">
        <v>350</v>
      </c>
      <c r="B352" s="22"/>
      <c r="C352" s="23"/>
      <c r="D352" s="23"/>
      <c r="E352" s="24"/>
      <c r="F352" s="23"/>
      <c r="G352" s="100"/>
      <c r="H352" s="101"/>
      <c r="I352" s="102"/>
      <c r="J352" s="102"/>
      <c r="K352" s="233"/>
      <c r="L352" s="22"/>
      <c r="M352" s="25">
        <f t="shared" si="26"/>
        <v>0</v>
      </c>
      <c r="N352" s="25">
        <f t="shared" si="27"/>
        <v>0</v>
      </c>
      <c r="O352" s="25">
        <f t="shared" si="28"/>
        <v>0</v>
      </c>
      <c r="P352" s="25">
        <f t="shared" si="29"/>
        <v>0</v>
      </c>
      <c r="Q352" s="22"/>
      <c r="R352" s="22"/>
      <c r="S352" s="22"/>
      <c r="T352" s="22"/>
      <c r="U352" s="26">
        <f t="shared" si="30"/>
        <v>0</v>
      </c>
      <c r="V352" s="27"/>
      <c r="W352" s="28"/>
      <c r="X352" s="25" t="str">
        <f>+IF(AND('GRADING PACKING'!L$5=INWARDDATA!J352,'GRADING PACKING'!L$6=INWARDDATA!I352,AB352=0),"TRUE","FALSE")</f>
        <v>FALSE</v>
      </c>
      <c r="Y352" s="29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1"/>
      <c r="AK352" s="31"/>
      <c r="AL352" s="31"/>
      <c r="AM352" s="31"/>
      <c r="AN352" s="32" t="str">
        <f>+IF(AND('GRADING PACKING'!L$5=INWARDDATA!J352,'GRADING PACKING'!L$6=INWARDDATA!I352,AR352=0),"good","bad")</f>
        <v>bad</v>
      </c>
      <c r="AO352" s="33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86"/>
      <c r="BC352" s="86"/>
      <c r="BD352" s="97">
        <f>Table_15[[#This Row],[Wgt-Bag]]-Table_15[[#This Row],[Total Graded]]-Table_15[[#This Row],[UNDERSIZE]]+0.0011</f>
        <v>1.1000000000000001E-3</v>
      </c>
      <c r="BE352" s="86">
        <f>Table_15[[#This Row],[Total Graded]]-Table_15[[#This Row],[Packing Quantity]]+Table_15[[#This Row],[PACKING LOOSE]]</f>
        <v>0</v>
      </c>
      <c r="BF352" s="34">
        <f>IF(Table_15[[#This Row],[GRADED BAGS]]&gt;0,Table_15[[#This Row],[GRADED BAGS]],Table_15[[#This Row],[Bags]])</f>
        <v>0</v>
      </c>
    </row>
    <row r="353" spans="1:58" ht="15.75" hidden="1" customHeight="1" x14ac:dyDescent="0.35">
      <c r="A353" s="22">
        <v>351</v>
      </c>
      <c r="B353" s="22"/>
      <c r="C353" s="23"/>
      <c r="D353" s="23"/>
      <c r="E353" s="24"/>
      <c r="F353" s="23"/>
      <c r="G353" s="100"/>
      <c r="H353" s="101"/>
      <c r="I353" s="102"/>
      <c r="J353" s="102"/>
      <c r="K353" s="233"/>
      <c r="L353" s="22"/>
      <c r="M353" s="25">
        <f t="shared" si="26"/>
        <v>0</v>
      </c>
      <c r="N353" s="25">
        <f t="shared" si="27"/>
        <v>0</v>
      </c>
      <c r="O353" s="25">
        <f t="shared" si="28"/>
        <v>0</v>
      </c>
      <c r="P353" s="25">
        <f t="shared" si="29"/>
        <v>0</v>
      </c>
      <c r="Q353" s="22"/>
      <c r="R353" s="22"/>
      <c r="S353" s="22"/>
      <c r="T353" s="22"/>
      <c r="U353" s="26">
        <f t="shared" si="30"/>
        <v>0</v>
      </c>
      <c r="V353" s="27"/>
      <c r="W353" s="28"/>
      <c r="X353" s="25" t="str">
        <f>+IF(AND('GRADING PACKING'!L$5=INWARDDATA!J353,'GRADING PACKING'!L$6=INWARDDATA!I353,AB353=0),"TRUE","FALSE")</f>
        <v>FALSE</v>
      </c>
      <c r="Y353" s="29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1"/>
      <c r="AK353" s="31"/>
      <c r="AL353" s="31"/>
      <c r="AM353" s="31"/>
      <c r="AN353" s="32" t="str">
        <f>+IF(AND('GRADING PACKING'!L$5=INWARDDATA!J353,'GRADING PACKING'!L$6=INWARDDATA!I353,AR353=0),"good","bad")</f>
        <v>bad</v>
      </c>
      <c r="AO353" s="33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86"/>
      <c r="BC353" s="86"/>
      <c r="BD353" s="97">
        <f>Table_15[[#This Row],[Wgt-Bag]]-Table_15[[#This Row],[Total Graded]]-Table_15[[#This Row],[UNDERSIZE]]+0.0011</f>
        <v>1.1000000000000001E-3</v>
      </c>
      <c r="BE353" s="86">
        <f>Table_15[[#This Row],[Total Graded]]-Table_15[[#This Row],[Packing Quantity]]+Table_15[[#This Row],[PACKING LOOSE]]</f>
        <v>0</v>
      </c>
      <c r="BF353" s="34">
        <f>IF(Table_15[[#This Row],[GRADED BAGS]]&gt;0,Table_15[[#This Row],[GRADED BAGS]],Table_15[[#This Row],[Bags]])</f>
        <v>0</v>
      </c>
    </row>
    <row r="354" spans="1:58" ht="15.75" hidden="1" customHeight="1" x14ac:dyDescent="0.35">
      <c r="A354" s="22">
        <v>352</v>
      </c>
      <c r="B354" s="22"/>
      <c r="C354" s="23"/>
      <c r="D354" s="23"/>
      <c r="E354" s="24"/>
      <c r="F354" s="23"/>
      <c r="G354" s="100"/>
      <c r="H354" s="101"/>
      <c r="I354" s="102"/>
      <c r="J354" s="102"/>
      <c r="K354" s="233"/>
      <c r="L354" s="22"/>
      <c r="M354" s="25">
        <f t="shared" si="26"/>
        <v>0</v>
      </c>
      <c r="N354" s="25">
        <f t="shared" si="27"/>
        <v>0</v>
      </c>
      <c r="O354" s="25">
        <f t="shared" si="28"/>
        <v>0</v>
      </c>
      <c r="P354" s="25">
        <f t="shared" si="29"/>
        <v>0</v>
      </c>
      <c r="Q354" s="22"/>
      <c r="R354" s="22"/>
      <c r="S354" s="22"/>
      <c r="T354" s="22"/>
      <c r="U354" s="26">
        <f t="shared" si="30"/>
        <v>0</v>
      </c>
      <c r="V354" s="27"/>
      <c r="W354" s="28"/>
      <c r="X354" s="25" t="str">
        <f>+IF(AND('GRADING PACKING'!L$5=INWARDDATA!J354,'GRADING PACKING'!L$6=INWARDDATA!I354,AB354=0),"TRUE","FALSE")</f>
        <v>FALSE</v>
      </c>
      <c r="Y354" s="29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1"/>
      <c r="AK354" s="31"/>
      <c r="AL354" s="31"/>
      <c r="AM354" s="31"/>
      <c r="AN354" s="32" t="str">
        <f>+IF(AND('GRADING PACKING'!L$5=INWARDDATA!J354,'GRADING PACKING'!L$6=INWARDDATA!I354,AR354=0),"good","bad")</f>
        <v>bad</v>
      </c>
      <c r="AO354" s="33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86"/>
      <c r="BC354" s="86"/>
      <c r="BD354" s="97">
        <f>Table_15[[#This Row],[Wgt-Bag]]-Table_15[[#This Row],[Total Graded]]-Table_15[[#This Row],[UNDERSIZE]]+0.0011</f>
        <v>1.1000000000000001E-3</v>
      </c>
      <c r="BE354" s="86">
        <f>Table_15[[#This Row],[Total Graded]]-Table_15[[#This Row],[Packing Quantity]]+Table_15[[#This Row],[PACKING LOOSE]]</f>
        <v>0</v>
      </c>
      <c r="BF354" s="34">
        <f>IF(Table_15[[#This Row],[GRADED BAGS]]&gt;0,Table_15[[#This Row],[GRADED BAGS]],Table_15[[#This Row],[Bags]])</f>
        <v>0</v>
      </c>
    </row>
    <row r="355" spans="1:58" ht="15.75" hidden="1" customHeight="1" x14ac:dyDescent="0.35">
      <c r="A355" s="22">
        <v>353</v>
      </c>
      <c r="B355" s="22"/>
      <c r="C355" s="23"/>
      <c r="D355" s="23"/>
      <c r="E355" s="24"/>
      <c r="F355" s="23"/>
      <c r="G355" s="100"/>
      <c r="H355" s="101"/>
      <c r="I355" s="102"/>
      <c r="J355" s="102"/>
      <c r="K355" s="233"/>
      <c r="L355" s="22"/>
      <c r="M355" s="25">
        <f t="shared" si="26"/>
        <v>0</v>
      </c>
      <c r="N355" s="25">
        <f t="shared" si="27"/>
        <v>0</v>
      </c>
      <c r="O355" s="25">
        <f t="shared" si="28"/>
        <v>0</v>
      </c>
      <c r="P355" s="25">
        <f t="shared" si="29"/>
        <v>0</v>
      </c>
      <c r="Q355" s="22"/>
      <c r="R355" s="22"/>
      <c r="S355" s="22"/>
      <c r="T355" s="22"/>
      <c r="U355" s="26">
        <f t="shared" si="30"/>
        <v>0</v>
      </c>
      <c r="V355" s="27"/>
      <c r="W355" s="28"/>
      <c r="X355" s="25" t="str">
        <f>+IF(AND('GRADING PACKING'!L$5=INWARDDATA!J355,'GRADING PACKING'!L$6=INWARDDATA!I355,AB355=0),"TRUE","FALSE")</f>
        <v>FALSE</v>
      </c>
      <c r="Y355" s="29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1"/>
      <c r="AK355" s="31"/>
      <c r="AL355" s="31"/>
      <c r="AM355" s="31"/>
      <c r="AN355" s="32" t="str">
        <f>+IF(AND('GRADING PACKING'!L$5=INWARDDATA!J355,'GRADING PACKING'!L$6=INWARDDATA!I355,AR355=0),"good","bad")</f>
        <v>bad</v>
      </c>
      <c r="AO355" s="33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86"/>
      <c r="BC355" s="86"/>
      <c r="BD355" s="97">
        <f>Table_15[[#This Row],[Wgt-Bag]]-Table_15[[#This Row],[Total Graded]]-Table_15[[#This Row],[UNDERSIZE]]+0.0011</f>
        <v>1.1000000000000001E-3</v>
      </c>
      <c r="BE355" s="86">
        <f>Table_15[[#This Row],[Total Graded]]-Table_15[[#This Row],[Packing Quantity]]+Table_15[[#This Row],[PACKING LOOSE]]</f>
        <v>0</v>
      </c>
      <c r="BF355" s="34">
        <f>IF(Table_15[[#This Row],[GRADED BAGS]]&gt;0,Table_15[[#This Row],[GRADED BAGS]],Table_15[[#This Row],[Bags]])</f>
        <v>0</v>
      </c>
    </row>
    <row r="356" spans="1:58" ht="15.75" hidden="1" customHeight="1" x14ac:dyDescent="0.35">
      <c r="A356" s="22">
        <v>354</v>
      </c>
      <c r="B356" s="22"/>
      <c r="C356" s="23"/>
      <c r="D356" s="23"/>
      <c r="E356" s="24"/>
      <c r="F356" s="23"/>
      <c r="G356" s="100"/>
      <c r="H356" s="101"/>
      <c r="I356" s="102"/>
      <c r="J356" s="102"/>
      <c r="K356" s="233"/>
      <c r="L356" s="22"/>
      <c r="M356" s="25">
        <f t="shared" si="26"/>
        <v>0</v>
      </c>
      <c r="N356" s="25">
        <f t="shared" si="27"/>
        <v>0</v>
      </c>
      <c r="O356" s="25">
        <f t="shared" si="28"/>
        <v>0</v>
      </c>
      <c r="P356" s="25">
        <f t="shared" si="29"/>
        <v>0</v>
      </c>
      <c r="Q356" s="22"/>
      <c r="R356" s="22"/>
      <c r="S356" s="22"/>
      <c r="T356" s="22"/>
      <c r="U356" s="26">
        <f t="shared" si="30"/>
        <v>0</v>
      </c>
      <c r="V356" s="27"/>
      <c r="W356" s="28"/>
      <c r="X356" s="25" t="str">
        <f>+IF(AND('GRADING PACKING'!L$5=INWARDDATA!J356,'GRADING PACKING'!L$6=INWARDDATA!I356,AB356=0),"TRUE","FALSE")</f>
        <v>FALSE</v>
      </c>
      <c r="Y356" s="29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1"/>
      <c r="AK356" s="31"/>
      <c r="AL356" s="31"/>
      <c r="AM356" s="31"/>
      <c r="AN356" s="32" t="str">
        <f>+IF(AND('GRADING PACKING'!L$5=INWARDDATA!J356,'GRADING PACKING'!L$6=INWARDDATA!I356,AR356=0),"good","bad")</f>
        <v>bad</v>
      </c>
      <c r="AO356" s="33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86"/>
      <c r="BC356" s="86"/>
      <c r="BD356" s="97">
        <f>Table_15[[#This Row],[Wgt-Bag]]-Table_15[[#This Row],[Total Graded]]-Table_15[[#This Row],[UNDERSIZE]]+0.0011</f>
        <v>1.1000000000000001E-3</v>
      </c>
      <c r="BE356" s="86">
        <f>Table_15[[#This Row],[Total Graded]]-Table_15[[#This Row],[Packing Quantity]]+Table_15[[#This Row],[PACKING LOOSE]]</f>
        <v>0</v>
      </c>
      <c r="BF356" s="34">
        <f>IF(Table_15[[#This Row],[GRADED BAGS]]&gt;0,Table_15[[#This Row],[GRADED BAGS]],Table_15[[#This Row],[Bags]])</f>
        <v>0</v>
      </c>
    </row>
    <row r="357" spans="1:58" ht="15.75" hidden="1" customHeight="1" x14ac:dyDescent="0.35">
      <c r="A357" s="22">
        <v>355</v>
      </c>
      <c r="B357" s="22"/>
      <c r="C357" s="23"/>
      <c r="D357" s="23"/>
      <c r="E357" s="24"/>
      <c r="F357" s="23"/>
      <c r="G357" s="100"/>
      <c r="H357" s="101"/>
      <c r="I357" s="102"/>
      <c r="J357" s="102"/>
      <c r="K357" s="233"/>
      <c r="L357" s="22"/>
      <c r="M357" s="25">
        <f t="shared" si="26"/>
        <v>0</v>
      </c>
      <c r="N357" s="25">
        <f t="shared" si="27"/>
        <v>0</v>
      </c>
      <c r="O357" s="25">
        <f t="shared" si="28"/>
        <v>0</v>
      </c>
      <c r="P357" s="25">
        <f t="shared" si="29"/>
        <v>0</v>
      </c>
      <c r="Q357" s="22"/>
      <c r="R357" s="22"/>
      <c r="S357" s="22"/>
      <c r="T357" s="22"/>
      <c r="U357" s="26">
        <f t="shared" si="30"/>
        <v>0</v>
      </c>
      <c r="V357" s="27"/>
      <c r="W357" s="28"/>
      <c r="X357" s="25" t="str">
        <f>+IF(AND('GRADING PACKING'!L$5=INWARDDATA!J357,'GRADING PACKING'!L$6=INWARDDATA!I357,AB357=0),"TRUE","FALSE")</f>
        <v>FALSE</v>
      </c>
      <c r="Y357" s="29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1"/>
      <c r="AK357" s="31"/>
      <c r="AL357" s="31"/>
      <c r="AM357" s="31"/>
      <c r="AN357" s="32" t="str">
        <f>+IF(AND('GRADING PACKING'!L$5=INWARDDATA!J357,'GRADING PACKING'!L$6=INWARDDATA!I357,AR357=0),"good","bad")</f>
        <v>bad</v>
      </c>
      <c r="AO357" s="33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86"/>
      <c r="BC357" s="86"/>
      <c r="BD357" s="97">
        <f>Table_15[[#This Row],[Wgt-Bag]]-Table_15[[#This Row],[Total Graded]]-Table_15[[#This Row],[UNDERSIZE]]+0.0011</f>
        <v>1.1000000000000001E-3</v>
      </c>
      <c r="BE357" s="86">
        <f>Table_15[[#This Row],[Total Graded]]-Table_15[[#This Row],[Packing Quantity]]+Table_15[[#This Row],[PACKING LOOSE]]</f>
        <v>0</v>
      </c>
      <c r="BF357" s="34">
        <f>IF(Table_15[[#This Row],[GRADED BAGS]]&gt;0,Table_15[[#This Row],[GRADED BAGS]],Table_15[[#This Row],[Bags]])</f>
        <v>0</v>
      </c>
    </row>
    <row r="358" spans="1:58" ht="15.75" hidden="1" customHeight="1" x14ac:dyDescent="0.35">
      <c r="A358" s="22">
        <v>356</v>
      </c>
      <c r="B358" s="22"/>
      <c r="C358" s="23"/>
      <c r="D358" s="23"/>
      <c r="E358" s="24"/>
      <c r="F358" s="23"/>
      <c r="G358" s="100"/>
      <c r="H358" s="101"/>
      <c r="I358" s="102"/>
      <c r="J358" s="102"/>
      <c r="K358" s="233"/>
      <c r="L358" s="22"/>
      <c r="M358" s="25">
        <f t="shared" si="26"/>
        <v>0</v>
      </c>
      <c r="N358" s="25">
        <f t="shared" si="27"/>
        <v>0</v>
      </c>
      <c r="O358" s="25">
        <f t="shared" si="28"/>
        <v>0</v>
      </c>
      <c r="P358" s="25">
        <f t="shared" si="29"/>
        <v>0</v>
      </c>
      <c r="Q358" s="22"/>
      <c r="R358" s="22"/>
      <c r="S358" s="22"/>
      <c r="T358" s="22"/>
      <c r="U358" s="26">
        <f t="shared" si="30"/>
        <v>0</v>
      </c>
      <c r="V358" s="27"/>
      <c r="W358" s="28"/>
      <c r="X358" s="25" t="str">
        <f>+IF(AND('GRADING PACKING'!L$5=INWARDDATA!J358,'GRADING PACKING'!L$6=INWARDDATA!I358,AB358=0),"TRUE","FALSE")</f>
        <v>FALSE</v>
      </c>
      <c r="Y358" s="29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1"/>
      <c r="AK358" s="31"/>
      <c r="AL358" s="31"/>
      <c r="AM358" s="31"/>
      <c r="AN358" s="32" t="str">
        <f>+IF(AND('GRADING PACKING'!L$5=INWARDDATA!J358,'GRADING PACKING'!L$6=INWARDDATA!I358,AR358=0),"good","bad")</f>
        <v>bad</v>
      </c>
      <c r="AO358" s="33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86"/>
      <c r="BC358" s="86"/>
      <c r="BD358" s="97">
        <f>Table_15[[#This Row],[Wgt-Bag]]-Table_15[[#This Row],[Total Graded]]-Table_15[[#This Row],[UNDERSIZE]]+0.0011</f>
        <v>1.1000000000000001E-3</v>
      </c>
      <c r="BE358" s="86">
        <f>Table_15[[#This Row],[Total Graded]]-Table_15[[#This Row],[Packing Quantity]]+Table_15[[#This Row],[PACKING LOOSE]]</f>
        <v>0</v>
      </c>
      <c r="BF358" s="34">
        <f>IF(Table_15[[#This Row],[GRADED BAGS]]&gt;0,Table_15[[#This Row],[GRADED BAGS]],Table_15[[#This Row],[Bags]])</f>
        <v>0</v>
      </c>
    </row>
    <row r="359" spans="1:58" ht="15.75" hidden="1" customHeight="1" x14ac:dyDescent="0.35">
      <c r="A359" s="22">
        <v>357</v>
      </c>
      <c r="B359" s="22"/>
      <c r="C359" s="23"/>
      <c r="D359" s="23"/>
      <c r="E359" s="24"/>
      <c r="F359" s="23"/>
      <c r="G359" s="100"/>
      <c r="H359" s="101"/>
      <c r="I359" s="102"/>
      <c r="J359" s="102"/>
      <c r="K359" s="233"/>
      <c r="L359" s="22"/>
      <c r="M359" s="25">
        <f t="shared" si="26"/>
        <v>0</v>
      </c>
      <c r="N359" s="25">
        <f t="shared" si="27"/>
        <v>0</v>
      </c>
      <c r="O359" s="25">
        <f t="shared" si="28"/>
        <v>0</v>
      </c>
      <c r="P359" s="25">
        <f t="shared" si="29"/>
        <v>0</v>
      </c>
      <c r="Q359" s="22"/>
      <c r="R359" s="22"/>
      <c r="S359" s="22"/>
      <c r="T359" s="22"/>
      <c r="U359" s="26">
        <f t="shared" si="30"/>
        <v>0</v>
      </c>
      <c r="V359" s="27"/>
      <c r="W359" s="28"/>
      <c r="X359" s="25" t="str">
        <f>+IF(AND('GRADING PACKING'!L$5=INWARDDATA!J359,'GRADING PACKING'!L$6=INWARDDATA!I359,AB359=0),"TRUE","FALSE")</f>
        <v>FALSE</v>
      </c>
      <c r="Y359" s="29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1"/>
      <c r="AK359" s="31"/>
      <c r="AL359" s="31"/>
      <c r="AM359" s="31"/>
      <c r="AN359" s="32" t="str">
        <f>+IF(AND('GRADING PACKING'!L$5=INWARDDATA!J359,'GRADING PACKING'!L$6=INWARDDATA!I359,AR359=0),"good","bad")</f>
        <v>bad</v>
      </c>
      <c r="AO359" s="33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86"/>
      <c r="BC359" s="86"/>
      <c r="BD359" s="97">
        <f>Table_15[[#This Row],[Wgt-Bag]]-Table_15[[#This Row],[Total Graded]]-Table_15[[#This Row],[UNDERSIZE]]+0.0011</f>
        <v>1.1000000000000001E-3</v>
      </c>
      <c r="BE359" s="86">
        <f>Table_15[[#This Row],[Total Graded]]-Table_15[[#This Row],[Packing Quantity]]+Table_15[[#This Row],[PACKING LOOSE]]</f>
        <v>0</v>
      </c>
      <c r="BF359" s="34">
        <f>IF(Table_15[[#This Row],[GRADED BAGS]]&gt;0,Table_15[[#This Row],[GRADED BAGS]],Table_15[[#This Row],[Bags]])</f>
        <v>0</v>
      </c>
    </row>
    <row r="360" spans="1:58" ht="15.75" hidden="1" customHeight="1" x14ac:dyDescent="0.35">
      <c r="A360" s="22">
        <v>358</v>
      </c>
      <c r="B360" s="22"/>
      <c r="C360" s="23"/>
      <c r="D360" s="23"/>
      <c r="E360" s="24"/>
      <c r="F360" s="23"/>
      <c r="G360" s="100"/>
      <c r="H360" s="101"/>
      <c r="I360" s="102"/>
      <c r="J360" s="102"/>
      <c r="K360" s="233"/>
      <c r="L360" s="22"/>
      <c r="M360" s="25">
        <f t="shared" si="26"/>
        <v>0</v>
      </c>
      <c r="N360" s="25">
        <f t="shared" si="27"/>
        <v>0</v>
      </c>
      <c r="O360" s="25">
        <f t="shared" si="28"/>
        <v>0</v>
      </c>
      <c r="P360" s="25">
        <f t="shared" si="29"/>
        <v>0</v>
      </c>
      <c r="Q360" s="22"/>
      <c r="R360" s="22"/>
      <c r="S360" s="22"/>
      <c r="T360" s="22"/>
      <c r="U360" s="26">
        <f t="shared" si="30"/>
        <v>0</v>
      </c>
      <c r="V360" s="27"/>
      <c r="W360" s="28"/>
      <c r="X360" s="25" t="str">
        <f>+IF(AND('GRADING PACKING'!L$5=INWARDDATA!J360,'GRADING PACKING'!L$6=INWARDDATA!I360,AB360=0),"TRUE","FALSE")</f>
        <v>FALSE</v>
      </c>
      <c r="Y360" s="29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1"/>
      <c r="AK360" s="31"/>
      <c r="AL360" s="31"/>
      <c r="AM360" s="31"/>
      <c r="AN360" s="32" t="str">
        <f>+IF(AND('GRADING PACKING'!L$5=INWARDDATA!J360,'GRADING PACKING'!L$6=INWARDDATA!I360,AR360=0),"good","bad")</f>
        <v>bad</v>
      </c>
      <c r="AO360" s="33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86"/>
      <c r="BC360" s="86"/>
      <c r="BD360" s="97">
        <f>Table_15[[#This Row],[Wgt-Bag]]-Table_15[[#This Row],[Total Graded]]-Table_15[[#This Row],[UNDERSIZE]]+0.0011</f>
        <v>1.1000000000000001E-3</v>
      </c>
      <c r="BE360" s="86">
        <f>Table_15[[#This Row],[Total Graded]]-Table_15[[#This Row],[Packing Quantity]]+Table_15[[#This Row],[PACKING LOOSE]]</f>
        <v>0</v>
      </c>
      <c r="BF360" s="34">
        <f>IF(Table_15[[#This Row],[GRADED BAGS]]&gt;0,Table_15[[#This Row],[GRADED BAGS]],Table_15[[#This Row],[Bags]])</f>
        <v>0</v>
      </c>
    </row>
    <row r="361" spans="1:58" ht="15.75" hidden="1" customHeight="1" x14ac:dyDescent="0.35">
      <c r="A361" s="22">
        <v>359</v>
      </c>
      <c r="B361" s="22"/>
      <c r="C361" s="23"/>
      <c r="D361" s="23"/>
      <c r="E361" s="24"/>
      <c r="F361" s="23"/>
      <c r="G361" s="100"/>
      <c r="H361" s="101"/>
      <c r="I361" s="102"/>
      <c r="J361" s="102"/>
      <c r="K361" s="233"/>
      <c r="L361" s="22"/>
      <c r="M361" s="25">
        <f t="shared" si="26"/>
        <v>0</v>
      </c>
      <c r="N361" s="25">
        <f t="shared" si="27"/>
        <v>0</v>
      </c>
      <c r="O361" s="25">
        <f t="shared" si="28"/>
        <v>0</v>
      </c>
      <c r="P361" s="25">
        <f t="shared" si="29"/>
        <v>0</v>
      </c>
      <c r="Q361" s="22"/>
      <c r="R361" s="22"/>
      <c r="S361" s="22"/>
      <c r="T361" s="22"/>
      <c r="U361" s="26">
        <f t="shared" si="30"/>
        <v>0</v>
      </c>
      <c r="V361" s="27"/>
      <c r="W361" s="28"/>
      <c r="X361" s="25" t="str">
        <f>+IF(AND('GRADING PACKING'!L$5=INWARDDATA!J361,'GRADING PACKING'!L$6=INWARDDATA!I361,AB361=0),"TRUE","FALSE")</f>
        <v>FALSE</v>
      </c>
      <c r="Y361" s="29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1"/>
      <c r="AK361" s="31"/>
      <c r="AL361" s="31"/>
      <c r="AM361" s="31"/>
      <c r="AN361" s="32" t="str">
        <f>+IF(AND('GRADING PACKING'!L$5=INWARDDATA!J361,'GRADING PACKING'!L$6=INWARDDATA!I361,AR361=0),"good","bad")</f>
        <v>bad</v>
      </c>
      <c r="AO361" s="33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86"/>
      <c r="BC361" s="86"/>
      <c r="BD361" s="97">
        <f>Table_15[[#This Row],[Wgt-Bag]]-Table_15[[#This Row],[Total Graded]]-Table_15[[#This Row],[UNDERSIZE]]+0.0011</f>
        <v>1.1000000000000001E-3</v>
      </c>
      <c r="BE361" s="86">
        <f>Table_15[[#This Row],[Total Graded]]-Table_15[[#This Row],[Packing Quantity]]+Table_15[[#This Row],[PACKING LOOSE]]</f>
        <v>0</v>
      </c>
      <c r="BF361" s="34">
        <f>IF(Table_15[[#This Row],[GRADED BAGS]]&gt;0,Table_15[[#This Row],[GRADED BAGS]],Table_15[[#This Row],[Bags]])</f>
        <v>0</v>
      </c>
    </row>
    <row r="362" spans="1:58" ht="15.75" hidden="1" customHeight="1" x14ac:dyDescent="0.35">
      <c r="A362" s="22">
        <v>360</v>
      </c>
      <c r="B362" s="22"/>
      <c r="C362" s="23"/>
      <c r="D362" s="23"/>
      <c r="E362" s="24"/>
      <c r="F362" s="23"/>
      <c r="G362" s="100"/>
      <c r="H362" s="101"/>
      <c r="I362" s="102"/>
      <c r="J362" s="102"/>
      <c r="K362" s="233"/>
      <c r="L362" s="22"/>
      <c r="M362" s="25">
        <f t="shared" si="26"/>
        <v>0</v>
      </c>
      <c r="N362" s="25">
        <f t="shared" si="27"/>
        <v>0</v>
      </c>
      <c r="O362" s="25">
        <f t="shared" si="28"/>
        <v>0</v>
      </c>
      <c r="P362" s="25">
        <f t="shared" si="29"/>
        <v>0</v>
      </c>
      <c r="Q362" s="22"/>
      <c r="R362" s="22"/>
      <c r="S362" s="22"/>
      <c r="T362" s="22"/>
      <c r="U362" s="26">
        <f t="shared" si="30"/>
        <v>0</v>
      </c>
      <c r="V362" s="27"/>
      <c r="W362" s="28"/>
      <c r="X362" s="25" t="str">
        <f>+IF(AND('GRADING PACKING'!L$5=INWARDDATA!J362,'GRADING PACKING'!L$6=INWARDDATA!I362,AB362=0),"TRUE","FALSE")</f>
        <v>FALSE</v>
      </c>
      <c r="Y362" s="29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1"/>
      <c r="AK362" s="31"/>
      <c r="AL362" s="31"/>
      <c r="AM362" s="31"/>
      <c r="AN362" s="32" t="str">
        <f>+IF(AND('GRADING PACKING'!L$5=INWARDDATA!J362,'GRADING PACKING'!L$6=INWARDDATA!I362,AR362=0),"good","bad")</f>
        <v>bad</v>
      </c>
      <c r="AO362" s="33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86"/>
      <c r="BC362" s="86"/>
      <c r="BD362" s="97">
        <f>Table_15[[#This Row],[Wgt-Bag]]-Table_15[[#This Row],[Total Graded]]-Table_15[[#This Row],[UNDERSIZE]]+0.0011</f>
        <v>1.1000000000000001E-3</v>
      </c>
      <c r="BE362" s="86">
        <f>Table_15[[#This Row],[Total Graded]]-Table_15[[#This Row],[Packing Quantity]]+Table_15[[#This Row],[PACKING LOOSE]]</f>
        <v>0</v>
      </c>
      <c r="BF362" s="34">
        <f>IF(Table_15[[#This Row],[GRADED BAGS]]&gt;0,Table_15[[#This Row],[GRADED BAGS]],Table_15[[#This Row],[Bags]])</f>
        <v>0</v>
      </c>
    </row>
    <row r="363" spans="1:58" ht="15.75" hidden="1" customHeight="1" x14ac:dyDescent="0.35">
      <c r="A363" s="22">
        <v>361</v>
      </c>
      <c r="B363" s="22"/>
      <c r="C363" s="23"/>
      <c r="D363" s="23"/>
      <c r="E363" s="24"/>
      <c r="F363" s="23"/>
      <c r="G363" s="100"/>
      <c r="H363" s="101"/>
      <c r="I363" s="102"/>
      <c r="J363" s="102"/>
      <c r="K363" s="233"/>
      <c r="L363" s="22"/>
      <c r="M363" s="25">
        <f t="shared" si="26"/>
        <v>0</v>
      </c>
      <c r="N363" s="25">
        <f t="shared" si="27"/>
        <v>0</v>
      </c>
      <c r="O363" s="25">
        <f t="shared" si="28"/>
        <v>0</v>
      </c>
      <c r="P363" s="25">
        <f t="shared" si="29"/>
        <v>0</v>
      </c>
      <c r="Q363" s="22"/>
      <c r="R363" s="22"/>
      <c r="S363" s="22"/>
      <c r="T363" s="22"/>
      <c r="U363" s="26">
        <f t="shared" si="30"/>
        <v>0</v>
      </c>
      <c r="V363" s="27"/>
      <c r="W363" s="28"/>
      <c r="X363" s="25" t="str">
        <f>+IF(AND('GRADING PACKING'!L$5=INWARDDATA!J363,'GRADING PACKING'!L$6=INWARDDATA!I363,AB363=0),"TRUE","FALSE")</f>
        <v>FALSE</v>
      </c>
      <c r="Y363" s="29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1"/>
      <c r="AK363" s="31"/>
      <c r="AL363" s="31"/>
      <c r="AM363" s="31"/>
      <c r="AN363" s="32" t="str">
        <f>+IF(AND('GRADING PACKING'!L$5=INWARDDATA!J363,'GRADING PACKING'!L$6=INWARDDATA!I363,AR363=0),"good","bad")</f>
        <v>bad</v>
      </c>
      <c r="AO363" s="33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86"/>
      <c r="BC363" s="86"/>
      <c r="BD363" s="97">
        <f>Table_15[[#This Row],[Wgt-Bag]]-Table_15[[#This Row],[Total Graded]]-Table_15[[#This Row],[UNDERSIZE]]+0.0011</f>
        <v>1.1000000000000001E-3</v>
      </c>
      <c r="BE363" s="86">
        <f>Table_15[[#This Row],[Total Graded]]-Table_15[[#This Row],[Packing Quantity]]+Table_15[[#This Row],[PACKING LOOSE]]</f>
        <v>0</v>
      </c>
      <c r="BF363" s="34">
        <f>IF(Table_15[[#This Row],[GRADED BAGS]]&gt;0,Table_15[[#This Row],[GRADED BAGS]],Table_15[[#This Row],[Bags]])</f>
        <v>0</v>
      </c>
    </row>
    <row r="364" spans="1:58" ht="15.75" hidden="1" customHeight="1" x14ac:dyDescent="0.35">
      <c r="A364" s="22">
        <v>362</v>
      </c>
      <c r="B364" s="22"/>
      <c r="C364" s="23"/>
      <c r="D364" s="23"/>
      <c r="E364" s="24"/>
      <c r="F364" s="23"/>
      <c r="G364" s="100"/>
      <c r="H364" s="101"/>
      <c r="I364" s="102"/>
      <c r="J364" s="102"/>
      <c r="K364" s="233"/>
      <c r="L364" s="22"/>
      <c r="M364" s="25">
        <f t="shared" si="26"/>
        <v>0</v>
      </c>
      <c r="N364" s="25">
        <f t="shared" si="27"/>
        <v>0</v>
      </c>
      <c r="O364" s="25">
        <f t="shared" si="28"/>
        <v>0</v>
      </c>
      <c r="P364" s="25">
        <f t="shared" si="29"/>
        <v>0</v>
      </c>
      <c r="Q364" s="22"/>
      <c r="R364" s="22"/>
      <c r="S364" s="22"/>
      <c r="T364" s="22"/>
      <c r="U364" s="26">
        <f t="shared" si="30"/>
        <v>0</v>
      </c>
      <c r="V364" s="27"/>
      <c r="W364" s="28"/>
      <c r="X364" s="25" t="str">
        <f>+IF(AND('GRADING PACKING'!L$5=INWARDDATA!J364,'GRADING PACKING'!L$6=INWARDDATA!I364,AB364=0),"TRUE","FALSE")</f>
        <v>FALSE</v>
      </c>
      <c r="Y364" s="29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1"/>
      <c r="AK364" s="31"/>
      <c r="AL364" s="31"/>
      <c r="AM364" s="31"/>
      <c r="AN364" s="32" t="str">
        <f>+IF(AND('GRADING PACKING'!L$5=INWARDDATA!J364,'GRADING PACKING'!L$6=INWARDDATA!I364,AR364=0),"good","bad")</f>
        <v>bad</v>
      </c>
      <c r="AO364" s="33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86"/>
      <c r="BC364" s="86"/>
      <c r="BD364" s="97">
        <f>Table_15[[#This Row],[Wgt-Bag]]-Table_15[[#This Row],[Total Graded]]-Table_15[[#This Row],[UNDERSIZE]]+0.0011</f>
        <v>1.1000000000000001E-3</v>
      </c>
      <c r="BE364" s="86">
        <f>Table_15[[#This Row],[Total Graded]]-Table_15[[#This Row],[Packing Quantity]]+Table_15[[#This Row],[PACKING LOOSE]]</f>
        <v>0</v>
      </c>
      <c r="BF364" s="34">
        <f>IF(Table_15[[#This Row],[GRADED BAGS]]&gt;0,Table_15[[#This Row],[GRADED BAGS]],Table_15[[#This Row],[Bags]])</f>
        <v>0</v>
      </c>
    </row>
    <row r="365" spans="1:58" ht="15.75" hidden="1" customHeight="1" x14ac:dyDescent="0.35">
      <c r="A365" s="22">
        <v>363</v>
      </c>
      <c r="B365" s="22"/>
      <c r="C365" s="23"/>
      <c r="D365" s="23"/>
      <c r="E365" s="24"/>
      <c r="F365" s="23"/>
      <c r="G365" s="100"/>
      <c r="H365" s="101"/>
      <c r="I365" s="102"/>
      <c r="J365" s="102"/>
      <c r="K365" s="233"/>
      <c r="L365" s="22"/>
      <c r="M365" s="25">
        <f t="shared" si="26"/>
        <v>0</v>
      </c>
      <c r="N365" s="25">
        <f t="shared" si="27"/>
        <v>0</v>
      </c>
      <c r="O365" s="25">
        <f t="shared" si="28"/>
        <v>0</v>
      </c>
      <c r="P365" s="25">
        <f t="shared" si="29"/>
        <v>0</v>
      </c>
      <c r="Q365" s="22"/>
      <c r="R365" s="22"/>
      <c r="S365" s="22"/>
      <c r="T365" s="22"/>
      <c r="U365" s="26">
        <f t="shared" si="30"/>
        <v>0</v>
      </c>
      <c r="V365" s="27"/>
      <c r="W365" s="28"/>
      <c r="X365" s="25" t="str">
        <f>+IF(AND('GRADING PACKING'!L$5=INWARDDATA!J365,'GRADING PACKING'!L$6=INWARDDATA!I365,AB365=0),"TRUE","FALSE")</f>
        <v>FALSE</v>
      </c>
      <c r="Y365" s="29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1"/>
      <c r="AK365" s="31"/>
      <c r="AL365" s="31"/>
      <c r="AM365" s="31"/>
      <c r="AN365" s="32" t="str">
        <f>+IF(AND('GRADING PACKING'!L$5=INWARDDATA!J365,'GRADING PACKING'!L$6=INWARDDATA!I365,AR365=0),"good","bad")</f>
        <v>bad</v>
      </c>
      <c r="AO365" s="33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86"/>
      <c r="BC365" s="86"/>
      <c r="BD365" s="97">
        <f>Table_15[[#This Row],[Wgt-Bag]]-Table_15[[#This Row],[Total Graded]]-Table_15[[#This Row],[UNDERSIZE]]+0.0011</f>
        <v>1.1000000000000001E-3</v>
      </c>
      <c r="BE365" s="86">
        <f>Table_15[[#This Row],[Total Graded]]-Table_15[[#This Row],[Packing Quantity]]+Table_15[[#This Row],[PACKING LOOSE]]</f>
        <v>0</v>
      </c>
      <c r="BF365" s="34">
        <f>IF(Table_15[[#This Row],[GRADED BAGS]]&gt;0,Table_15[[#This Row],[GRADED BAGS]],Table_15[[#This Row],[Bags]])</f>
        <v>0</v>
      </c>
    </row>
    <row r="366" spans="1:58" ht="15.75" hidden="1" customHeight="1" x14ac:dyDescent="0.35">
      <c r="A366" s="22">
        <v>364</v>
      </c>
      <c r="B366" s="22"/>
      <c r="C366" s="23"/>
      <c r="D366" s="23"/>
      <c r="E366" s="24"/>
      <c r="F366" s="23"/>
      <c r="G366" s="100"/>
      <c r="H366" s="101"/>
      <c r="I366" s="102"/>
      <c r="J366" s="102"/>
      <c r="K366" s="233"/>
      <c r="L366" s="22"/>
      <c r="M366" s="25">
        <f t="shared" si="26"/>
        <v>0</v>
      </c>
      <c r="N366" s="25">
        <f t="shared" si="27"/>
        <v>0</v>
      </c>
      <c r="O366" s="25">
        <f t="shared" si="28"/>
        <v>0</v>
      </c>
      <c r="P366" s="25">
        <f t="shared" si="29"/>
        <v>0</v>
      </c>
      <c r="Q366" s="22"/>
      <c r="R366" s="22"/>
      <c r="S366" s="22"/>
      <c r="T366" s="22"/>
      <c r="U366" s="26">
        <f t="shared" si="30"/>
        <v>0</v>
      </c>
      <c r="V366" s="27"/>
      <c r="W366" s="28"/>
      <c r="X366" s="25" t="str">
        <f>+IF(AND('GRADING PACKING'!L$5=INWARDDATA!J366,'GRADING PACKING'!L$6=INWARDDATA!I366,AB366=0),"TRUE","FALSE")</f>
        <v>FALSE</v>
      </c>
      <c r="Y366" s="29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1"/>
      <c r="AK366" s="31"/>
      <c r="AL366" s="31"/>
      <c r="AM366" s="31"/>
      <c r="AN366" s="32" t="str">
        <f>+IF(AND('GRADING PACKING'!L$5=INWARDDATA!J366,'GRADING PACKING'!L$6=INWARDDATA!I366,AR366=0),"good","bad")</f>
        <v>bad</v>
      </c>
      <c r="AO366" s="33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86"/>
      <c r="BC366" s="86"/>
      <c r="BD366" s="97">
        <f>Table_15[[#This Row],[Wgt-Bag]]-Table_15[[#This Row],[Total Graded]]-Table_15[[#This Row],[UNDERSIZE]]+0.0011</f>
        <v>1.1000000000000001E-3</v>
      </c>
      <c r="BE366" s="86">
        <f>Table_15[[#This Row],[Total Graded]]-Table_15[[#This Row],[Packing Quantity]]+Table_15[[#This Row],[PACKING LOOSE]]</f>
        <v>0</v>
      </c>
      <c r="BF366" s="34">
        <f>IF(Table_15[[#This Row],[GRADED BAGS]]&gt;0,Table_15[[#This Row],[GRADED BAGS]],Table_15[[#This Row],[Bags]])</f>
        <v>0</v>
      </c>
    </row>
    <row r="367" spans="1:58" ht="15.75" hidden="1" customHeight="1" x14ac:dyDescent="0.35">
      <c r="A367" s="22">
        <v>365</v>
      </c>
      <c r="B367" s="22"/>
      <c r="C367" s="23"/>
      <c r="D367" s="23"/>
      <c r="E367" s="24"/>
      <c r="F367" s="23"/>
      <c r="G367" s="100"/>
      <c r="H367" s="101"/>
      <c r="I367" s="102"/>
      <c r="J367" s="102"/>
      <c r="K367" s="233"/>
      <c r="L367" s="22"/>
      <c r="M367" s="25">
        <f t="shared" si="26"/>
        <v>0</v>
      </c>
      <c r="N367" s="25">
        <f t="shared" si="27"/>
        <v>0</v>
      </c>
      <c r="O367" s="25">
        <f t="shared" si="28"/>
        <v>0</v>
      </c>
      <c r="P367" s="25">
        <f t="shared" si="29"/>
        <v>0</v>
      </c>
      <c r="Q367" s="22"/>
      <c r="R367" s="22"/>
      <c r="S367" s="22"/>
      <c r="T367" s="22"/>
      <c r="U367" s="26">
        <f t="shared" si="30"/>
        <v>0</v>
      </c>
      <c r="V367" s="27"/>
      <c r="W367" s="28"/>
      <c r="X367" s="25" t="str">
        <f>+IF(AND('GRADING PACKING'!L$5=INWARDDATA!J367,'GRADING PACKING'!L$6=INWARDDATA!I367,AB367=0),"TRUE","FALSE")</f>
        <v>FALSE</v>
      </c>
      <c r="Y367" s="29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1"/>
      <c r="AK367" s="31"/>
      <c r="AL367" s="31"/>
      <c r="AM367" s="31"/>
      <c r="AN367" s="32" t="str">
        <f>+IF(AND('GRADING PACKING'!L$5=INWARDDATA!J367,'GRADING PACKING'!L$6=INWARDDATA!I367,AR367=0),"good","bad")</f>
        <v>bad</v>
      </c>
      <c r="AO367" s="33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86"/>
      <c r="BC367" s="86"/>
      <c r="BD367" s="97">
        <f>Table_15[[#This Row],[Wgt-Bag]]-Table_15[[#This Row],[Total Graded]]-Table_15[[#This Row],[UNDERSIZE]]+0.0011</f>
        <v>1.1000000000000001E-3</v>
      </c>
      <c r="BE367" s="86">
        <f>Table_15[[#This Row],[Total Graded]]-Table_15[[#This Row],[Packing Quantity]]+Table_15[[#This Row],[PACKING LOOSE]]</f>
        <v>0</v>
      </c>
      <c r="BF367" s="34">
        <f>IF(Table_15[[#This Row],[GRADED BAGS]]&gt;0,Table_15[[#This Row],[GRADED BAGS]],Table_15[[#This Row],[Bags]])</f>
        <v>0</v>
      </c>
    </row>
    <row r="368" spans="1:58" ht="15.75" hidden="1" customHeight="1" x14ac:dyDescent="0.35">
      <c r="A368" s="22">
        <v>366</v>
      </c>
      <c r="B368" s="22"/>
      <c r="C368" s="23"/>
      <c r="D368" s="23"/>
      <c r="E368" s="24"/>
      <c r="F368" s="23"/>
      <c r="G368" s="100"/>
      <c r="H368" s="101"/>
      <c r="I368" s="102"/>
      <c r="J368" s="102"/>
      <c r="K368" s="233"/>
      <c r="L368" s="22"/>
      <c r="M368" s="25">
        <f t="shared" si="26"/>
        <v>0</v>
      </c>
      <c r="N368" s="25">
        <f t="shared" si="27"/>
        <v>0</v>
      </c>
      <c r="O368" s="25">
        <f t="shared" si="28"/>
        <v>0</v>
      </c>
      <c r="P368" s="25">
        <f t="shared" si="29"/>
        <v>0</v>
      </c>
      <c r="Q368" s="22"/>
      <c r="R368" s="22"/>
      <c r="S368" s="22"/>
      <c r="T368" s="22"/>
      <c r="U368" s="26">
        <f t="shared" si="30"/>
        <v>0</v>
      </c>
      <c r="V368" s="27"/>
      <c r="W368" s="28"/>
      <c r="X368" s="25" t="str">
        <f>+IF(AND('GRADING PACKING'!L$5=INWARDDATA!J368,'GRADING PACKING'!L$6=INWARDDATA!I368,AB368=0),"TRUE","FALSE")</f>
        <v>FALSE</v>
      </c>
      <c r="Y368" s="29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1"/>
      <c r="AK368" s="31"/>
      <c r="AL368" s="31"/>
      <c r="AM368" s="31"/>
      <c r="AN368" s="32" t="str">
        <f>+IF(AND('GRADING PACKING'!L$5=INWARDDATA!J368,'GRADING PACKING'!L$6=INWARDDATA!I368,AR368=0),"good","bad")</f>
        <v>bad</v>
      </c>
      <c r="AO368" s="33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86"/>
      <c r="BC368" s="86"/>
      <c r="BD368" s="97">
        <f>Table_15[[#This Row],[Wgt-Bag]]-Table_15[[#This Row],[Total Graded]]-Table_15[[#This Row],[UNDERSIZE]]+0.0011</f>
        <v>1.1000000000000001E-3</v>
      </c>
      <c r="BE368" s="86">
        <f>Table_15[[#This Row],[Total Graded]]-Table_15[[#This Row],[Packing Quantity]]+Table_15[[#This Row],[PACKING LOOSE]]</f>
        <v>0</v>
      </c>
      <c r="BF368" s="34">
        <f>IF(Table_15[[#This Row],[GRADED BAGS]]&gt;0,Table_15[[#This Row],[GRADED BAGS]],Table_15[[#This Row],[Bags]])</f>
        <v>0</v>
      </c>
    </row>
    <row r="369" spans="1:58" ht="15.75" hidden="1" customHeight="1" x14ac:dyDescent="0.35">
      <c r="A369" s="22">
        <v>367</v>
      </c>
      <c r="B369" s="22"/>
      <c r="C369" s="23"/>
      <c r="D369" s="23"/>
      <c r="E369" s="24"/>
      <c r="F369" s="23"/>
      <c r="G369" s="100"/>
      <c r="H369" s="101"/>
      <c r="I369" s="102"/>
      <c r="J369" s="102"/>
      <c r="K369" s="233"/>
      <c r="L369" s="22"/>
      <c r="M369" s="25">
        <f t="shared" si="26"/>
        <v>0</v>
      </c>
      <c r="N369" s="25">
        <f t="shared" si="27"/>
        <v>0</v>
      </c>
      <c r="O369" s="25">
        <f t="shared" si="28"/>
        <v>0</v>
      </c>
      <c r="P369" s="25">
        <f t="shared" si="29"/>
        <v>0</v>
      </c>
      <c r="Q369" s="22"/>
      <c r="R369" s="22"/>
      <c r="S369" s="22"/>
      <c r="T369" s="22"/>
      <c r="U369" s="26">
        <f t="shared" si="30"/>
        <v>0</v>
      </c>
      <c r="V369" s="27"/>
      <c r="W369" s="28"/>
      <c r="X369" s="25" t="str">
        <f>+IF(AND('GRADING PACKING'!L$5=INWARDDATA!J369,'GRADING PACKING'!L$6=INWARDDATA!I369,AB369=0),"TRUE","FALSE")</f>
        <v>FALSE</v>
      </c>
      <c r="Y369" s="29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1"/>
      <c r="AK369" s="31"/>
      <c r="AL369" s="31"/>
      <c r="AM369" s="31"/>
      <c r="AN369" s="32" t="str">
        <f>+IF(AND('GRADING PACKING'!L$5=INWARDDATA!J369,'GRADING PACKING'!L$6=INWARDDATA!I369,AR369=0),"good","bad")</f>
        <v>bad</v>
      </c>
      <c r="AO369" s="33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86"/>
      <c r="BC369" s="86"/>
      <c r="BD369" s="97">
        <f>Table_15[[#This Row],[Wgt-Bag]]-Table_15[[#This Row],[Total Graded]]-Table_15[[#This Row],[UNDERSIZE]]+0.0011</f>
        <v>1.1000000000000001E-3</v>
      </c>
      <c r="BE369" s="86">
        <f>Table_15[[#This Row],[Total Graded]]-Table_15[[#This Row],[Packing Quantity]]+Table_15[[#This Row],[PACKING LOOSE]]</f>
        <v>0</v>
      </c>
      <c r="BF369" s="34">
        <f>IF(Table_15[[#This Row],[GRADED BAGS]]&gt;0,Table_15[[#This Row],[GRADED BAGS]],Table_15[[#This Row],[Bags]])</f>
        <v>0</v>
      </c>
    </row>
    <row r="370" spans="1:58" ht="15.75" hidden="1" customHeight="1" x14ac:dyDescent="0.35">
      <c r="A370" s="22">
        <v>368</v>
      </c>
      <c r="B370" s="22"/>
      <c r="C370" s="23"/>
      <c r="D370" s="23"/>
      <c r="E370" s="24"/>
      <c r="F370" s="23"/>
      <c r="G370" s="100"/>
      <c r="H370" s="101"/>
      <c r="I370" s="102"/>
      <c r="J370" s="102"/>
      <c r="K370" s="233"/>
      <c r="L370" s="22"/>
      <c r="M370" s="25">
        <f t="shared" si="26"/>
        <v>0</v>
      </c>
      <c r="N370" s="25">
        <f t="shared" si="27"/>
        <v>0</v>
      </c>
      <c r="O370" s="25">
        <f t="shared" si="28"/>
        <v>0</v>
      </c>
      <c r="P370" s="25">
        <f t="shared" si="29"/>
        <v>0</v>
      </c>
      <c r="Q370" s="22"/>
      <c r="R370" s="22"/>
      <c r="S370" s="22"/>
      <c r="T370" s="22"/>
      <c r="U370" s="26">
        <f t="shared" si="30"/>
        <v>0</v>
      </c>
      <c r="V370" s="27"/>
      <c r="W370" s="28"/>
      <c r="X370" s="25" t="str">
        <f>+IF(AND('GRADING PACKING'!L$5=INWARDDATA!J370,'GRADING PACKING'!L$6=INWARDDATA!I370,AB370=0),"TRUE","FALSE")</f>
        <v>FALSE</v>
      </c>
      <c r="Y370" s="29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1"/>
      <c r="AK370" s="31"/>
      <c r="AL370" s="31"/>
      <c r="AM370" s="31"/>
      <c r="AN370" s="32" t="str">
        <f>+IF(AND('GRADING PACKING'!L$5=INWARDDATA!J370,'GRADING PACKING'!L$6=INWARDDATA!I370,AR370=0),"good","bad")</f>
        <v>bad</v>
      </c>
      <c r="AO370" s="33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86"/>
      <c r="BC370" s="86"/>
      <c r="BD370" s="97">
        <f>Table_15[[#This Row],[Wgt-Bag]]-Table_15[[#This Row],[Total Graded]]-Table_15[[#This Row],[UNDERSIZE]]+0.0011</f>
        <v>1.1000000000000001E-3</v>
      </c>
      <c r="BE370" s="86">
        <f>Table_15[[#This Row],[Total Graded]]-Table_15[[#This Row],[Packing Quantity]]+Table_15[[#This Row],[PACKING LOOSE]]</f>
        <v>0</v>
      </c>
      <c r="BF370" s="34">
        <f>IF(Table_15[[#This Row],[GRADED BAGS]]&gt;0,Table_15[[#This Row],[GRADED BAGS]],Table_15[[#This Row],[Bags]])</f>
        <v>0</v>
      </c>
    </row>
    <row r="371" spans="1:58" ht="15.75" hidden="1" customHeight="1" x14ac:dyDescent="0.35">
      <c r="A371" s="22">
        <v>369</v>
      </c>
      <c r="B371" s="22"/>
      <c r="C371" s="23"/>
      <c r="D371" s="23"/>
      <c r="E371" s="24"/>
      <c r="F371" s="23"/>
      <c r="G371" s="100"/>
      <c r="H371" s="101"/>
      <c r="I371" s="102"/>
      <c r="J371" s="102"/>
      <c r="K371" s="233"/>
      <c r="L371" s="22"/>
      <c r="M371" s="25">
        <f t="shared" si="26"/>
        <v>0</v>
      </c>
      <c r="N371" s="25">
        <f t="shared" si="27"/>
        <v>0</v>
      </c>
      <c r="O371" s="25">
        <f t="shared" si="28"/>
        <v>0</v>
      </c>
      <c r="P371" s="25">
        <f t="shared" si="29"/>
        <v>0</v>
      </c>
      <c r="Q371" s="22"/>
      <c r="R371" s="22"/>
      <c r="S371" s="22"/>
      <c r="T371" s="22"/>
      <c r="U371" s="26">
        <f t="shared" si="30"/>
        <v>0</v>
      </c>
      <c r="V371" s="27"/>
      <c r="W371" s="28"/>
      <c r="X371" s="25" t="str">
        <f>+IF(AND('GRADING PACKING'!L$5=INWARDDATA!J371,'GRADING PACKING'!L$6=INWARDDATA!I371,AB371=0),"TRUE","FALSE")</f>
        <v>FALSE</v>
      </c>
      <c r="Y371" s="29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1"/>
      <c r="AK371" s="31"/>
      <c r="AL371" s="31"/>
      <c r="AM371" s="31"/>
      <c r="AN371" s="32" t="str">
        <f>+IF(AND('GRADING PACKING'!L$5=INWARDDATA!J371,'GRADING PACKING'!L$6=INWARDDATA!I371,AR371=0),"good","bad")</f>
        <v>bad</v>
      </c>
      <c r="AO371" s="33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86"/>
      <c r="BC371" s="86"/>
      <c r="BD371" s="97">
        <f>Table_15[[#This Row],[Wgt-Bag]]-Table_15[[#This Row],[Total Graded]]-Table_15[[#This Row],[UNDERSIZE]]+0.0011</f>
        <v>1.1000000000000001E-3</v>
      </c>
      <c r="BE371" s="86">
        <f>Table_15[[#This Row],[Total Graded]]-Table_15[[#This Row],[Packing Quantity]]+Table_15[[#This Row],[PACKING LOOSE]]</f>
        <v>0</v>
      </c>
      <c r="BF371" s="34">
        <f>IF(Table_15[[#This Row],[GRADED BAGS]]&gt;0,Table_15[[#This Row],[GRADED BAGS]],Table_15[[#This Row],[Bags]])</f>
        <v>0</v>
      </c>
    </row>
    <row r="372" spans="1:58" ht="15.75" hidden="1" customHeight="1" x14ac:dyDescent="0.35">
      <c r="A372" s="22">
        <v>370</v>
      </c>
      <c r="B372" s="22"/>
      <c r="C372" s="23"/>
      <c r="D372" s="23"/>
      <c r="E372" s="24"/>
      <c r="F372" s="23"/>
      <c r="G372" s="100"/>
      <c r="H372" s="101"/>
      <c r="I372" s="102"/>
      <c r="J372" s="102"/>
      <c r="K372" s="233"/>
      <c r="L372" s="22"/>
      <c r="M372" s="25">
        <f t="shared" si="26"/>
        <v>0</v>
      </c>
      <c r="N372" s="25">
        <f t="shared" si="27"/>
        <v>0</v>
      </c>
      <c r="O372" s="25">
        <f t="shared" si="28"/>
        <v>0</v>
      </c>
      <c r="P372" s="25">
        <f t="shared" si="29"/>
        <v>0</v>
      </c>
      <c r="Q372" s="22"/>
      <c r="R372" s="22"/>
      <c r="S372" s="22"/>
      <c r="T372" s="22"/>
      <c r="U372" s="26">
        <f t="shared" si="30"/>
        <v>0</v>
      </c>
      <c r="V372" s="27"/>
      <c r="W372" s="28"/>
      <c r="X372" s="25" t="str">
        <f>+IF(AND('GRADING PACKING'!L$5=INWARDDATA!J372,'GRADING PACKING'!L$6=INWARDDATA!I372,AB372=0),"TRUE","FALSE")</f>
        <v>FALSE</v>
      </c>
      <c r="Y372" s="29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1"/>
      <c r="AK372" s="31"/>
      <c r="AL372" s="31"/>
      <c r="AM372" s="31"/>
      <c r="AN372" s="32" t="str">
        <f>+IF(AND('GRADING PACKING'!L$5=INWARDDATA!J372,'GRADING PACKING'!L$6=INWARDDATA!I372,AR372=0),"good","bad")</f>
        <v>bad</v>
      </c>
      <c r="AO372" s="33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86"/>
      <c r="BC372" s="86"/>
      <c r="BD372" s="97">
        <f>Table_15[[#This Row],[Wgt-Bag]]-Table_15[[#This Row],[Total Graded]]-Table_15[[#This Row],[UNDERSIZE]]+0.0011</f>
        <v>1.1000000000000001E-3</v>
      </c>
      <c r="BE372" s="86">
        <f>Table_15[[#This Row],[Total Graded]]-Table_15[[#This Row],[Packing Quantity]]+Table_15[[#This Row],[PACKING LOOSE]]</f>
        <v>0</v>
      </c>
      <c r="BF372" s="34">
        <f>IF(Table_15[[#This Row],[GRADED BAGS]]&gt;0,Table_15[[#This Row],[GRADED BAGS]],Table_15[[#This Row],[Bags]])</f>
        <v>0</v>
      </c>
    </row>
    <row r="373" spans="1:58" ht="15.75" hidden="1" customHeight="1" x14ac:dyDescent="0.35">
      <c r="A373" s="22">
        <v>371</v>
      </c>
      <c r="B373" s="22"/>
      <c r="C373" s="23"/>
      <c r="D373" s="23"/>
      <c r="E373" s="24"/>
      <c r="F373" s="23"/>
      <c r="G373" s="100"/>
      <c r="H373" s="101"/>
      <c r="I373" s="102"/>
      <c r="J373" s="102"/>
      <c r="K373" s="233"/>
      <c r="L373" s="22"/>
      <c r="M373" s="25">
        <f t="shared" si="26"/>
        <v>0</v>
      </c>
      <c r="N373" s="25">
        <f t="shared" si="27"/>
        <v>0</v>
      </c>
      <c r="O373" s="25">
        <f t="shared" si="28"/>
        <v>0</v>
      </c>
      <c r="P373" s="25">
        <f t="shared" si="29"/>
        <v>0</v>
      </c>
      <c r="Q373" s="22"/>
      <c r="R373" s="22"/>
      <c r="S373" s="22"/>
      <c r="T373" s="22"/>
      <c r="U373" s="26">
        <f t="shared" si="30"/>
        <v>0</v>
      </c>
      <c r="V373" s="27"/>
      <c r="W373" s="28"/>
      <c r="X373" s="25" t="str">
        <f>+IF(AND('GRADING PACKING'!L$5=INWARDDATA!J373,'GRADING PACKING'!L$6=INWARDDATA!I373,AB373=0),"TRUE","FALSE")</f>
        <v>FALSE</v>
      </c>
      <c r="Y373" s="29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1"/>
      <c r="AK373" s="31"/>
      <c r="AL373" s="31"/>
      <c r="AM373" s="31"/>
      <c r="AN373" s="32" t="str">
        <f>+IF(AND('GRADING PACKING'!L$5=INWARDDATA!J373,'GRADING PACKING'!L$6=INWARDDATA!I373,AR373=0),"good","bad")</f>
        <v>bad</v>
      </c>
      <c r="AO373" s="33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86"/>
      <c r="BC373" s="86"/>
      <c r="BD373" s="97">
        <f>Table_15[[#This Row],[Wgt-Bag]]-Table_15[[#This Row],[Total Graded]]-Table_15[[#This Row],[UNDERSIZE]]+0.0011</f>
        <v>1.1000000000000001E-3</v>
      </c>
      <c r="BE373" s="86">
        <f>Table_15[[#This Row],[Total Graded]]-Table_15[[#This Row],[Packing Quantity]]+Table_15[[#This Row],[PACKING LOOSE]]</f>
        <v>0</v>
      </c>
      <c r="BF373" s="34">
        <f>IF(Table_15[[#This Row],[GRADED BAGS]]&gt;0,Table_15[[#This Row],[GRADED BAGS]],Table_15[[#This Row],[Bags]])</f>
        <v>0</v>
      </c>
    </row>
    <row r="374" spans="1:58" ht="15.75" hidden="1" customHeight="1" x14ac:dyDescent="0.35">
      <c r="A374" s="22">
        <v>372</v>
      </c>
      <c r="B374" s="22"/>
      <c r="C374" s="23"/>
      <c r="D374" s="23"/>
      <c r="E374" s="24"/>
      <c r="F374" s="23"/>
      <c r="G374" s="100"/>
      <c r="H374" s="101"/>
      <c r="I374" s="102"/>
      <c r="J374" s="102"/>
      <c r="K374" s="233"/>
      <c r="L374" s="22"/>
      <c r="M374" s="25">
        <f t="shared" si="26"/>
        <v>0</v>
      </c>
      <c r="N374" s="25">
        <f t="shared" si="27"/>
        <v>0</v>
      </c>
      <c r="O374" s="25">
        <f t="shared" si="28"/>
        <v>0</v>
      </c>
      <c r="P374" s="25">
        <f t="shared" si="29"/>
        <v>0</v>
      </c>
      <c r="Q374" s="22"/>
      <c r="R374" s="22"/>
      <c r="S374" s="22"/>
      <c r="T374" s="22"/>
      <c r="U374" s="26">
        <f t="shared" si="30"/>
        <v>0</v>
      </c>
      <c r="V374" s="27"/>
      <c r="W374" s="28"/>
      <c r="X374" s="25" t="str">
        <f>+IF(AND('GRADING PACKING'!L$5=INWARDDATA!J374,'GRADING PACKING'!L$6=INWARDDATA!I374,AB374=0),"TRUE","FALSE")</f>
        <v>FALSE</v>
      </c>
      <c r="Y374" s="29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1"/>
      <c r="AK374" s="31"/>
      <c r="AL374" s="31"/>
      <c r="AM374" s="31"/>
      <c r="AN374" s="32" t="str">
        <f>+IF(AND('GRADING PACKING'!L$5=INWARDDATA!J374,'GRADING PACKING'!L$6=INWARDDATA!I374,AR374=0),"good","bad")</f>
        <v>bad</v>
      </c>
      <c r="AO374" s="33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86"/>
      <c r="BC374" s="86"/>
      <c r="BD374" s="97">
        <f>Table_15[[#This Row],[Wgt-Bag]]-Table_15[[#This Row],[Total Graded]]-Table_15[[#This Row],[UNDERSIZE]]+0.0011</f>
        <v>1.1000000000000001E-3</v>
      </c>
      <c r="BE374" s="86">
        <f>Table_15[[#This Row],[Total Graded]]-Table_15[[#This Row],[Packing Quantity]]+Table_15[[#This Row],[PACKING LOOSE]]</f>
        <v>0</v>
      </c>
      <c r="BF374" s="34">
        <f>IF(Table_15[[#This Row],[GRADED BAGS]]&gt;0,Table_15[[#This Row],[GRADED BAGS]],Table_15[[#This Row],[Bags]])</f>
        <v>0</v>
      </c>
    </row>
    <row r="375" spans="1:58" ht="15.75" hidden="1" customHeight="1" x14ac:dyDescent="0.35">
      <c r="A375" s="22">
        <v>373</v>
      </c>
      <c r="B375" s="22"/>
      <c r="C375" s="23"/>
      <c r="D375" s="23"/>
      <c r="E375" s="24"/>
      <c r="F375" s="23"/>
      <c r="G375" s="100"/>
      <c r="H375" s="101"/>
      <c r="I375" s="102"/>
      <c r="J375" s="102"/>
      <c r="K375" s="233"/>
      <c r="L375" s="22"/>
      <c r="M375" s="25">
        <f t="shared" si="26"/>
        <v>0</v>
      </c>
      <c r="N375" s="25">
        <f t="shared" si="27"/>
        <v>0</v>
      </c>
      <c r="O375" s="25">
        <f t="shared" si="28"/>
        <v>0</v>
      </c>
      <c r="P375" s="25">
        <f t="shared" si="29"/>
        <v>0</v>
      </c>
      <c r="Q375" s="22"/>
      <c r="R375" s="22"/>
      <c r="S375" s="22"/>
      <c r="T375" s="22"/>
      <c r="U375" s="26">
        <f t="shared" si="30"/>
        <v>0</v>
      </c>
      <c r="V375" s="27"/>
      <c r="W375" s="28"/>
      <c r="X375" s="25" t="str">
        <f>+IF(AND('GRADING PACKING'!L$5=INWARDDATA!J375,'GRADING PACKING'!L$6=INWARDDATA!I375,AB375=0),"TRUE","FALSE")</f>
        <v>FALSE</v>
      </c>
      <c r="Y375" s="29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1"/>
      <c r="AK375" s="31"/>
      <c r="AL375" s="31"/>
      <c r="AM375" s="31"/>
      <c r="AN375" s="32" t="str">
        <f>+IF(AND('GRADING PACKING'!L$5=INWARDDATA!J375,'GRADING PACKING'!L$6=INWARDDATA!I375,AR375=0),"good","bad")</f>
        <v>bad</v>
      </c>
      <c r="AO375" s="33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86"/>
      <c r="BC375" s="86"/>
      <c r="BD375" s="97">
        <f>Table_15[[#This Row],[Wgt-Bag]]-Table_15[[#This Row],[Total Graded]]-Table_15[[#This Row],[UNDERSIZE]]+0.0011</f>
        <v>1.1000000000000001E-3</v>
      </c>
      <c r="BE375" s="86">
        <f>Table_15[[#This Row],[Total Graded]]-Table_15[[#This Row],[Packing Quantity]]+Table_15[[#This Row],[PACKING LOOSE]]</f>
        <v>0</v>
      </c>
      <c r="BF375" s="34">
        <f>IF(Table_15[[#This Row],[GRADED BAGS]]&gt;0,Table_15[[#This Row],[GRADED BAGS]],Table_15[[#This Row],[Bags]])</f>
        <v>0</v>
      </c>
    </row>
    <row r="376" spans="1:58" ht="15.75" hidden="1" customHeight="1" x14ac:dyDescent="0.35">
      <c r="A376" s="22">
        <v>374</v>
      </c>
      <c r="B376" s="22"/>
      <c r="C376" s="23"/>
      <c r="D376" s="23"/>
      <c r="E376" s="24"/>
      <c r="F376" s="23"/>
      <c r="G376" s="100"/>
      <c r="H376" s="101"/>
      <c r="I376" s="102"/>
      <c r="J376" s="102"/>
      <c r="K376" s="233"/>
      <c r="L376" s="22"/>
      <c r="M376" s="25">
        <f t="shared" si="26"/>
        <v>0</v>
      </c>
      <c r="N376" s="25">
        <f t="shared" si="27"/>
        <v>0</v>
      </c>
      <c r="O376" s="25">
        <f t="shared" si="28"/>
        <v>0</v>
      </c>
      <c r="P376" s="25">
        <f t="shared" si="29"/>
        <v>0</v>
      </c>
      <c r="Q376" s="22"/>
      <c r="R376" s="22"/>
      <c r="S376" s="22"/>
      <c r="T376" s="22"/>
      <c r="U376" s="26">
        <f t="shared" si="30"/>
        <v>0</v>
      </c>
      <c r="V376" s="27"/>
      <c r="W376" s="28"/>
      <c r="X376" s="25" t="str">
        <f>+IF(AND('GRADING PACKING'!L$5=INWARDDATA!J376,'GRADING PACKING'!L$6=INWARDDATA!I376,AB376=0),"TRUE","FALSE")</f>
        <v>FALSE</v>
      </c>
      <c r="Y376" s="29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1"/>
      <c r="AK376" s="31"/>
      <c r="AL376" s="31"/>
      <c r="AM376" s="31"/>
      <c r="AN376" s="32" t="str">
        <f>+IF(AND('GRADING PACKING'!L$5=INWARDDATA!J376,'GRADING PACKING'!L$6=INWARDDATA!I376,AR376=0),"good","bad")</f>
        <v>bad</v>
      </c>
      <c r="AO376" s="33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86"/>
      <c r="BC376" s="86"/>
      <c r="BD376" s="97">
        <f>Table_15[[#This Row],[Wgt-Bag]]-Table_15[[#This Row],[Total Graded]]-Table_15[[#This Row],[UNDERSIZE]]+0.0011</f>
        <v>1.1000000000000001E-3</v>
      </c>
      <c r="BE376" s="86">
        <f>Table_15[[#This Row],[Total Graded]]-Table_15[[#This Row],[Packing Quantity]]+Table_15[[#This Row],[PACKING LOOSE]]</f>
        <v>0</v>
      </c>
      <c r="BF376" s="34">
        <f>IF(Table_15[[#This Row],[GRADED BAGS]]&gt;0,Table_15[[#This Row],[GRADED BAGS]],Table_15[[#This Row],[Bags]])</f>
        <v>0</v>
      </c>
    </row>
    <row r="377" spans="1:58" ht="15.75" hidden="1" customHeight="1" x14ac:dyDescent="0.35">
      <c r="A377" s="22">
        <v>375</v>
      </c>
      <c r="B377" s="22"/>
      <c r="C377" s="23"/>
      <c r="D377" s="23"/>
      <c r="E377" s="24"/>
      <c r="F377" s="23"/>
      <c r="G377" s="100"/>
      <c r="H377" s="101"/>
      <c r="I377" s="102"/>
      <c r="J377" s="102"/>
      <c r="K377" s="233"/>
      <c r="L377" s="22"/>
      <c r="M377" s="25">
        <f t="shared" si="26"/>
        <v>0</v>
      </c>
      <c r="N377" s="25">
        <f t="shared" si="27"/>
        <v>0</v>
      </c>
      <c r="O377" s="25">
        <f t="shared" si="28"/>
        <v>0</v>
      </c>
      <c r="P377" s="25">
        <f t="shared" si="29"/>
        <v>0</v>
      </c>
      <c r="Q377" s="22"/>
      <c r="R377" s="22"/>
      <c r="S377" s="22"/>
      <c r="T377" s="22"/>
      <c r="U377" s="26">
        <f t="shared" si="30"/>
        <v>0</v>
      </c>
      <c r="V377" s="27"/>
      <c r="W377" s="28"/>
      <c r="X377" s="25" t="str">
        <f>+IF(AND('GRADING PACKING'!L$5=INWARDDATA!J377,'GRADING PACKING'!L$6=INWARDDATA!I377,AB377=0),"TRUE","FALSE")</f>
        <v>FALSE</v>
      </c>
      <c r="Y377" s="29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1"/>
      <c r="AK377" s="31"/>
      <c r="AL377" s="31"/>
      <c r="AM377" s="31"/>
      <c r="AN377" s="32" t="str">
        <f>+IF(AND('GRADING PACKING'!L$5=INWARDDATA!J377,'GRADING PACKING'!L$6=INWARDDATA!I377,AR377=0),"good","bad")</f>
        <v>bad</v>
      </c>
      <c r="AO377" s="33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86"/>
      <c r="BC377" s="86"/>
      <c r="BD377" s="97">
        <f>Table_15[[#This Row],[Wgt-Bag]]-Table_15[[#This Row],[Total Graded]]-Table_15[[#This Row],[UNDERSIZE]]+0.0011</f>
        <v>1.1000000000000001E-3</v>
      </c>
      <c r="BE377" s="86">
        <f>Table_15[[#This Row],[Total Graded]]-Table_15[[#This Row],[Packing Quantity]]+Table_15[[#This Row],[PACKING LOOSE]]</f>
        <v>0</v>
      </c>
      <c r="BF377" s="34">
        <f>IF(Table_15[[#This Row],[GRADED BAGS]]&gt;0,Table_15[[#This Row],[GRADED BAGS]],Table_15[[#This Row],[Bags]])</f>
        <v>0</v>
      </c>
    </row>
    <row r="378" spans="1:58" ht="15.75" hidden="1" customHeight="1" x14ac:dyDescent="0.35">
      <c r="A378" s="22">
        <v>376</v>
      </c>
      <c r="B378" s="22"/>
      <c r="C378" s="23"/>
      <c r="D378" s="23"/>
      <c r="E378" s="24"/>
      <c r="F378" s="23"/>
      <c r="G378" s="100"/>
      <c r="H378" s="101"/>
      <c r="I378" s="102"/>
      <c r="J378" s="102"/>
      <c r="K378" s="233"/>
      <c r="L378" s="22"/>
      <c r="M378" s="25">
        <f t="shared" si="26"/>
        <v>0</v>
      </c>
      <c r="N378" s="25">
        <f t="shared" si="27"/>
        <v>0</v>
      </c>
      <c r="O378" s="25">
        <f t="shared" si="28"/>
        <v>0</v>
      </c>
      <c r="P378" s="25">
        <f t="shared" si="29"/>
        <v>0</v>
      </c>
      <c r="Q378" s="22"/>
      <c r="R378" s="22"/>
      <c r="S378" s="22"/>
      <c r="T378" s="22"/>
      <c r="U378" s="26">
        <f t="shared" si="30"/>
        <v>0</v>
      </c>
      <c r="V378" s="27"/>
      <c r="W378" s="28"/>
      <c r="X378" s="25" t="str">
        <f>+IF(AND('GRADING PACKING'!L$5=INWARDDATA!J378,'GRADING PACKING'!L$6=INWARDDATA!I378,AB378=0),"TRUE","FALSE")</f>
        <v>FALSE</v>
      </c>
      <c r="Y378" s="29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1"/>
      <c r="AK378" s="31"/>
      <c r="AL378" s="31"/>
      <c r="AM378" s="31"/>
      <c r="AN378" s="32" t="str">
        <f>+IF(AND('GRADING PACKING'!L$5=INWARDDATA!J378,'GRADING PACKING'!L$6=INWARDDATA!I378,AR378=0),"good","bad")</f>
        <v>bad</v>
      </c>
      <c r="AO378" s="33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86"/>
      <c r="BC378" s="86"/>
      <c r="BD378" s="97">
        <f>Table_15[[#This Row],[Wgt-Bag]]-Table_15[[#This Row],[Total Graded]]-Table_15[[#This Row],[UNDERSIZE]]+0.0011</f>
        <v>1.1000000000000001E-3</v>
      </c>
      <c r="BE378" s="86">
        <f>Table_15[[#This Row],[Total Graded]]-Table_15[[#This Row],[Packing Quantity]]+Table_15[[#This Row],[PACKING LOOSE]]</f>
        <v>0</v>
      </c>
      <c r="BF378" s="34">
        <f>IF(Table_15[[#This Row],[GRADED BAGS]]&gt;0,Table_15[[#This Row],[GRADED BAGS]],Table_15[[#This Row],[Bags]])</f>
        <v>0</v>
      </c>
    </row>
    <row r="379" spans="1:58" ht="15.75" hidden="1" customHeight="1" x14ac:dyDescent="0.35">
      <c r="A379" s="22">
        <v>377</v>
      </c>
      <c r="B379" s="22"/>
      <c r="C379" s="23"/>
      <c r="D379" s="23"/>
      <c r="E379" s="24"/>
      <c r="F379" s="23"/>
      <c r="G379" s="100"/>
      <c r="H379" s="101"/>
      <c r="I379" s="102"/>
      <c r="J379" s="102"/>
      <c r="K379" s="233"/>
      <c r="L379" s="22"/>
      <c r="M379" s="25">
        <f t="shared" si="26"/>
        <v>0</v>
      </c>
      <c r="N379" s="25">
        <f t="shared" si="27"/>
        <v>0</v>
      </c>
      <c r="O379" s="25">
        <f t="shared" si="28"/>
        <v>0</v>
      </c>
      <c r="P379" s="25">
        <f t="shared" si="29"/>
        <v>0</v>
      </c>
      <c r="Q379" s="22"/>
      <c r="R379" s="22"/>
      <c r="S379" s="22"/>
      <c r="T379" s="22"/>
      <c r="U379" s="26">
        <f t="shared" si="30"/>
        <v>0</v>
      </c>
      <c r="V379" s="27"/>
      <c r="W379" s="28"/>
      <c r="X379" s="25" t="str">
        <f>+IF(AND('GRADING PACKING'!L$5=INWARDDATA!J379,'GRADING PACKING'!L$6=INWARDDATA!I379,AB379=0),"TRUE","FALSE")</f>
        <v>FALSE</v>
      </c>
      <c r="Y379" s="29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1"/>
      <c r="AK379" s="31"/>
      <c r="AL379" s="31"/>
      <c r="AM379" s="31"/>
      <c r="AN379" s="32" t="str">
        <f>+IF(AND('GRADING PACKING'!L$5=INWARDDATA!J379,'GRADING PACKING'!L$6=INWARDDATA!I379,AR379=0),"good","bad")</f>
        <v>bad</v>
      </c>
      <c r="AO379" s="33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86"/>
      <c r="BC379" s="86"/>
      <c r="BD379" s="97">
        <f>Table_15[[#This Row],[Wgt-Bag]]-Table_15[[#This Row],[Total Graded]]-Table_15[[#This Row],[UNDERSIZE]]+0.0011</f>
        <v>1.1000000000000001E-3</v>
      </c>
      <c r="BE379" s="86">
        <f>Table_15[[#This Row],[Total Graded]]-Table_15[[#This Row],[Packing Quantity]]+Table_15[[#This Row],[PACKING LOOSE]]</f>
        <v>0</v>
      </c>
      <c r="BF379" s="34">
        <f>IF(Table_15[[#This Row],[GRADED BAGS]]&gt;0,Table_15[[#This Row],[GRADED BAGS]],Table_15[[#This Row],[Bags]])</f>
        <v>0</v>
      </c>
    </row>
    <row r="380" spans="1:58" ht="15.75" hidden="1" customHeight="1" x14ac:dyDescent="0.35">
      <c r="A380" s="22">
        <v>378</v>
      </c>
      <c r="B380" s="22"/>
      <c r="C380" s="23"/>
      <c r="D380" s="23"/>
      <c r="E380" s="24"/>
      <c r="F380" s="23"/>
      <c r="G380" s="100"/>
      <c r="H380" s="101"/>
      <c r="I380" s="102"/>
      <c r="J380" s="102"/>
      <c r="K380" s="233"/>
      <c r="L380" s="22"/>
      <c r="M380" s="25">
        <f t="shared" si="26"/>
        <v>0</v>
      </c>
      <c r="N380" s="25">
        <f t="shared" si="27"/>
        <v>0</v>
      </c>
      <c r="O380" s="25">
        <f t="shared" si="28"/>
        <v>0</v>
      </c>
      <c r="P380" s="25">
        <f t="shared" si="29"/>
        <v>0</v>
      </c>
      <c r="Q380" s="22"/>
      <c r="R380" s="22"/>
      <c r="S380" s="22"/>
      <c r="T380" s="22"/>
      <c r="U380" s="26">
        <f t="shared" si="30"/>
        <v>0</v>
      </c>
      <c r="V380" s="27"/>
      <c r="W380" s="28"/>
      <c r="X380" s="25" t="str">
        <f>+IF(AND('GRADING PACKING'!L$5=INWARDDATA!J380,'GRADING PACKING'!L$6=INWARDDATA!I380,AB380=0),"TRUE","FALSE")</f>
        <v>FALSE</v>
      </c>
      <c r="Y380" s="29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1"/>
      <c r="AK380" s="31"/>
      <c r="AL380" s="31"/>
      <c r="AM380" s="31"/>
      <c r="AN380" s="32" t="str">
        <f>+IF(AND('GRADING PACKING'!L$5=INWARDDATA!J380,'GRADING PACKING'!L$6=INWARDDATA!I380,AR380=0),"good","bad")</f>
        <v>bad</v>
      </c>
      <c r="AO380" s="33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86"/>
      <c r="BC380" s="86"/>
      <c r="BD380" s="97">
        <f>Table_15[[#This Row],[Wgt-Bag]]-Table_15[[#This Row],[Total Graded]]-Table_15[[#This Row],[UNDERSIZE]]+0.0011</f>
        <v>1.1000000000000001E-3</v>
      </c>
      <c r="BE380" s="86">
        <f>Table_15[[#This Row],[Total Graded]]-Table_15[[#This Row],[Packing Quantity]]+Table_15[[#This Row],[PACKING LOOSE]]</f>
        <v>0</v>
      </c>
      <c r="BF380" s="34">
        <f>IF(Table_15[[#This Row],[GRADED BAGS]]&gt;0,Table_15[[#This Row],[GRADED BAGS]],Table_15[[#This Row],[Bags]])</f>
        <v>0</v>
      </c>
    </row>
    <row r="381" spans="1:58" ht="15.75" hidden="1" customHeight="1" x14ac:dyDescent="0.35">
      <c r="A381" s="22">
        <v>379</v>
      </c>
      <c r="B381" s="22"/>
      <c r="C381" s="23"/>
      <c r="D381" s="23"/>
      <c r="E381" s="24"/>
      <c r="F381" s="23"/>
      <c r="G381" s="100"/>
      <c r="H381" s="101"/>
      <c r="I381" s="102"/>
      <c r="J381" s="102"/>
      <c r="K381" s="233"/>
      <c r="L381" s="22"/>
      <c r="M381" s="25">
        <f t="shared" si="26"/>
        <v>0</v>
      </c>
      <c r="N381" s="25">
        <f t="shared" si="27"/>
        <v>0</v>
      </c>
      <c r="O381" s="25">
        <f t="shared" si="28"/>
        <v>0</v>
      </c>
      <c r="P381" s="25">
        <f t="shared" si="29"/>
        <v>0</v>
      </c>
      <c r="Q381" s="22"/>
      <c r="R381" s="22"/>
      <c r="S381" s="22"/>
      <c r="T381" s="22"/>
      <c r="U381" s="26">
        <f t="shared" si="30"/>
        <v>0</v>
      </c>
      <c r="V381" s="27"/>
      <c r="W381" s="28"/>
      <c r="X381" s="25" t="str">
        <f>+IF(AND('GRADING PACKING'!L$5=INWARDDATA!J381,'GRADING PACKING'!L$6=INWARDDATA!I381,AB381=0),"TRUE","FALSE")</f>
        <v>FALSE</v>
      </c>
      <c r="Y381" s="29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1"/>
      <c r="AK381" s="31"/>
      <c r="AL381" s="31"/>
      <c r="AM381" s="31"/>
      <c r="AN381" s="32" t="str">
        <f>+IF(AND('GRADING PACKING'!L$5=INWARDDATA!J381,'GRADING PACKING'!L$6=INWARDDATA!I381,AR381=0),"good","bad")</f>
        <v>bad</v>
      </c>
      <c r="AO381" s="33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86"/>
      <c r="BC381" s="86"/>
      <c r="BD381" s="97">
        <f>Table_15[[#This Row],[Wgt-Bag]]-Table_15[[#This Row],[Total Graded]]-Table_15[[#This Row],[UNDERSIZE]]+0.0011</f>
        <v>1.1000000000000001E-3</v>
      </c>
      <c r="BE381" s="86">
        <f>Table_15[[#This Row],[Total Graded]]-Table_15[[#This Row],[Packing Quantity]]+Table_15[[#This Row],[PACKING LOOSE]]</f>
        <v>0</v>
      </c>
      <c r="BF381" s="34">
        <f>IF(Table_15[[#This Row],[GRADED BAGS]]&gt;0,Table_15[[#This Row],[GRADED BAGS]],Table_15[[#This Row],[Bags]])</f>
        <v>0</v>
      </c>
    </row>
    <row r="382" spans="1:58" ht="15.75" hidden="1" customHeight="1" x14ac:dyDescent="0.35">
      <c r="A382" s="22">
        <v>380</v>
      </c>
      <c r="B382" s="22"/>
      <c r="C382" s="23"/>
      <c r="D382" s="23"/>
      <c r="E382" s="24"/>
      <c r="F382" s="23"/>
      <c r="G382" s="100"/>
      <c r="H382" s="101"/>
      <c r="I382" s="102"/>
      <c r="J382" s="102"/>
      <c r="K382" s="233"/>
      <c r="L382" s="22"/>
      <c r="M382" s="25">
        <f t="shared" si="26"/>
        <v>0</v>
      </c>
      <c r="N382" s="25">
        <f t="shared" si="27"/>
        <v>0</v>
      </c>
      <c r="O382" s="25">
        <f t="shared" si="28"/>
        <v>0</v>
      </c>
      <c r="P382" s="25">
        <f t="shared" si="29"/>
        <v>0</v>
      </c>
      <c r="Q382" s="22"/>
      <c r="R382" s="22"/>
      <c r="S382" s="22"/>
      <c r="T382" s="22"/>
      <c r="U382" s="26">
        <f t="shared" si="30"/>
        <v>0</v>
      </c>
      <c r="V382" s="27"/>
      <c r="W382" s="28"/>
      <c r="X382" s="25" t="str">
        <f>+IF(AND('GRADING PACKING'!L$5=INWARDDATA!J382,'GRADING PACKING'!L$6=INWARDDATA!I382,AB382=0),"TRUE","FALSE")</f>
        <v>FALSE</v>
      </c>
      <c r="Y382" s="29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1"/>
      <c r="AK382" s="31"/>
      <c r="AL382" s="31"/>
      <c r="AM382" s="31"/>
      <c r="AN382" s="32" t="str">
        <f>+IF(AND('GRADING PACKING'!L$5=INWARDDATA!J382,'GRADING PACKING'!L$6=INWARDDATA!I382,AR382=0),"good","bad")</f>
        <v>bad</v>
      </c>
      <c r="AO382" s="33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86"/>
      <c r="BC382" s="86"/>
      <c r="BD382" s="97">
        <f>Table_15[[#This Row],[Wgt-Bag]]-Table_15[[#This Row],[Total Graded]]-Table_15[[#This Row],[UNDERSIZE]]+0.0011</f>
        <v>1.1000000000000001E-3</v>
      </c>
      <c r="BE382" s="86">
        <f>Table_15[[#This Row],[Total Graded]]-Table_15[[#This Row],[Packing Quantity]]+Table_15[[#This Row],[PACKING LOOSE]]</f>
        <v>0</v>
      </c>
      <c r="BF382" s="34">
        <f>IF(Table_15[[#This Row],[GRADED BAGS]]&gt;0,Table_15[[#This Row],[GRADED BAGS]],Table_15[[#This Row],[Bags]])</f>
        <v>0</v>
      </c>
    </row>
    <row r="383" spans="1:58" ht="15.75" hidden="1" customHeight="1" x14ac:dyDescent="0.35">
      <c r="A383" s="22">
        <v>381</v>
      </c>
      <c r="B383" s="22"/>
      <c r="C383" s="23"/>
      <c r="D383" s="23"/>
      <c r="E383" s="24"/>
      <c r="F383" s="23"/>
      <c r="G383" s="100"/>
      <c r="H383" s="101"/>
      <c r="I383" s="102"/>
      <c r="J383" s="102"/>
      <c r="K383" s="233"/>
      <c r="L383" s="22"/>
      <c r="M383" s="25">
        <f t="shared" si="26"/>
        <v>0</v>
      </c>
      <c r="N383" s="25">
        <f t="shared" si="27"/>
        <v>0</v>
      </c>
      <c r="O383" s="25">
        <f t="shared" si="28"/>
        <v>0</v>
      </c>
      <c r="P383" s="25">
        <f t="shared" si="29"/>
        <v>0</v>
      </c>
      <c r="Q383" s="22"/>
      <c r="R383" s="22"/>
      <c r="S383" s="22"/>
      <c r="T383" s="22"/>
      <c r="U383" s="26">
        <f t="shared" si="30"/>
        <v>0</v>
      </c>
      <c r="V383" s="27"/>
      <c r="W383" s="28"/>
      <c r="X383" s="25" t="str">
        <f>+IF(AND('GRADING PACKING'!L$5=INWARDDATA!J383,'GRADING PACKING'!L$6=INWARDDATA!I383,AB383=0),"TRUE","FALSE")</f>
        <v>FALSE</v>
      </c>
      <c r="Y383" s="29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1"/>
      <c r="AK383" s="31"/>
      <c r="AL383" s="31"/>
      <c r="AM383" s="31"/>
      <c r="AN383" s="32" t="str">
        <f>+IF(AND('GRADING PACKING'!L$5=INWARDDATA!J383,'GRADING PACKING'!L$6=INWARDDATA!I383,AR383=0),"good","bad")</f>
        <v>bad</v>
      </c>
      <c r="AO383" s="33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86"/>
      <c r="BC383" s="86"/>
      <c r="BD383" s="97">
        <f>Table_15[[#This Row],[Wgt-Bag]]-Table_15[[#This Row],[Total Graded]]-Table_15[[#This Row],[UNDERSIZE]]+0.0011</f>
        <v>1.1000000000000001E-3</v>
      </c>
      <c r="BE383" s="86">
        <f>Table_15[[#This Row],[Total Graded]]-Table_15[[#This Row],[Packing Quantity]]+Table_15[[#This Row],[PACKING LOOSE]]</f>
        <v>0</v>
      </c>
      <c r="BF383" s="34">
        <f>IF(Table_15[[#This Row],[GRADED BAGS]]&gt;0,Table_15[[#This Row],[GRADED BAGS]],Table_15[[#This Row],[Bags]])</f>
        <v>0</v>
      </c>
    </row>
    <row r="384" spans="1:58" ht="15.75" hidden="1" customHeight="1" x14ac:dyDescent="0.35">
      <c r="A384" s="22">
        <v>382</v>
      </c>
      <c r="B384" s="22"/>
      <c r="C384" s="23"/>
      <c r="D384" s="23"/>
      <c r="E384" s="24"/>
      <c r="F384" s="23"/>
      <c r="G384" s="100"/>
      <c r="H384" s="101"/>
      <c r="I384" s="102"/>
      <c r="J384" s="102"/>
      <c r="K384" s="233"/>
      <c r="L384" s="22"/>
      <c r="M384" s="25">
        <f t="shared" si="26"/>
        <v>0</v>
      </c>
      <c r="N384" s="25">
        <f t="shared" si="27"/>
        <v>0</v>
      </c>
      <c r="O384" s="25">
        <f t="shared" si="28"/>
        <v>0</v>
      </c>
      <c r="P384" s="25">
        <f t="shared" si="29"/>
        <v>0</v>
      </c>
      <c r="Q384" s="22"/>
      <c r="R384" s="22"/>
      <c r="S384" s="22"/>
      <c r="T384" s="22"/>
      <c r="U384" s="26">
        <f t="shared" si="30"/>
        <v>0</v>
      </c>
      <c r="V384" s="27"/>
      <c r="W384" s="28"/>
      <c r="X384" s="25" t="str">
        <f>+IF(AND('GRADING PACKING'!L$5=INWARDDATA!J384,'GRADING PACKING'!L$6=INWARDDATA!I384,AB384=0),"TRUE","FALSE")</f>
        <v>FALSE</v>
      </c>
      <c r="Y384" s="29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1"/>
      <c r="AK384" s="31"/>
      <c r="AL384" s="31"/>
      <c r="AM384" s="31"/>
      <c r="AN384" s="32" t="str">
        <f>+IF(AND('GRADING PACKING'!L$5=INWARDDATA!J384,'GRADING PACKING'!L$6=INWARDDATA!I384,AR384=0),"good","bad")</f>
        <v>bad</v>
      </c>
      <c r="AO384" s="33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86"/>
      <c r="BC384" s="86"/>
      <c r="BD384" s="97">
        <f>Table_15[[#This Row],[Wgt-Bag]]-Table_15[[#This Row],[Total Graded]]-Table_15[[#This Row],[UNDERSIZE]]+0.0011</f>
        <v>1.1000000000000001E-3</v>
      </c>
      <c r="BE384" s="86">
        <f>Table_15[[#This Row],[Total Graded]]-Table_15[[#This Row],[Packing Quantity]]+Table_15[[#This Row],[PACKING LOOSE]]</f>
        <v>0</v>
      </c>
      <c r="BF384" s="34">
        <f>IF(Table_15[[#This Row],[GRADED BAGS]]&gt;0,Table_15[[#This Row],[GRADED BAGS]],Table_15[[#This Row],[Bags]])</f>
        <v>0</v>
      </c>
    </row>
    <row r="385" spans="1:58" ht="15.75" hidden="1" customHeight="1" x14ac:dyDescent="0.35">
      <c r="A385" s="22">
        <v>383</v>
      </c>
      <c r="B385" s="22"/>
      <c r="C385" s="23"/>
      <c r="D385" s="23"/>
      <c r="E385" s="24"/>
      <c r="F385" s="23"/>
      <c r="G385" s="100"/>
      <c r="H385" s="101"/>
      <c r="I385" s="102"/>
      <c r="J385" s="102"/>
      <c r="K385" s="233"/>
      <c r="L385" s="22"/>
      <c r="M385" s="25">
        <f t="shared" si="26"/>
        <v>0</v>
      </c>
      <c r="N385" s="25">
        <f t="shared" si="27"/>
        <v>0</v>
      </c>
      <c r="O385" s="25">
        <f t="shared" si="28"/>
        <v>0</v>
      </c>
      <c r="P385" s="25">
        <f t="shared" si="29"/>
        <v>0</v>
      </c>
      <c r="Q385" s="22"/>
      <c r="R385" s="22"/>
      <c r="S385" s="22"/>
      <c r="T385" s="22"/>
      <c r="U385" s="26">
        <f t="shared" si="30"/>
        <v>0</v>
      </c>
      <c r="V385" s="27"/>
      <c r="W385" s="28"/>
      <c r="X385" s="25" t="str">
        <f>+IF(AND('GRADING PACKING'!L$5=INWARDDATA!J385,'GRADING PACKING'!L$6=INWARDDATA!I385,AB385=0),"TRUE","FALSE")</f>
        <v>FALSE</v>
      </c>
      <c r="Y385" s="29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1"/>
      <c r="AK385" s="31"/>
      <c r="AL385" s="31"/>
      <c r="AM385" s="31"/>
      <c r="AN385" s="32" t="str">
        <f>+IF(AND('GRADING PACKING'!L$5=INWARDDATA!J385,'GRADING PACKING'!L$6=INWARDDATA!I385,AR385=0),"good","bad")</f>
        <v>bad</v>
      </c>
      <c r="AO385" s="33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86"/>
      <c r="BC385" s="86"/>
      <c r="BD385" s="97">
        <f>Table_15[[#This Row],[Wgt-Bag]]-Table_15[[#This Row],[Total Graded]]-Table_15[[#This Row],[UNDERSIZE]]+0.0011</f>
        <v>1.1000000000000001E-3</v>
      </c>
      <c r="BE385" s="86">
        <f>Table_15[[#This Row],[Total Graded]]-Table_15[[#This Row],[Packing Quantity]]+Table_15[[#This Row],[PACKING LOOSE]]</f>
        <v>0</v>
      </c>
      <c r="BF385" s="34">
        <f>IF(Table_15[[#This Row],[GRADED BAGS]]&gt;0,Table_15[[#This Row],[GRADED BAGS]],Table_15[[#This Row],[Bags]])</f>
        <v>0</v>
      </c>
    </row>
    <row r="386" spans="1:58" ht="15.75" hidden="1" customHeight="1" x14ac:dyDescent="0.35">
      <c r="A386" s="22">
        <v>384</v>
      </c>
      <c r="B386" s="22"/>
      <c r="C386" s="23"/>
      <c r="D386" s="23"/>
      <c r="E386" s="24"/>
      <c r="F386" s="23"/>
      <c r="G386" s="100"/>
      <c r="H386" s="101"/>
      <c r="I386" s="102"/>
      <c r="J386" s="102"/>
      <c r="K386" s="233"/>
      <c r="L386" s="22"/>
      <c r="M386" s="25">
        <f t="shared" si="26"/>
        <v>0</v>
      </c>
      <c r="N386" s="25">
        <f t="shared" si="27"/>
        <v>0</v>
      </c>
      <c r="O386" s="25">
        <f t="shared" si="28"/>
        <v>0</v>
      </c>
      <c r="P386" s="25">
        <f t="shared" si="29"/>
        <v>0</v>
      </c>
      <c r="Q386" s="22"/>
      <c r="R386" s="22"/>
      <c r="S386" s="22"/>
      <c r="T386" s="22"/>
      <c r="U386" s="26">
        <f t="shared" si="30"/>
        <v>0</v>
      </c>
      <c r="V386" s="27"/>
      <c r="W386" s="28"/>
      <c r="X386" s="25" t="str">
        <f>+IF(AND('GRADING PACKING'!L$5=INWARDDATA!J386,'GRADING PACKING'!L$6=INWARDDATA!I386,AB386=0),"TRUE","FALSE")</f>
        <v>FALSE</v>
      </c>
      <c r="Y386" s="29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1"/>
      <c r="AK386" s="31"/>
      <c r="AL386" s="31"/>
      <c r="AM386" s="31"/>
      <c r="AN386" s="32" t="str">
        <f>+IF(AND('GRADING PACKING'!L$5=INWARDDATA!J386,'GRADING PACKING'!L$6=INWARDDATA!I386,AR386=0),"good","bad")</f>
        <v>bad</v>
      </c>
      <c r="AO386" s="33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86"/>
      <c r="BC386" s="86"/>
      <c r="BD386" s="97">
        <f>Table_15[[#This Row],[Wgt-Bag]]-Table_15[[#This Row],[Total Graded]]-Table_15[[#This Row],[UNDERSIZE]]+0.0011</f>
        <v>1.1000000000000001E-3</v>
      </c>
      <c r="BE386" s="86">
        <f>Table_15[[#This Row],[Total Graded]]-Table_15[[#This Row],[Packing Quantity]]+Table_15[[#This Row],[PACKING LOOSE]]</f>
        <v>0</v>
      </c>
      <c r="BF386" s="34">
        <f>IF(Table_15[[#This Row],[GRADED BAGS]]&gt;0,Table_15[[#This Row],[GRADED BAGS]],Table_15[[#This Row],[Bags]])</f>
        <v>0</v>
      </c>
    </row>
    <row r="387" spans="1:58" ht="15.75" hidden="1" customHeight="1" x14ac:dyDescent="0.35">
      <c r="A387" s="22">
        <v>385</v>
      </c>
      <c r="B387" s="22"/>
      <c r="C387" s="23"/>
      <c r="D387" s="23"/>
      <c r="E387" s="24"/>
      <c r="F387" s="23"/>
      <c r="G387" s="100"/>
      <c r="H387" s="101"/>
      <c r="I387" s="102"/>
      <c r="J387" s="102"/>
      <c r="K387" s="233"/>
      <c r="L387" s="22"/>
      <c r="M387" s="25">
        <f t="shared" ref="M387:M450" si="31">ROUNDUP((K387*L387),0)</f>
        <v>0</v>
      </c>
      <c r="N387" s="25">
        <f t="shared" ref="N387:N450" si="32">(H387-M387)/100</f>
        <v>0</v>
      </c>
      <c r="O387" s="25">
        <f t="shared" ref="O387:O450" si="33">ROUNDUP((H387/90)*0.003,2)</f>
        <v>0</v>
      </c>
      <c r="P387" s="25">
        <f t="shared" ref="P387:P450" si="34">(N387)-O387</f>
        <v>0</v>
      </c>
      <c r="Q387" s="22"/>
      <c r="R387" s="22"/>
      <c r="S387" s="22"/>
      <c r="T387" s="22"/>
      <c r="U387" s="26">
        <f t="shared" ref="U387:U450" si="35">T387*P387</f>
        <v>0</v>
      </c>
      <c r="V387" s="27"/>
      <c r="W387" s="28"/>
      <c r="X387" s="25" t="str">
        <f>+IF(AND('GRADING PACKING'!L$5=INWARDDATA!J387,'GRADING PACKING'!L$6=INWARDDATA!I387,AB387=0),"TRUE","FALSE")</f>
        <v>FALSE</v>
      </c>
      <c r="Y387" s="29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1"/>
      <c r="AK387" s="31"/>
      <c r="AL387" s="31"/>
      <c r="AM387" s="31"/>
      <c r="AN387" s="32" t="str">
        <f>+IF(AND('GRADING PACKING'!L$5=INWARDDATA!J387,'GRADING PACKING'!L$6=INWARDDATA!I387,AR387=0),"good","bad")</f>
        <v>bad</v>
      </c>
      <c r="AO387" s="33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86"/>
      <c r="BC387" s="86"/>
      <c r="BD387" s="97">
        <f>Table_15[[#This Row],[Wgt-Bag]]-Table_15[[#This Row],[Total Graded]]-Table_15[[#This Row],[UNDERSIZE]]+0.0011</f>
        <v>1.1000000000000001E-3</v>
      </c>
      <c r="BE387" s="86">
        <f>Table_15[[#This Row],[Total Graded]]-Table_15[[#This Row],[Packing Quantity]]+Table_15[[#This Row],[PACKING LOOSE]]</f>
        <v>0</v>
      </c>
      <c r="BF387" s="34">
        <f>IF(Table_15[[#This Row],[GRADED BAGS]]&gt;0,Table_15[[#This Row],[GRADED BAGS]],Table_15[[#This Row],[Bags]])</f>
        <v>0</v>
      </c>
    </row>
    <row r="388" spans="1:58" ht="15.75" hidden="1" customHeight="1" x14ac:dyDescent="0.35">
      <c r="A388" s="22">
        <v>386</v>
      </c>
      <c r="B388" s="22"/>
      <c r="C388" s="23"/>
      <c r="D388" s="23"/>
      <c r="E388" s="24"/>
      <c r="F388" s="23"/>
      <c r="G388" s="100"/>
      <c r="H388" s="101"/>
      <c r="I388" s="102"/>
      <c r="J388" s="102"/>
      <c r="K388" s="233"/>
      <c r="L388" s="22"/>
      <c r="M388" s="25">
        <f t="shared" si="31"/>
        <v>0</v>
      </c>
      <c r="N388" s="25">
        <f t="shared" si="32"/>
        <v>0</v>
      </c>
      <c r="O388" s="25">
        <f t="shared" si="33"/>
        <v>0</v>
      </c>
      <c r="P388" s="25">
        <f t="shared" si="34"/>
        <v>0</v>
      </c>
      <c r="Q388" s="22"/>
      <c r="R388" s="22"/>
      <c r="S388" s="22"/>
      <c r="T388" s="22"/>
      <c r="U388" s="26">
        <f t="shared" si="35"/>
        <v>0</v>
      </c>
      <c r="V388" s="27"/>
      <c r="W388" s="28"/>
      <c r="X388" s="25" t="str">
        <f>+IF(AND('GRADING PACKING'!L$5=INWARDDATA!J388,'GRADING PACKING'!L$6=INWARDDATA!I388,AB388=0),"TRUE","FALSE")</f>
        <v>FALSE</v>
      </c>
      <c r="Y388" s="29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1"/>
      <c r="AK388" s="31"/>
      <c r="AL388" s="31"/>
      <c r="AM388" s="31"/>
      <c r="AN388" s="32" t="str">
        <f>+IF(AND('GRADING PACKING'!L$5=INWARDDATA!J388,'GRADING PACKING'!L$6=INWARDDATA!I388,AR388=0),"good","bad")</f>
        <v>bad</v>
      </c>
      <c r="AO388" s="33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86"/>
      <c r="BC388" s="86"/>
      <c r="BD388" s="97">
        <f>Table_15[[#This Row],[Wgt-Bag]]-Table_15[[#This Row],[Total Graded]]-Table_15[[#This Row],[UNDERSIZE]]+0.0011</f>
        <v>1.1000000000000001E-3</v>
      </c>
      <c r="BE388" s="86">
        <f>Table_15[[#This Row],[Total Graded]]-Table_15[[#This Row],[Packing Quantity]]+Table_15[[#This Row],[PACKING LOOSE]]</f>
        <v>0</v>
      </c>
      <c r="BF388" s="34">
        <f>IF(Table_15[[#This Row],[GRADED BAGS]]&gt;0,Table_15[[#This Row],[GRADED BAGS]],Table_15[[#This Row],[Bags]])</f>
        <v>0</v>
      </c>
    </row>
    <row r="389" spans="1:58" ht="15.75" hidden="1" customHeight="1" x14ac:dyDescent="0.35">
      <c r="A389" s="22">
        <v>387</v>
      </c>
      <c r="B389" s="22"/>
      <c r="C389" s="23"/>
      <c r="D389" s="23"/>
      <c r="E389" s="24"/>
      <c r="F389" s="23"/>
      <c r="G389" s="100"/>
      <c r="H389" s="101"/>
      <c r="I389" s="102"/>
      <c r="J389" s="102"/>
      <c r="K389" s="233"/>
      <c r="L389" s="22"/>
      <c r="M389" s="25">
        <f t="shared" si="31"/>
        <v>0</v>
      </c>
      <c r="N389" s="25">
        <f t="shared" si="32"/>
        <v>0</v>
      </c>
      <c r="O389" s="25">
        <f t="shared" si="33"/>
        <v>0</v>
      </c>
      <c r="P389" s="25">
        <f t="shared" si="34"/>
        <v>0</v>
      </c>
      <c r="Q389" s="22"/>
      <c r="R389" s="22"/>
      <c r="S389" s="22"/>
      <c r="T389" s="22"/>
      <c r="U389" s="26">
        <f t="shared" si="35"/>
        <v>0</v>
      </c>
      <c r="V389" s="27"/>
      <c r="W389" s="28"/>
      <c r="X389" s="25" t="str">
        <f>+IF(AND('GRADING PACKING'!L$5=INWARDDATA!J389,'GRADING PACKING'!L$6=INWARDDATA!I389,AB389=0),"TRUE","FALSE")</f>
        <v>FALSE</v>
      </c>
      <c r="Y389" s="29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1"/>
      <c r="AK389" s="31"/>
      <c r="AL389" s="31"/>
      <c r="AM389" s="31"/>
      <c r="AN389" s="32" t="str">
        <f>+IF(AND('GRADING PACKING'!L$5=INWARDDATA!J389,'GRADING PACKING'!L$6=INWARDDATA!I389,AR389=0),"good","bad")</f>
        <v>bad</v>
      </c>
      <c r="AO389" s="33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86"/>
      <c r="BC389" s="86"/>
      <c r="BD389" s="97">
        <f>Table_15[[#This Row],[Wgt-Bag]]-Table_15[[#This Row],[Total Graded]]-Table_15[[#This Row],[UNDERSIZE]]+0.0011</f>
        <v>1.1000000000000001E-3</v>
      </c>
      <c r="BE389" s="86">
        <f>Table_15[[#This Row],[Total Graded]]-Table_15[[#This Row],[Packing Quantity]]+Table_15[[#This Row],[PACKING LOOSE]]</f>
        <v>0</v>
      </c>
      <c r="BF389" s="34">
        <f>IF(Table_15[[#This Row],[GRADED BAGS]]&gt;0,Table_15[[#This Row],[GRADED BAGS]],Table_15[[#This Row],[Bags]])</f>
        <v>0</v>
      </c>
    </row>
    <row r="390" spans="1:58" ht="15.75" hidden="1" customHeight="1" x14ac:dyDescent="0.35">
      <c r="A390" s="22">
        <v>388</v>
      </c>
      <c r="B390" s="22"/>
      <c r="C390" s="23"/>
      <c r="D390" s="23"/>
      <c r="E390" s="24"/>
      <c r="F390" s="23"/>
      <c r="G390" s="100"/>
      <c r="H390" s="101"/>
      <c r="I390" s="102"/>
      <c r="J390" s="102"/>
      <c r="K390" s="233"/>
      <c r="L390" s="22"/>
      <c r="M390" s="25">
        <f t="shared" si="31"/>
        <v>0</v>
      </c>
      <c r="N390" s="25">
        <f t="shared" si="32"/>
        <v>0</v>
      </c>
      <c r="O390" s="25">
        <f t="shared" si="33"/>
        <v>0</v>
      </c>
      <c r="P390" s="25">
        <f t="shared" si="34"/>
        <v>0</v>
      </c>
      <c r="Q390" s="22"/>
      <c r="R390" s="22"/>
      <c r="S390" s="22"/>
      <c r="T390" s="22"/>
      <c r="U390" s="26">
        <f t="shared" si="35"/>
        <v>0</v>
      </c>
      <c r="V390" s="27"/>
      <c r="W390" s="28"/>
      <c r="X390" s="25" t="str">
        <f>+IF(AND('GRADING PACKING'!L$5=INWARDDATA!J390,'GRADING PACKING'!L$6=INWARDDATA!I390,AB390=0),"TRUE","FALSE")</f>
        <v>FALSE</v>
      </c>
      <c r="Y390" s="29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1"/>
      <c r="AK390" s="31"/>
      <c r="AL390" s="31"/>
      <c r="AM390" s="31"/>
      <c r="AN390" s="32" t="str">
        <f>+IF(AND('GRADING PACKING'!L$5=INWARDDATA!J390,'GRADING PACKING'!L$6=INWARDDATA!I390,AR390=0),"good","bad")</f>
        <v>bad</v>
      </c>
      <c r="AO390" s="33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86"/>
      <c r="BC390" s="86"/>
      <c r="BD390" s="97">
        <f>Table_15[[#This Row],[Wgt-Bag]]-Table_15[[#This Row],[Total Graded]]-Table_15[[#This Row],[UNDERSIZE]]+0.0011</f>
        <v>1.1000000000000001E-3</v>
      </c>
      <c r="BE390" s="86">
        <f>Table_15[[#This Row],[Total Graded]]-Table_15[[#This Row],[Packing Quantity]]+Table_15[[#This Row],[PACKING LOOSE]]</f>
        <v>0</v>
      </c>
      <c r="BF390" s="34">
        <f>IF(Table_15[[#This Row],[GRADED BAGS]]&gt;0,Table_15[[#This Row],[GRADED BAGS]],Table_15[[#This Row],[Bags]])</f>
        <v>0</v>
      </c>
    </row>
    <row r="391" spans="1:58" ht="15.75" hidden="1" customHeight="1" x14ac:dyDescent="0.35">
      <c r="A391" s="22">
        <v>389</v>
      </c>
      <c r="B391" s="22"/>
      <c r="C391" s="23"/>
      <c r="D391" s="23"/>
      <c r="E391" s="24"/>
      <c r="F391" s="23"/>
      <c r="G391" s="100"/>
      <c r="H391" s="101"/>
      <c r="I391" s="102"/>
      <c r="J391" s="102"/>
      <c r="K391" s="233"/>
      <c r="L391" s="22"/>
      <c r="M391" s="25">
        <f t="shared" si="31"/>
        <v>0</v>
      </c>
      <c r="N391" s="25">
        <f t="shared" si="32"/>
        <v>0</v>
      </c>
      <c r="O391" s="25">
        <f t="shared" si="33"/>
        <v>0</v>
      </c>
      <c r="P391" s="25">
        <f t="shared" si="34"/>
        <v>0</v>
      </c>
      <c r="Q391" s="22"/>
      <c r="R391" s="22"/>
      <c r="S391" s="22"/>
      <c r="T391" s="22"/>
      <c r="U391" s="26">
        <f t="shared" si="35"/>
        <v>0</v>
      </c>
      <c r="V391" s="27"/>
      <c r="W391" s="28"/>
      <c r="X391" s="25" t="str">
        <f>+IF(AND('GRADING PACKING'!L$5=INWARDDATA!J391,'GRADING PACKING'!L$6=INWARDDATA!I391,AB391=0),"TRUE","FALSE")</f>
        <v>FALSE</v>
      </c>
      <c r="Y391" s="29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1"/>
      <c r="AK391" s="31"/>
      <c r="AL391" s="31"/>
      <c r="AM391" s="31"/>
      <c r="AN391" s="32" t="str">
        <f>+IF(AND('GRADING PACKING'!L$5=INWARDDATA!J391,'GRADING PACKING'!L$6=INWARDDATA!I391,AR391=0),"good","bad")</f>
        <v>bad</v>
      </c>
      <c r="AO391" s="33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86"/>
      <c r="BC391" s="86"/>
      <c r="BD391" s="97">
        <f>Table_15[[#This Row],[Wgt-Bag]]-Table_15[[#This Row],[Total Graded]]-Table_15[[#This Row],[UNDERSIZE]]+0.0011</f>
        <v>1.1000000000000001E-3</v>
      </c>
      <c r="BE391" s="86">
        <f>Table_15[[#This Row],[Total Graded]]-Table_15[[#This Row],[Packing Quantity]]+Table_15[[#This Row],[PACKING LOOSE]]</f>
        <v>0</v>
      </c>
      <c r="BF391" s="34">
        <f>IF(Table_15[[#This Row],[GRADED BAGS]]&gt;0,Table_15[[#This Row],[GRADED BAGS]],Table_15[[#This Row],[Bags]])</f>
        <v>0</v>
      </c>
    </row>
    <row r="392" spans="1:58" ht="15.75" hidden="1" customHeight="1" x14ac:dyDescent="0.35">
      <c r="A392" s="22">
        <v>390</v>
      </c>
      <c r="B392" s="22"/>
      <c r="C392" s="23"/>
      <c r="D392" s="23"/>
      <c r="E392" s="24"/>
      <c r="F392" s="23"/>
      <c r="G392" s="100"/>
      <c r="H392" s="101"/>
      <c r="I392" s="102"/>
      <c r="J392" s="102"/>
      <c r="K392" s="233"/>
      <c r="L392" s="22"/>
      <c r="M392" s="25">
        <f t="shared" si="31"/>
        <v>0</v>
      </c>
      <c r="N392" s="25">
        <f t="shared" si="32"/>
        <v>0</v>
      </c>
      <c r="O392" s="25">
        <f t="shared" si="33"/>
        <v>0</v>
      </c>
      <c r="P392" s="25">
        <f t="shared" si="34"/>
        <v>0</v>
      </c>
      <c r="Q392" s="22"/>
      <c r="R392" s="22"/>
      <c r="S392" s="22"/>
      <c r="T392" s="22"/>
      <c r="U392" s="26">
        <f t="shared" si="35"/>
        <v>0</v>
      </c>
      <c r="V392" s="27"/>
      <c r="W392" s="28"/>
      <c r="X392" s="25" t="str">
        <f>+IF(AND('GRADING PACKING'!L$5=INWARDDATA!J392,'GRADING PACKING'!L$6=INWARDDATA!I392,AB392=0),"TRUE","FALSE")</f>
        <v>FALSE</v>
      </c>
      <c r="Y392" s="29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1"/>
      <c r="AK392" s="31"/>
      <c r="AL392" s="31"/>
      <c r="AM392" s="31"/>
      <c r="AN392" s="32" t="str">
        <f>+IF(AND('GRADING PACKING'!L$5=INWARDDATA!J392,'GRADING PACKING'!L$6=INWARDDATA!I392,AR392=0),"good","bad")</f>
        <v>bad</v>
      </c>
      <c r="AO392" s="33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86"/>
      <c r="BC392" s="86"/>
      <c r="BD392" s="97">
        <f>Table_15[[#This Row],[Wgt-Bag]]-Table_15[[#This Row],[Total Graded]]-Table_15[[#This Row],[UNDERSIZE]]+0.0011</f>
        <v>1.1000000000000001E-3</v>
      </c>
      <c r="BE392" s="86">
        <f>Table_15[[#This Row],[Total Graded]]-Table_15[[#This Row],[Packing Quantity]]+Table_15[[#This Row],[PACKING LOOSE]]</f>
        <v>0</v>
      </c>
      <c r="BF392" s="34">
        <f>IF(Table_15[[#This Row],[GRADED BAGS]]&gt;0,Table_15[[#This Row],[GRADED BAGS]],Table_15[[#This Row],[Bags]])</f>
        <v>0</v>
      </c>
    </row>
    <row r="393" spans="1:58" ht="15.75" hidden="1" customHeight="1" x14ac:dyDescent="0.35">
      <c r="A393" s="22">
        <v>391</v>
      </c>
      <c r="B393" s="22"/>
      <c r="C393" s="23"/>
      <c r="D393" s="23"/>
      <c r="E393" s="24"/>
      <c r="F393" s="23"/>
      <c r="G393" s="100"/>
      <c r="H393" s="101"/>
      <c r="I393" s="102"/>
      <c r="J393" s="102"/>
      <c r="K393" s="233"/>
      <c r="L393" s="22"/>
      <c r="M393" s="25">
        <f t="shared" si="31"/>
        <v>0</v>
      </c>
      <c r="N393" s="25">
        <f t="shared" si="32"/>
        <v>0</v>
      </c>
      <c r="O393" s="25">
        <f t="shared" si="33"/>
        <v>0</v>
      </c>
      <c r="P393" s="25">
        <f t="shared" si="34"/>
        <v>0</v>
      </c>
      <c r="Q393" s="22"/>
      <c r="R393" s="22"/>
      <c r="S393" s="22"/>
      <c r="T393" s="22"/>
      <c r="U393" s="26">
        <f t="shared" si="35"/>
        <v>0</v>
      </c>
      <c r="V393" s="27"/>
      <c r="W393" s="28"/>
      <c r="X393" s="25" t="str">
        <f>+IF(AND('GRADING PACKING'!L$5=INWARDDATA!J393,'GRADING PACKING'!L$6=INWARDDATA!I393,AB393=0),"TRUE","FALSE")</f>
        <v>FALSE</v>
      </c>
      <c r="Y393" s="29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1"/>
      <c r="AK393" s="31"/>
      <c r="AL393" s="31"/>
      <c r="AM393" s="31"/>
      <c r="AN393" s="32" t="str">
        <f>+IF(AND('GRADING PACKING'!L$5=INWARDDATA!J393,'GRADING PACKING'!L$6=INWARDDATA!I393,AR393=0),"good","bad")</f>
        <v>bad</v>
      </c>
      <c r="AO393" s="33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86"/>
      <c r="BC393" s="86"/>
      <c r="BD393" s="97">
        <f>Table_15[[#This Row],[Wgt-Bag]]-Table_15[[#This Row],[Total Graded]]-Table_15[[#This Row],[UNDERSIZE]]+0.0011</f>
        <v>1.1000000000000001E-3</v>
      </c>
      <c r="BE393" s="86">
        <f>Table_15[[#This Row],[Total Graded]]-Table_15[[#This Row],[Packing Quantity]]+Table_15[[#This Row],[PACKING LOOSE]]</f>
        <v>0</v>
      </c>
      <c r="BF393" s="34">
        <f>IF(Table_15[[#This Row],[GRADED BAGS]]&gt;0,Table_15[[#This Row],[GRADED BAGS]],Table_15[[#This Row],[Bags]])</f>
        <v>0</v>
      </c>
    </row>
    <row r="394" spans="1:58" ht="15.75" hidden="1" customHeight="1" x14ac:dyDescent="0.35">
      <c r="A394" s="22">
        <v>392</v>
      </c>
      <c r="B394" s="22"/>
      <c r="C394" s="23"/>
      <c r="D394" s="23"/>
      <c r="E394" s="24"/>
      <c r="F394" s="23"/>
      <c r="G394" s="100"/>
      <c r="H394" s="101"/>
      <c r="I394" s="102"/>
      <c r="J394" s="102"/>
      <c r="K394" s="233"/>
      <c r="L394" s="22"/>
      <c r="M394" s="25">
        <f t="shared" si="31"/>
        <v>0</v>
      </c>
      <c r="N394" s="25">
        <f t="shared" si="32"/>
        <v>0</v>
      </c>
      <c r="O394" s="25">
        <f t="shared" si="33"/>
        <v>0</v>
      </c>
      <c r="P394" s="25">
        <f t="shared" si="34"/>
        <v>0</v>
      </c>
      <c r="Q394" s="22"/>
      <c r="R394" s="22"/>
      <c r="S394" s="22"/>
      <c r="T394" s="22"/>
      <c r="U394" s="26">
        <f t="shared" si="35"/>
        <v>0</v>
      </c>
      <c r="V394" s="27"/>
      <c r="W394" s="28"/>
      <c r="X394" s="25" t="str">
        <f>+IF(AND('GRADING PACKING'!L$5=INWARDDATA!J394,'GRADING PACKING'!L$6=INWARDDATA!I394,AB394=0),"TRUE","FALSE")</f>
        <v>FALSE</v>
      </c>
      <c r="Y394" s="29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1"/>
      <c r="AK394" s="31"/>
      <c r="AL394" s="31"/>
      <c r="AM394" s="31"/>
      <c r="AN394" s="32" t="str">
        <f>+IF(AND('GRADING PACKING'!L$5=INWARDDATA!J394,'GRADING PACKING'!L$6=INWARDDATA!I394,AR394=0),"good","bad")</f>
        <v>bad</v>
      </c>
      <c r="AO394" s="33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86"/>
      <c r="BC394" s="86"/>
      <c r="BD394" s="97">
        <f>Table_15[[#This Row],[Wgt-Bag]]-Table_15[[#This Row],[Total Graded]]-Table_15[[#This Row],[UNDERSIZE]]+0.0011</f>
        <v>1.1000000000000001E-3</v>
      </c>
      <c r="BE394" s="86">
        <f>Table_15[[#This Row],[Total Graded]]-Table_15[[#This Row],[Packing Quantity]]+Table_15[[#This Row],[PACKING LOOSE]]</f>
        <v>0</v>
      </c>
      <c r="BF394" s="34">
        <f>IF(Table_15[[#This Row],[GRADED BAGS]]&gt;0,Table_15[[#This Row],[GRADED BAGS]],Table_15[[#This Row],[Bags]])</f>
        <v>0</v>
      </c>
    </row>
    <row r="395" spans="1:58" ht="15.75" hidden="1" customHeight="1" x14ac:dyDescent="0.35">
      <c r="A395" s="22">
        <v>393</v>
      </c>
      <c r="B395" s="22"/>
      <c r="C395" s="23"/>
      <c r="D395" s="23"/>
      <c r="E395" s="24"/>
      <c r="F395" s="23"/>
      <c r="G395" s="100"/>
      <c r="H395" s="101"/>
      <c r="I395" s="102"/>
      <c r="J395" s="102"/>
      <c r="K395" s="233"/>
      <c r="L395" s="22"/>
      <c r="M395" s="25">
        <f t="shared" si="31"/>
        <v>0</v>
      </c>
      <c r="N395" s="25">
        <f t="shared" si="32"/>
        <v>0</v>
      </c>
      <c r="O395" s="25">
        <f t="shared" si="33"/>
        <v>0</v>
      </c>
      <c r="P395" s="25">
        <f t="shared" si="34"/>
        <v>0</v>
      </c>
      <c r="Q395" s="22"/>
      <c r="R395" s="22"/>
      <c r="S395" s="22"/>
      <c r="T395" s="22"/>
      <c r="U395" s="26">
        <f t="shared" si="35"/>
        <v>0</v>
      </c>
      <c r="V395" s="27"/>
      <c r="W395" s="28"/>
      <c r="X395" s="25" t="str">
        <f>+IF(AND('GRADING PACKING'!L$5=INWARDDATA!J395,'GRADING PACKING'!L$6=INWARDDATA!I395,AB395=0),"TRUE","FALSE")</f>
        <v>FALSE</v>
      </c>
      <c r="Y395" s="29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1"/>
      <c r="AK395" s="31"/>
      <c r="AL395" s="31"/>
      <c r="AM395" s="31"/>
      <c r="AN395" s="32" t="str">
        <f>+IF(AND('GRADING PACKING'!L$5=INWARDDATA!J395,'GRADING PACKING'!L$6=INWARDDATA!I395,AR395=0),"good","bad")</f>
        <v>bad</v>
      </c>
      <c r="AO395" s="33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86"/>
      <c r="BC395" s="86"/>
      <c r="BD395" s="97">
        <f>Table_15[[#This Row],[Wgt-Bag]]-Table_15[[#This Row],[Total Graded]]-Table_15[[#This Row],[UNDERSIZE]]+0.0011</f>
        <v>1.1000000000000001E-3</v>
      </c>
      <c r="BE395" s="86">
        <f>Table_15[[#This Row],[Total Graded]]-Table_15[[#This Row],[Packing Quantity]]+Table_15[[#This Row],[PACKING LOOSE]]</f>
        <v>0</v>
      </c>
      <c r="BF395" s="34">
        <f>IF(Table_15[[#This Row],[GRADED BAGS]]&gt;0,Table_15[[#This Row],[GRADED BAGS]],Table_15[[#This Row],[Bags]])</f>
        <v>0</v>
      </c>
    </row>
    <row r="396" spans="1:58" ht="15.75" hidden="1" customHeight="1" x14ac:dyDescent="0.35">
      <c r="A396" s="22">
        <v>394</v>
      </c>
      <c r="B396" s="22"/>
      <c r="C396" s="23"/>
      <c r="D396" s="23"/>
      <c r="E396" s="24"/>
      <c r="F396" s="23"/>
      <c r="G396" s="100"/>
      <c r="H396" s="101"/>
      <c r="I396" s="102"/>
      <c r="J396" s="102"/>
      <c r="K396" s="233"/>
      <c r="L396" s="22"/>
      <c r="M396" s="25">
        <f t="shared" si="31"/>
        <v>0</v>
      </c>
      <c r="N396" s="25">
        <f t="shared" si="32"/>
        <v>0</v>
      </c>
      <c r="O396" s="25">
        <f t="shared" si="33"/>
        <v>0</v>
      </c>
      <c r="P396" s="25">
        <f t="shared" si="34"/>
        <v>0</v>
      </c>
      <c r="Q396" s="22"/>
      <c r="R396" s="22"/>
      <c r="S396" s="22"/>
      <c r="T396" s="22"/>
      <c r="U396" s="26">
        <f t="shared" si="35"/>
        <v>0</v>
      </c>
      <c r="V396" s="27"/>
      <c r="W396" s="28"/>
      <c r="X396" s="25" t="str">
        <f>+IF(AND('GRADING PACKING'!L$5=INWARDDATA!J396,'GRADING PACKING'!L$6=INWARDDATA!I396,AB396=0),"TRUE","FALSE")</f>
        <v>FALSE</v>
      </c>
      <c r="Y396" s="29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1"/>
      <c r="AK396" s="31"/>
      <c r="AL396" s="31"/>
      <c r="AM396" s="31"/>
      <c r="AN396" s="32" t="str">
        <f>+IF(AND('GRADING PACKING'!L$5=INWARDDATA!J396,'GRADING PACKING'!L$6=INWARDDATA!I396,AR396=0),"good","bad")</f>
        <v>bad</v>
      </c>
      <c r="AO396" s="33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86"/>
      <c r="BC396" s="86"/>
      <c r="BD396" s="97">
        <f>Table_15[[#This Row],[Wgt-Bag]]-Table_15[[#This Row],[Total Graded]]-Table_15[[#This Row],[UNDERSIZE]]+0.0011</f>
        <v>1.1000000000000001E-3</v>
      </c>
      <c r="BE396" s="86">
        <f>Table_15[[#This Row],[Total Graded]]-Table_15[[#This Row],[Packing Quantity]]+Table_15[[#This Row],[PACKING LOOSE]]</f>
        <v>0</v>
      </c>
      <c r="BF396" s="34">
        <f>IF(Table_15[[#This Row],[GRADED BAGS]]&gt;0,Table_15[[#This Row],[GRADED BAGS]],Table_15[[#This Row],[Bags]])</f>
        <v>0</v>
      </c>
    </row>
    <row r="397" spans="1:58" ht="15.75" hidden="1" customHeight="1" x14ac:dyDescent="0.35">
      <c r="A397" s="22">
        <v>395</v>
      </c>
      <c r="B397" s="22"/>
      <c r="C397" s="23"/>
      <c r="D397" s="23"/>
      <c r="E397" s="24"/>
      <c r="F397" s="23"/>
      <c r="G397" s="100"/>
      <c r="H397" s="101"/>
      <c r="I397" s="102"/>
      <c r="J397" s="102"/>
      <c r="K397" s="233"/>
      <c r="L397" s="22"/>
      <c r="M397" s="25">
        <f t="shared" si="31"/>
        <v>0</v>
      </c>
      <c r="N397" s="25">
        <f t="shared" si="32"/>
        <v>0</v>
      </c>
      <c r="O397" s="25">
        <f t="shared" si="33"/>
        <v>0</v>
      </c>
      <c r="P397" s="25">
        <f t="shared" si="34"/>
        <v>0</v>
      </c>
      <c r="Q397" s="22"/>
      <c r="R397" s="22"/>
      <c r="S397" s="22"/>
      <c r="T397" s="22"/>
      <c r="U397" s="26">
        <f t="shared" si="35"/>
        <v>0</v>
      </c>
      <c r="V397" s="27"/>
      <c r="W397" s="28"/>
      <c r="X397" s="25" t="str">
        <f>+IF(AND('GRADING PACKING'!L$5=INWARDDATA!J397,'GRADING PACKING'!L$6=INWARDDATA!I397,AB397=0),"TRUE","FALSE")</f>
        <v>FALSE</v>
      </c>
      <c r="Y397" s="29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1"/>
      <c r="AK397" s="31"/>
      <c r="AL397" s="31"/>
      <c r="AM397" s="31"/>
      <c r="AN397" s="32" t="str">
        <f>+IF(AND('GRADING PACKING'!L$5=INWARDDATA!J397,'GRADING PACKING'!L$6=INWARDDATA!I397,AR397=0),"good","bad")</f>
        <v>bad</v>
      </c>
      <c r="AO397" s="33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86"/>
      <c r="BC397" s="86"/>
      <c r="BD397" s="97">
        <f>Table_15[[#This Row],[Wgt-Bag]]-Table_15[[#This Row],[Total Graded]]-Table_15[[#This Row],[UNDERSIZE]]+0.0011</f>
        <v>1.1000000000000001E-3</v>
      </c>
      <c r="BE397" s="86">
        <f>Table_15[[#This Row],[Total Graded]]-Table_15[[#This Row],[Packing Quantity]]+Table_15[[#This Row],[PACKING LOOSE]]</f>
        <v>0</v>
      </c>
      <c r="BF397" s="34">
        <f>IF(Table_15[[#This Row],[GRADED BAGS]]&gt;0,Table_15[[#This Row],[GRADED BAGS]],Table_15[[#This Row],[Bags]])</f>
        <v>0</v>
      </c>
    </row>
    <row r="398" spans="1:58" ht="15.75" hidden="1" customHeight="1" x14ac:dyDescent="0.35">
      <c r="A398" s="22">
        <v>396</v>
      </c>
      <c r="B398" s="22"/>
      <c r="C398" s="23"/>
      <c r="D398" s="23"/>
      <c r="E398" s="24"/>
      <c r="F398" s="23"/>
      <c r="G398" s="100"/>
      <c r="H398" s="101"/>
      <c r="I398" s="102"/>
      <c r="J398" s="102"/>
      <c r="K398" s="233"/>
      <c r="L398" s="22"/>
      <c r="M398" s="25">
        <f t="shared" si="31"/>
        <v>0</v>
      </c>
      <c r="N398" s="25">
        <f t="shared" si="32"/>
        <v>0</v>
      </c>
      <c r="O398" s="25">
        <f t="shared" si="33"/>
        <v>0</v>
      </c>
      <c r="P398" s="25">
        <f t="shared" si="34"/>
        <v>0</v>
      </c>
      <c r="Q398" s="22"/>
      <c r="R398" s="22"/>
      <c r="S398" s="22"/>
      <c r="T398" s="22"/>
      <c r="U398" s="26">
        <f t="shared" si="35"/>
        <v>0</v>
      </c>
      <c r="V398" s="27"/>
      <c r="W398" s="28"/>
      <c r="X398" s="25" t="str">
        <f>+IF(AND('GRADING PACKING'!L$5=INWARDDATA!J398,'GRADING PACKING'!L$6=INWARDDATA!I398,AB398=0),"TRUE","FALSE")</f>
        <v>FALSE</v>
      </c>
      <c r="Y398" s="29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1"/>
      <c r="AK398" s="31"/>
      <c r="AL398" s="31"/>
      <c r="AM398" s="31"/>
      <c r="AN398" s="32" t="str">
        <f>+IF(AND('GRADING PACKING'!L$5=INWARDDATA!J398,'GRADING PACKING'!L$6=INWARDDATA!I398,AR398=0),"good","bad")</f>
        <v>bad</v>
      </c>
      <c r="AO398" s="33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86"/>
      <c r="BC398" s="86"/>
      <c r="BD398" s="97">
        <f>Table_15[[#This Row],[Wgt-Bag]]-Table_15[[#This Row],[Total Graded]]-Table_15[[#This Row],[UNDERSIZE]]+0.0011</f>
        <v>1.1000000000000001E-3</v>
      </c>
      <c r="BE398" s="86">
        <f>Table_15[[#This Row],[Total Graded]]-Table_15[[#This Row],[Packing Quantity]]+Table_15[[#This Row],[PACKING LOOSE]]</f>
        <v>0</v>
      </c>
      <c r="BF398" s="34">
        <f>IF(Table_15[[#This Row],[GRADED BAGS]]&gt;0,Table_15[[#This Row],[GRADED BAGS]],Table_15[[#This Row],[Bags]])</f>
        <v>0</v>
      </c>
    </row>
    <row r="399" spans="1:58" ht="15.75" hidden="1" customHeight="1" x14ac:dyDescent="0.35">
      <c r="A399" s="22">
        <v>397</v>
      </c>
      <c r="B399" s="22"/>
      <c r="C399" s="23"/>
      <c r="D399" s="23"/>
      <c r="E399" s="24"/>
      <c r="F399" s="23"/>
      <c r="G399" s="100"/>
      <c r="H399" s="101"/>
      <c r="I399" s="102"/>
      <c r="J399" s="102"/>
      <c r="K399" s="233"/>
      <c r="L399" s="22"/>
      <c r="M399" s="25">
        <f t="shared" si="31"/>
        <v>0</v>
      </c>
      <c r="N399" s="25">
        <f t="shared" si="32"/>
        <v>0</v>
      </c>
      <c r="O399" s="25">
        <f t="shared" si="33"/>
        <v>0</v>
      </c>
      <c r="P399" s="25">
        <f t="shared" si="34"/>
        <v>0</v>
      </c>
      <c r="Q399" s="22"/>
      <c r="R399" s="22"/>
      <c r="S399" s="22"/>
      <c r="T399" s="22"/>
      <c r="U399" s="26">
        <f t="shared" si="35"/>
        <v>0</v>
      </c>
      <c r="V399" s="27"/>
      <c r="W399" s="28"/>
      <c r="X399" s="25" t="str">
        <f>+IF(AND('GRADING PACKING'!L$5=INWARDDATA!J399,'GRADING PACKING'!L$6=INWARDDATA!I399,AB399=0),"TRUE","FALSE")</f>
        <v>FALSE</v>
      </c>
      <c r="Y399" s="29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1"/>
      <c r="AK399" s="31"/>
      <c r="AL399" s="31"/>
      <c r="AM399" s="31"/>
      <c r="AN399" s="32" t="str">
        <f>+IF(AND('GRADING PACKING'!L$5=INWARDDATA!J399,'GRADING PACKING'!L$6=INWARDDATA!I399,AR399=0),"good","bad")</f>
        <v>bad</v>
      </c>
      <c r="AO399" s="33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86"/>
      <c r="BC399" s="86"/>
      <c r="BD399" s="97">
        <f>Table_15[[#This Row],[Wgt-Bag]]-Table_15[[#This Row],[Total Graded]]-Table_15[[#This Row],[UNDERSIZE]]+0.0011</f>
        <v>1.1000000000000001E-3</v>
      </c>
      <c r="BE399" s="86">
        <f>Table_15[[#This Row],[Total Graded]]-Table_15[[#This Row],[Packing Quantity]]+Table_15[[#This Row],[PACKING LOOSE]]</f>
        <v>0</v>
      </c>
      <c r="BF399" s="34">
        <f>IF(Table_15[[#This Row],[GRADED BAGS]]&gt;0,Table_15[[#This Row],[GRADED BAGS]],Table_15[[#This Row],[Bags]])</f>
        <v>0</v>
      </c>
    </row>
    <row r="400" spans="1:58" ht="15.75" hidden="1" customHeight="1" x14ac:dyDescent="0.35">
      <c r="A400" s="22">
        <v>398</v>
      </c>
      <c r="B400" s="22"/>
      <c r="C400" s="23"/>
      <c r="D400" s="23"/>
      <c r="E400" s="24"/>
      <c r="F400" s="23"/>
      <c r="G400" s="100"/>
      <c r="H400" s="101"/>
      <c r="I400" s="102"/>
      <c r="J400" s="102"/>
      <c r="K400" s="233"/>
      <c r="L400" s="22"/>
      <c r="M400" s="25">
        <f t="shared" si="31"/>
        <v>0</v>
      </c>
      <c r="N400" s="25">
        <f t="shared" si="32"/>
        <v>0</v>
      </c>
      <c r="O400" s="25">
        <f t="shared" si="33"/>
        <v>0</v>
      </c>
      <c r="P400" s="25">
        <f t="shared" si="34"/>
        <v>0</v>
      </c>
      <c r="Q400" s="22"/>
      <c r="R400" s="22"/>
      <c r="S400" s="22"/>
      <c r="T400" s="22"/>
      <c r="U400" s="26">
        <f t="shared" si="35"/>
        <v>0</v>
      </c>
      <c r="V400" s="27"/>
      <c r="W400" s="28"/>
      <c r="X400" s="25" t="str">
        <f>+IF(AND('GRADING PACKING'!L$5=INWARDDATA!J400,'GRADING PACKING'!L$6=INWARDDATA!I400,AB400=0),"TRUE","FALSE")</f>
        <v>FALSE</v>
      </c>
      <c r="Y400" s="29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1"/>
      <c r="AK400" s="31"/>
      <c r="AL400" s="31"/>
      <c r="AM400" s="31"/>
      <c r="AN400" s="32" t="str">
        <f>+IF(AND('GRADING PACKING'!L$5=INWARDDATA!J400,'GRADING PACKING'!L$6=INWARDDATA!I400,AR400=0),"good","bad")</f>
        <v>bad</v>
      </c>
      <c r="AO400" s="33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86"/>
      <c r="BC400" s="86"/>
      <c r="BD400" s="97">
        <f>Table_15[[#This Row],[Wgt-Bag]]-Table_15[[#This Row],[Total Graded]]-Table_15[[#This Row],[UNDERSIZE]]+0.0011</f>
        <v>1.1000000000000001E-3</v>
      </c>
      <c r="BE400" s="86">
        <f>Table_15[[#This Row],[Total Graded]]-Table_15[[#This Row],[Packing Quantity]]+Table_15[[#This Row],[PACKING LOOSE]]</f>
        <v>0</v>
      </c>
      <c r="BF400" s="34">
        <f>IF(Table_15[[#This Row],[GRADED BAGS]]&gt;0,Table_15[[#This Row],[GRADED BAGS]],Table_15[[#This Row],[Bags]])</f>
        <v>0</v>
      </c>
    </row>
    <row r="401" spans="1:58" ht="15.75" hidden="1" customHeight="1" x14ac:dyDescent="0.35">
      <c r="A401" s="22">
        <v>399</v>
      </c>
      <c r="B401" s="22"/>
      <c r="C401" s="23"/>
      <c r="D401" s="23"/>
      <c r="E401" s="24"/>
      <c r="F401" s="23"/>
      <c r="G401" s="100"/>
      <c r="H401" s="101"/>
      <c r="I401" s="102"/>
      <c r="J401" s="102"/>
      <c r="K401" s="233"/>
      <c r="L401" s="22"/>
      <c r="M401" s="25">
        <f t="shared" si="31"/>
        <v>0</v>
      </c>
      <c r="N401" s="25">
        <f t="shared" si="32"/>
        <v>0</v>
      </c>
      <c r="O401" s="25">
        <f t="shared" si="33"/>
        <v>0</v>
      </c>
      <c r="P401" s="25">
        <f t="shared" si="34"/>
        <v>0</v>
      </c>
      <c r="Q401" s="22"/>
      <c r="R401" s="22"/>
      <c r="S401" s="22"/>
      <c r="T401" s="22"/>
      <c r="U401" s="26">
        <f t="shared" si="35"/>
        <v>0</v>
      </c>
      <c r="V401" s="27"/>
      <c r="W401" s="28"/>
      <c r="X401" s="25" t="str">
        <f>+IF(AND('GRADING PACKING'!L$5=INWARDDATA!J401,'GRADING PACKING'!L$6=INWARDDATA!I401,AB401=0),"TRUE","FALSE")</f>
        <v>FALSE</v>
      </c>
      <c r="Y401" s="29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1"/>
      <c r="AK401" s="31"/>
      <c r="AL401" s="31"/>
      <c r="AM401" s="31"/>
      <c r="AN401" s="32" t="str">
        <f>+IF(AND('GRADING PACKING'!L$5=INWARDDATA!J401,'GRADING PACKING'!L$6=INWARDDATA!I401,AR401=0),"good","bad")</f>
        <v>bad</v>
      </c>
      <c r="AO401" s="33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86"/>
      <c r="BC401" s="86"/>
      <c r="BD401" s="97">
        <f>Table_15[[#This Row],[Wgt-Bag]]-Table_15[[#This Row],[Total Graded]]-Table_15[[#This Row],[UNDERSIZE]]+0.0011</f>
        <v>1.1000000000000001E-3</v>
      </c>
      <c r="BE401" s="86">
        <f>Table_15[[#This Row],[Total Graded]]-Table_15[[#This Row],[Packing Quantity]]+Table_15[[#This Row],[PACKING LOOSE]]</f>
        <v>0</v>
      </c>
      <c r="BF401" s="34">
        <f>IF(Table_15[[#This Row],[GRADED BAGS]]&gt;0,Table_15[[#This Row],[GRADED BAGS]],Table_15[[#This Row],[Bags]])</f>
        <v>0</v>
      </c>
    </row>
    <row r="402" spans="1:58" ht="15.75" hidden="1" customHeight="1" x14ac:dyDescent="0.35">
      <c r="A402" s="22">
        <v>400</v>
      </c>
      <c r="B402" s="22"/>
      <c r="C402" s="23"/>
      <c r="D402" s="23"/>
      <c r="E402" s="24"/>
      <c r="F402" s="23"/>
      <c r="G402" s="100"/>
      <c r="H402" s="101"/>
      <c r="I402" s="102"/>
      <c r="J402" s="102"/>
      <c r="K402" s="233"/>
      <c r="L402" s="22"/>
      <c r="M402" s="25">
        <f t="shared" si="31"/>
        <v>0</v>
      </c>
      <c r="N402" s="25">
        <f t="shared" si="32"/>
        <v>0</v>
      </c>
      <c r="O402" s="25">
        <f t="shared" si="33"/>
        <v>0</v>
      </c>
      <c r="P402" s="25">
        <f t="shared" si="34"/>
        <v>0</v>
      </c>
      <c r="Q402" s="22"/>
      <c r="R402" s="22"/>
      <c r="S402" s="22"/>
      <c r="T402" s="22"/>
      <c r="U402" s="26">
        <f t="shared" si="35"/>
        <v>0</v>
      </c>
      <c r="V402" s="27"/>
      <c r="W402" s="28"/>
      <c r="X402" s="25" t="str">
        <f>+IF(AND('GRADING PACKING'!L$5=INWARDDATA!J402,'GRADING PACKING'!L$6=INWARDDATA!I402,AB402=0),"TRUE","FALSE")</f>
        <v>FALSE</v>
      </c>
      <c r="Y402" s="29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1"/>
      <c r="AK402" s="31"/>
      <c r="AL402" s="31"/>
      <c r="AM402" s="31"/>
      <c r="AN402" s="32" t="str">
        <f>+IF(AND('GRADING PACKING'!L$5=INWARDDATA!J402,'GRADING PACKING'!L$6=INWARDDATA!I402,AR402=0),"good","bad")</f>
        <v>bad</v>
      </c>
      <c r="AO402" s="33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86"/>
      <c r="BC402" s="86"/>
      <c r="BD402" s="97">
        <f>Table_15[[#This Row],[Wgt-Bag]]-Table_15[[#This Row],[Total Graded]]-Table_15[[#This Row],[UNDERSIZE]]+0.0011</f>
        <v>1.1000000000000001E-3</v>
      </c>
      <c r="BE402" s="86">
        <f>Table_15[[#This Row],[Total Graded]]-Table_15[[#This Row],[Packing Quantity]]+Table_15[[#This Row],[PACKING LOOSE]]</f>
        <v>0</v>
      </c>
      <c r="BF402" s="34">
        <f>IF(Table_15[[#This Row],[GRADED BAGS]]&gt;0,Table_15[[#This Row],[GRADED BAGS]],Table_15[[#This Row],[Bags]])</f>
        <v>0</v>
      </c>
    </row>
    <row r="403" spans="1:58" ht="15.75" hidden="1" customHeight="1" x14ac:dyDescent="0.35">
      <c r="A403" s="22">
        <v>401</v>
      </c>
      <c r="B403" s="22"/>
      <c r="C403" s="23"/>
      <c r="D403" s="23"/>
      <c r="E403" s="24"/>
      <c r="F403" s="23"/>
      <c r="G403" s="100"/>
      <c r="H403" s="101"/>
      <c r="I403" s="102"/>
      <c r="J403" s="102"/>
      <c r="K403" s="233"/>
      <c r="L403" s="22"/>
      <c r="M403" s="25">
        <f t="shared" si="31"/>
        <v>0</v>
      </c>
      <c r="N403" s="25">
        <f t="shared" si="32"/>
        <v>0</v>
      </c>
      <c r="O403" s="25">
        <f t="shared" si="33"/>
        <v>0</v>
      </c>
      <c r="P403" s="25">
        <f t="shared" si="34"/>
        <v>0</v>
      </c>
      <c r="Q403" s="22"/>
      <c r="R403" s="22"/>
      <c r="S403" s="22"/>
      <c r="T403" s="22"/>
      <c r="U403" s="26">
        <f t="shared" si="35"/>
        <v>0</v>
      </c>
      <c r="V403" s="27"/>
      <c r="W403" s="28"/>
      <c r="X403" s="25" t="str">
        <f>+IF(AND('GRADING PACKING'!L$5=INWARDDATA!J403,'GRADING PACKING'!L$6=INWARDDATA!I403,AB403=0),"TRUE","FALSE")</f>
        <v>FALSE</v>
      </c>
      <c r="Y403" s="29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1"/>
      <c r="AK403" s="31"/>
      <c r="AL403" s="31"/>
      <c r="AM403" s="31"/>
      <c r="AN403" s="32" t="str">
        <f>+IF(AND('GRADING PACKING'!L$5=INWARDDATA!J403,'GRADING PACKING'!L$6=INWARDDATA!I403,AR403=0),"good","bad")</f>
        <v>bad</v>
      </c>
      <c r="AO403" s="33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86"/>
      <c r="BC403" s="86"/>
      <c r="BD403" s="97">
        <f>Table_15[[#This Row],[Wgt-Bag]]-Table_15[[#This Row],[Total Graded]]-Table_15[[#This Row],[UNDERSIZE]]+0.0011</f>
        <v>1.1000000000000001E-3</v>
      </c>
      <c r="BE403" s="86">
        <f>Table_15[[#This Row],[Total Graded]]-Table_15[[#This Row],[Packing Quantity]]+Table_15[[#This Row],[PACKING LOOSE]]</f>
        <v>0</v>
      </c>
      <c r="BF403" s="34">
        <f>IF(Table_15[[#This Row],[GRADED BAGS]]&gt;0,Table_15[[#This Row],[GRADED BAGS]],Table_15[[#This Row],[Bags]])</f>
        <v>0</v>
      </c>
    </row>
    <row r="404" spans="1:58" ht="15.75" hidden="1" customHeight="1" x14ac:dyDescent="0.35">
      <c r="A404" s="22">
        <v>402</v>
      </c>
      <c r="B404" s="22"/>
      <c r="C404" s="23"/>
      <c r="D404" s="23"/>
      <c r="E404" s="24"/>
      <c r="F404" s="23"/>
      <c r="G404" s="100"/>
      <c r="H404" s="101"/>
      <c r="I404" s="102"/>
      <c r="J404" s="102"/>
      <c r="K404" s="233"/>
      <c r="L404" s="22"/>
      <c r="M404" s="25">
        <f t="shared" si="31"/>
        <v>0</v>
      </c>
      <c r="N404" s="25">
        <f t="shared" si="32"/>
        <v>0</v>
      </c>
      <c r="O404" s="25">
        <f t="shared" si="33"/>
        <v>0</v>
      </c>
      <c r="P404" s="25">
        <f t="shared" si="34"/>
        <v>0</v>
      </c>
      <c r="Q404" s="22"/>
      <c r="R404" s="22"/>
      <c r="S404" s="22"/>
      <c r="T404" s="22"/>
      <c r="U404" s="26">
        <f t="shared" si="35"/>
        <v>0</v>
      </c>
      <c r="V404" s="27"/>
      <c r="W404" s="28"/>
      <c r="X404" s="25" t="str">
        <f>+IF(AND('GRADING PACKING'!L$5=INWARDDATA!J404,'GRADING PACKING'!L$6=INWARDDATA!I404,AB404=0),"TRUE","FALSE")</f>
        <v>FALSE</v>
      </c>
      <c r="Y404" s="29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1"/>
      <c r="AK404" s="31"/>
      <c r="AL404" s="31"/>
      <c r="AM404" s="31"/>
      <c r="AN404" s="32" t="str">
        <f>+IF(AND('GRADING PACKING'!L$5=INWARDDATA!J404,'GRADING PACKING'!L$6=INWARDDATA!I404,AR404=0),"good","bad")</f>
        <v>bad</v>
      </c>
      <c r="AO404" s="33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86"/>
      <c r="BC404" s="86"/>
      <c r="BD404" s="97">
        <f>Table_15[[#This Row],[Wgt-Bag]]-Table_15[[#This Row],[Total Graded]]-Table_15[[#This Row],[UNDERSIZE]]+0.0011</f>
        <v>1.1000000000000001E-3</v>
      </c>
      <c r="BE404" s="86">
        <f>Table_15[[#This Row],[Total Graded]]-Table_15[[#This Row],[Packing Quantity]]+Table_15[[#This Row],[PACKING LOOSE]]</f>
        <v>0</v>
      </c>
      <c r="BF404" s="34">
        <f>IF(Table_15[[#This Row],[GRADED BAGS]]&gt;0,Table_15[[#This Row],[GRADED BAGS]],Table_15[[#This Row],[Bags]])</f>
        <v>0</v>
      </c>
    </row>
    <row r="405" spans="1:58" ht="15.75" hidden="1" customHeight="1" x14ac:dyDescent="0.35">
      <c r="A405" s="22">
        <v>403</v>
      </c>
      <c r="B405" s="22"/>
      <c r="C405" s="23"/>
      <c r="D405" s="23"/>
      <c r="E405" s="24"/>
      <c r="F405" s="23"/>
      <c r="G405" s="100"/>
      <c r="H405" s="101"/>
      <c r="I405" s="102"/>
      <c r="J405" s="102"/>
      <c r="K405" s="233"/>
      <c r="L405" s="22"/>
      <c r="M405" s="25">
        <f t="shared" si="31"/>
        <v>0</v>
      </c>
      <c r="N405" s="25">
        <f t="shared" si="32"/>
        <v>0</v>
      </c>
      <c r="O405" s="25">
        <f t="shared" si="33"/>
        <v>0</v>
      </c>
      <c r="P405" s="25">
        <f t="shared" si="34"/>
        <v>0</v>
      </c>
      <c r="Q405" s="22"/>
      <c r="R405" s="22"/>
      <c r="S405" s="22"/>
      <c r="T405" s="22"/>
      <c r="U405" s="26">
        <f t="shared" si="35"/>
        <v>0</v>
      </c>
      <c r="V405" s="27"/>
      <c r="W405" s="28"/>
      <c r="X405" s="25" t="str">
        <f>+IF(AND('GRADING PACKING'!L$5=INWARDDATA!J405,'GRADING PACKING'!L$6=INWARDDATA!I405,AB405=0),"TRUE","FALSE")</f>
        <v>FALSE</v>
      </c>
      <c r="Y405" s="29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1"/>
      <c r="AK405" s="31"/>
      <c r="AL405" s="31"/>
      <c r="AM405" s="31"/>
      <c r="AN405" s="32" t="str">
        <f>+IF(AND('GRADING PACKING'!L$5=INWARDDATA!J405,'GRADING PACKING'!L$6=INWARDDATA!I405,AR405=0),"good","bad")</f>
        <v>bad</v>
      </c>
      <c r="AO405" s="33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86"/>
      <c r="BC405" s="86"/>
      <c r="BD405" s="97">
        <f>Table_15[[#This Row],[Wgt-Bag]]-Table_15[[#This Row],[Total Graded]]-Table_15[[#This Row],[UNDERSIZE]]+0.0011</f>
        <v>1.1000000000000001E-3</v>
      </c>
      <c r="BE405" s="86">
        <f>Table_15[[#This Row],[Total Graded]]-Table_15[[#This Row],[Packing Quantity]]+Table_15[[#This Row],[PACKING LOOSE]]</f>
        <v>0</v>
      </c>
      <c r="BF405" s="34">
        <f>IF(Table_15[[#This Row],[GRADED BAGS]]&gt;0,Table_15[[#This Row],[GRADED BAGS]],Table_15[[#This Row],[Bags]])</f>
        <v>0</v>
      </c>
    </row>
    <row r="406" spans="1:58" ht="15.75" hidden="1" customHeight="1" x14ac:dyDescent="0.35">
      <c r="A406" s="22">
        <v>404</v>
      </c>
      <c r="B406" s="22"/>
      <c r="C406" s="23"/>
      <c r="D406" s="23"/>
      <c r="E406" s="24"/>
      <c r="F406" s="23"/>
      <c r="G406" s="100"/>
      <c r="H406" s="101"/>
      <c r="I406" s="102"/>
      <c r="J406" s="102"/>
      <c r="K406" s="233"/>
      <c r="L406" s="22"/>
      <c r="M406" s="25">
        <f t="shared" si="31"/>
        <v>0</v>
      </c>
      <c r="N406" s="25">
        <f t="shared" si="32"/>
        <v>0</v>
      </c>
      <c r="O406" s="25">
        <f t="shared" si="33"/>
        <v>0</v>
      </c>
      <c r="P406" s="25">
        <f t="shared" si="34"/>
        <v>0</v>
      </c>
      <c r="Q406" s="22"/>
      <c r="R406" s="22"/>
      <c r="S406" s="22"/>
      <c r="T406" s="22"/>
      <c r="U406" s="26">
        <f t="shared" si="35"/>
        <v>0</v>
      </c>
      <c r="V406" s="27"/>
      <c r="W406" s="28"/>
      <c r="X406" s="25" t="str">
        <f>+IF(AND('GRADING PACKING'!L$5=INWARDDATA!J406,'GRADING PACKING'!L$6=INWARDDATA!I406,AB406=0),"TRUE","FALSE")</f>
        <v>FALSE</v>
      </c>
      <c r="Y406" s="29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1"/>
      <c r="AK406" s="31"/>
      <c r="AL406" s="31"/>
      <c r="AM406" s="31"/>
      <c r="AN406" s="32" t="str">
        <f>+IF(AND('GRADING PACKING'!L$5=INWARDDATA!J406,'GRADING PACKING'!L$6=INWARDDATA!I406,AR406=0),"good","bad")</f>
        <v>bad</v>
      </c>
      <c r="AO406" s="33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86"/>
      <c r="BC406" s="86"/>
      <c r="BD406" s="97">
        <f>Table_15[[#This Row],[Wgt-Bag]]-Table_15[[#This Row],[Total Graded]]-Table_15[[#This Row],[UNDERSIZE]]+0.0011</f>
        <v>1.1000000000000001E-3</v>
      </c>
      <c r="BE406" s="86">
        <f>Table_15[[#This Row],[Total Graded]]-Table_15[[#This Row],[Packing Quantity]]+Table_15[[#This Row],[PACKING LOOSE]]</f>
        <v>0</v>
      </c>
      <c r="BF406" s="34">
        <f>IF(Table_15[[#This Row],[GRADED BAGS]]&gt;0,Table_15[[#This Row],[GRADED BAGS]],Table_15[[#This Row],[Bags]])</f>
        <v>0</v>
      </c>
    </row>
    <row r="407" spans="1:58" ht="15.75" hidden="1" customHeight="1" x14ac:dyDescent="0.35">
      <c r="A407" s="22">
        <v>405</v>
      </c>
      <c r="B407" s="22"/>
      <c r="C407" s="23"/>
      <c r="D407" s="23"/>
      <c r="E407" s="24"/>
      <c r="F407" s="23"/>
      <c r="G407" s="100"/>
      <c r="H407" s="101"/>
      <c r="I407" s="102"/>
      <c r="J407" s="102"/>
      <c r="K407" s="233"/>
      <c r="L407" s="22"/>
      <c r="M407" s="25">
        <f t="shared" si="31"/>
        <v>0</v>
      </c>
      <c r="N407" s="25">
        <f t="shared" si="32"/>
        <v>0</v>
      </c>
      <c r="O407" s="25">
        <f t="shared" si="33"/>
        <v>0</v>
      </c>
      <c r="P407" s="25">
        <f t="shared" si="34"/>
        <v>0</v>
      </c>
      <c r="Q407" s="22"/>
      <c r="R407" s="22"/>
      <c r="S407" s="22"/>
      <c r="T407" s="22"/>
      <c r="U407" s="26">
        <f t="shared" si="35"/>
        <v>0</v>
      </c>
      <c r="V407" s="27"/>
      <c r="W407" s="28"/>
      <c r="X407" s="25" t="str">
        <f>+IF(AND('GRADING PACKING'!L$5=INWARDDATA!J407,'GRADING PACKING'!L$6=INWARDDATA!I407,AB407=0),"TRUE","FALSE")</f>
        <v>FALSE</v>
      </c>
      <c r="Y407" s="29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1"/>
      <c r="AK407" s="31"/>
      <c r="AL407" s="31"/>
      <c r="AM407" s="31"/>
      <c r="AN407" s="32" t="str">
        <f>+IF(AND('GRADING PACKING'!L$5=INWARDDATA!J407,'GRADING PACKING'!L$6=INWARDDATA!I407,AR407=0),"good","bad")</f>
        <v>bad</v>
      </c>
      <c r="AO407" s="33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86"/>
      <c r="BC407" s="86"/>
      <c r="BD407" s="97">
        <f>Table_15[[#This Row],[Wgt-Bag]]-Table_15[[#This Row],[Total Graded]]-Table_15[[#This Row],[UNDERSIZE]]+0.0011</f>
        <v>1.1000000000000001E-3</v>
      </c>
      <c r="BE407" s="86">
        <f>Table_15[[#This Row],[Total Graded]]-Table_15[[#This Row],[Packing Quantity]]+Table_15[[#This Row],[PACKING LOOSE]]</f>
        <v>0</v>
      </c>
      <c r="BF407" s="34">
        <f>IF(Table_15[[#This Row],[GRADED BAGS]]&gt;0,Table_15[[#This Row],[GRADED BAGS]],Table_15[[#This Row],[Bags]])</f>
        <v>0</v>
      </c>
    </row>
    <row r="408" spans="1:58" ht="15.75" hidden="1" customHeight="1" x14ac:dyDescent="0.35">
      <c r="A408" s="22">
        <v>406</v>
      </c>
      <c r="B408" s="22"/>
      <c r="C408" s="23"/>
      <c r="D408" s="23"/>
      <c r="E408" s="24"/>
      <c r="F408" s="23"/>
      <c r="G408" s="100"/>
      <c r="H408" s="101"/>
      <c r="I408" s="102"/>
      <c r="J408" s="102"/>
      <c r="K408" s="233"/>
      <c r="L408" s="22"/>
      <c r="M408" s="25">
        <f t="shared" si="31"/>
        <v>0</v>
      </c>
      <c r="N408" s="25">
        <f t="shared" si="32"/>
        <v>0</v>
      </c>
      <c r="O408" s="25">
        <f t="shared" si="33"/>
        <v>0</v>
      </c>
      <c r="P408" s="25">
        <f t="shared" si="34"/>
        <v>0</v>
      </c>
      <c r="Q408" s="22"/>
      <c r="R408" s="22"/>
      <c r="S408" s="22"/>
      <c r="T408" s="22"/>
      <c r="U408" s="26">
        <f t="shared" si="35"/>
        <v>0</v>
      </c>
      <c r="V408" s="27"/>
      <c r="W408" s="28"/>
      <c r="X408" s="25" t="str">
        <f>+IF(AND('GRADING PACKING'!L$5=INWARDDATA!J408,'GRADING PACKING'!L$6=INWARDDATA!I408,AB408=0),"TRUE","FALSE")</f>
        <v>FALSE</v>
      </c>
      <c r="Y408" s="29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1"/>
      <c r="AK408" s="31"/>
      <c r="AL408" s="31"/>
      <c r="AM408" s="31"/>
      <c r="AN408" s="32" t="str">
        <f>+IF(AND('GRADING PACKING'!L$5=INWARDDATA!J408,'GRADING PACKING'!L$6=INWARDDATA!I408,AR408=0),"good","bad")</f>
        <v>bad</v>
      </c>
      <c r="AO408" s="33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86"/>
      <c r="BC408" s="86"/>
      <c r="BD408" s="97">
        <f>Table_15[[#This Row],[Wgt-Bag]]-Table_15[[#This Row],[Total Graded]]-Table_15[[#This Row],[UNDERSIZE]]+0.0011</f>
        <v>1.1000000000000001E-3</v>
      </c>
      <c r="BE408" s="86">
        <f>Table_15[[#This Row],[Total Graded]]-Table_15[[#This Row],[Packing Quantity]]+Table_15[[#This Row],[PACKING LOOSE]]</f>
        <v>0</v>
      </c>
      <c r="BF408" s="34">
        <f>IF(Table_15[[#This Row],[GRADED BAGS]]&gt;0,Table_15[[#This Row],[GRADED BAGS]],Table_15[[#This Row],[Bags]])</f>
        <v>0</v>
      </c>
    </row>
    <row r="409" spans="1:58" ht="15.75" hidden="1" customHeight="1" x14ac:dyDescent="0.35">
      <c r="A409" s="22">
        <v>407</v>
      </c>
      <c r="B409" s="22"/>
      <c r="C409" s="23"/>
      <c r="D409" s="23"/>
      <c r="E409" s="24"/>
      <c r="F409" s="23"/>
      <c r="G409" s="100"/>
      <c r="H409" s="101"/>
      <c r="I409" s="102"/>
      <c r="J409" s="102"/>
      <c r="K409" s="233"/>
      <c r="L409" s="22"/>
      <c r="M409" s="25">
        <f t="shared" si="31"/>
        <v>0</v>
      </c>
      <c r="N409" s="25">
        <f t="shared" si="32"/>
        <v>0</v>
      </c>
      <c r="O409" s="25">
        <f t="shared" si="33"/>
        <v>0</v>
      </c>
      <c r="P409" s="25">
        <f t="shared" si="34"/>
        <v>0</v>
      </c>
      <c r="Q409" s="22"/>
      <c r="R409" s="22"/>
      <c r="S409" s="22"/>
      <c r="T409" s="22"/>
      <c r="U409" s="26">
        <f t="shared" si="35"/>
        <v>0</v>
      </c>
      <c r="V409" s="27"/>
      <c r="W409" s="28"/>
      <c r="X409" s="25" t="str">
        <f>+IF(AND('GRADING PACKING'!L$5=INWARDDATA!J409,'GRADING PACKING'!L$6=INWARDDATA!I409,AB409=0),"TRUE","FALSE")</f>
        <v>FALSE</v>
      </c>
      <c r="Y409" s="29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1"/>
      <c r="AK409" s="31"/>
      <c r="AL409" s="31"/>
      <c r="AM409" s="31"/>
      <c r="AN409" s="32" t="str">
        <f>+IF(AND('GRADING PACKING'!L$5=INWARDDATA!J409,'GRADING PACKING'!L$6=INWARDDATA!I409,AR409=0),"good","bad")</f>
        <v>bad</v>
      </c>
      <c r="AO409" s="33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86"/>
      <c r="BC409" s="86"/>
      <c r="BD409" s="97">
        <f>Table_15[[#This Row],[Wgt-Bag]]-Table_15[[#This Row],[Total Graded]]-Table_15[[#This Row],[UNDERSIZE]]+0.0011</f>
        <v>1.1000000000000001E-3</v>
      </c>
      <c r="BE409" s="86">
        <f>Table_15[[#This Row],[Total Graded]]-Table_15[[#This Row],[Packing Quantity]]+Table_15[[#This Row],[PACKING LOOSE]]</f>
        <v>0</v>
      </c>
      <c r="BF409" s="34">
        <f>IF(Table_15[[#This Row],[GRADED BAGS]]&gt;0,Table_15[[#This Row],[GRADED BAGS]],Table_15[[#This Row],[Bags]])</f>
        <v>0</v>
      </c>
    </row>
    <row r="410" spans="1:58" ht="15.75" hidden="1" customHeight="1" x14ac:dyDescent="0.35">
      <c r="A410" s="22">
        <v>408</v>
      </c>
      <c r="B410" s="22"/>
      <c r="C410" s="23"/>
      <c r="D410" s="23"/>
      <c r="E410" s="24"/>
      <c r="F410" s="23"/>
      <c r="G410" s="100"/>
      <c r="H410" s="101"/>
      <c r="I410" s="102"/>
      <c r="J410" s="102"/>
      <c r="K410" s="233"/>
      <c r="L410" s="22"/>
      <c r="M410" s="25">
        <f t="shared" si="31"/>
        <v>0</v>
      </c>
      <c r="N410" s="25">
        <f t="shared" si="32"/>
        <v>0</v>
      </c>
      <c r="O410" s="25">
        <f t="shared" si="33"/>
        <v>0</v>
      </c>
      <c r="P410" s="25">
        <f t="shared" si="34"/>
        <v>0</v>
      </c>
      <c r="Q410" s="22"/>
      <c r="R410" s="22"/>
      <c r="S410" s="22"/>
      <c r="T410" s="22"/>
      <c r="U410" s="26">
        <f t="shared" si="35"/>
        <v>0</v>
      </c>
      <c r="V410" s="27"/>
      <c r="W410" s="28"/>
      <c r="X410" s="25" t="str">
        <f>+IF(AND('GRADING PACKING'!L$5=INWARDDATA!J410,'GRADING PACKING'!L$6=INWARDDATA!I410,AB410=0),"TRUE","FALSE")</f>
        <v>FALSE</v>
      </c>
      <c r="Y410" s="29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1"/>
      <c r="AK410" s="31"/>
      <c r="AL410" s="31"/>
      <c r="AM410" s="31"/>
      <c r="AN410" s="32" t="str">
        <f>+IF(AND('GRADING PACKING'!L$5=INWARDDATA!J410,'GRADING PACKING'!L$6=INWARDDATA!I410,AR410=0),"good","bad")</f>
        <v>bad</v>
      </c>
      <c r="AO410" s="33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86"/>
      <c r="BC410" s="86"/>
      <c r="BD410" s="97">
        <f>Table_15[[#This Row],[Wgt-Bag]]-Table_15[[#This Row],[Total Graded]]-Table_15[[#This Row],[UNDERSIZE]]+0.0011</f>
        <v>1.1000000000000001E-3</v>
      </c>
      <c r="BE410" s="86">
        <f>Table_15[[#This Row],[Total Graded]]-Table_15[[#This Row],[Packing Quantity]]+Table_15[[#This Row],[PACKING LOOSE]]</f>
        <v>0</v>
      </c>
      <c r="BF410" s="34">
        <f>IF(Table_15[[#This Row],[GRADED BAGS]]&gt;0,Table_15[[#This Row],[GRADED BAGS]],Table_15[[#This Row],[Bags]])</f>
        <v>0</v>
      </c>
    </row>
    <row r="411" spans="1:58" ht="15.75" hidden="1" customHeight="1" x14ac:dyDescent="0.35">
      <c r="A411" s="22">
        <v>409</v>
      </c>
      <c r="B411" s="22"/>
      <c r="C411" s="23"/>
      <c r="D411" s="23"/>
      <c r="E411" s="24"/>
      <c r="F411" s="23"/>
      <c r="G411" s="100"/>
      <c r="H411" s="101"/>
      <c r="I411" s="102"/>
      <c r="J411" s="102"/>
      <c r="K411" s="233"/>
      <c r="L411" s="22"/>
      <c r="M411" s="25">
        <f t="shared" si="31"/>
        <v>0</v>
      </c>
      <c r="N411" s="25">
        <f t="shared" si="32"/>
        <v>0</v>
      </c>
      <c r="O411" s="25">
        <f t="shared" si="33"/>
        <v>0</v>
      </c>
      <c r="P411" s="25">
        <f t="shared" si="34"/>
        <v>0</v>
      </c>
      <c r="Q411" s="22"/>
      <c r="R411" s="22"/>
      <c r="S411" s="22"/>
      <c r="T411" s="22"/>
      <c r="U411" s="26">
        <f t="shared" si="35"/>
        <v>0</v>
      </c>
      <c r="V411" s="27"/>
      <c r="W411" s="28"/>
      <c r="X411" s="25" t="str">
        <f>+IF(AND('GRADING PACKING'!L$5=INWARDDATA!J411,'GRADING PACKING'!L$6=INWARDDATA!I411,AB411=0),"TRUE","FALSE")</f>
        <v>FALSE</v>
      </c>
      <c r="Y411" s="29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1"/>
      <c r="AK411" s="31"/>
      <c r="AL411" s="31"/>
      <c r="AM411" s="31"/>
      <c r="AN411" s="32" t="str">
        <f>+IF(AND('GRADING PACKING'!L$5=INWARDDATA!J411,'GRADING PACKING'!L$6=INWARDDATA!I411,AR411=0),"good","bad")</f>
        <v>bad</v>
      </c>
      <c r="AO411" s="33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86"/>
      <c r="BC411" s="86"/>
      <c r="BD411" s="97">
        <f>Table_15[[#This Row],[Wgt-Bag]]-Table_15[[#This Row],[Total Graded]]-Table_15[[#This Row],[UNDERSIZE]]+0.0011</f>
        <v>1.1000000000000001E-3</v>
      </c>
      <c r="BE411" s="86">
        <f>Table_15[[#This Row],[Total Graded]]-Table_15[[#This Row],[Packing Quantity]]+Table_15[[#This Row],[PACKING LOOSE]]</f>
        <v>0</v>
      </c>
      <c r="BF411" s="34">
        <f>IF(Table_15[[#This Row],[GRADED BAGS]]&gt;0,Table_15[[#This Row],[GRADED BAGS]],Table_15[[#This Row],[Bags]])</f>
        <v>0</v>
      </c>
    </row>
    <row r="412" spans="1:58" ht="15.75" hidden="1" customHeight="1" x14ac:dyDescent="0.35">
      <c r="A412" s="22">
        <v>410</v>
      </c>
      <c r="B412" s="22"/>
      <c r="C412" s="23"/>
      <c r="D412" s="23"/>
      <c r="E412" s="24"/>
      <c r="F412" s="23"/>
      <c r="G412" s="100"/>
      <c r="H412" s="101"/>
      <c r="I412" s="102"/>
      <c r="J412" s="102"/>
      <c r="K412" s="233"/>
      <c r="L412" s="22"/>
      <c r="M412" s="25">
        <f t="shared" si="31"/>
        <v>0</v>
      </c>
      <c r="N412" s="25">
        <f t="shared" si="32"/>
        <v>0</v>
      </c>
      <c r="O412" s="25">
        <f t="shared" si="33"/>
        <v>0</v>
      </c>
      <c r="P412" s="25">
        <f t="shared" si="34"/>
        <v>0</v>
      </c>
      <c r="Q412" s="22"/>
      <c r="R412" s="22"/>
      <c r="S412" s="22"/>
      <c r="T412" s="22"/>
      <c r="U412" s="26">
        <f t="shared" si="35"/>
        <v>0</v>
      </c>
      <c r="V412" s="27"/>
      <c r="W412" s="28"/>
      <c r="X412" s="25" t="str">
        <f>+IF(AND('GRADING PACKING'!L$5=INWARDDATA!J412,'GRADING PACKING'!L$6=INWARDDATA!I412,AB412=0),"TRUE","FALSE")</f>
        <v>FALSE</v>
      </c>
      <c r="Y412" s="29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1"/>
      <c r="AK412" s="31"/>
      <c r="AL412" s="31"/>
      <c r="AM412" s="31"/>
      <c r="AN412" s="32" t="str">
        <f>+IF(AND('GRADING PACKING'!L$5=INWARDDATA!J412,'GRADING PACKING'!L$6=INWARDDATA!I412,AR412=0),"good","bad")</f>
        <v>bad</v>
      </c>
      <c r="AO412" s="33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86"/>
      <c r="BC412" s="86"/>
      <c r="BD412" s="97">
        <f>Table_15[[#This Row],[Wgt-Bag]]-Table_15[[#This Row],[Total Graded]]-Table_15[[#This Row],[UNDERSIZE]]+0.0011</f>
        <v>1.1000000000000001E-3</v>
      </c>
      <c r="BE412" s="86">
        <f>Table_15[[#This Row],[Total Graded]]-Table_15[[#This Row],[Packing Quantity]]+Table_15[[#This Row],[PACKING LOOSE]]</f>
        <v>0</v>
      </c>
      <c r="BF412" s="34">
        <f>IF(Table_15[[#This Row],[GRADED BAGS]]&gt;0,Table_15[[#This Row],[GRADED BAGS]],Table_15[[#This Row],[Bags]])</f>
        <v>0</v>
      </c>
    </row>
    <row r="413" spans="1:58" ht="15.75" hidden="1" customHeight="1" x14ac:dyDescent="0.35">
      <c r="A413" s="22">
        <v>411</v>
      </c>
      <c r="B413" s="22"/>
      <c r="C413" s="23"/>
      <c r="D413" s="23"/>
      <c r="E413" s="24"/>
      <c r="F413" s="23"/>
      <c r="G413" s="100"/>
      <c r="H413" s="101"/>
      <c r="I413" s="102"/>
      <c r="J413" s="102"/>
      <c r="K413" s="233"/>
      <c r="L413" s="22"/>
      <c r="M413" s="25">
        <f t="shared" si="31"/>
        <v>0</v>
      </c>
      <c r="N413" s="25">
        <f t="shared" si="32"/>
        <v>0</v>
      </c>
      <c r="O413" s="25">
        <f t="shared" si="33"/>
        <v>0</v>
      </c>
      <c r="P413" s="25">
        <f t="shared" si="34"/>
        <v>0</v>
      </c>
      <c r="Q413" s="22"/>
      <c r="R413" s="22"/>
      <c r="S413" s="22"/>
      <c r="T413" s="22"/>
      <c r="U413" s="26">
        <f t="shared" si="35"/>
        <v>0</v>
      </c>
      <c r="V413" s="27"/>
      <c r="W413" s="28"/>
      <c r="X413" s="25" t="str">
        <f>+IF(AND('GRADING PACKING'!L$5=INWARDDATA!J413,'GRADING PACKING'!L$6=INWARDDATA!I413,AB413=0),"TRUE","FALSE")</f>
        <v>FALSE</v>
      </c>
      <c r="Y413" s="29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1"/>
      <c r="AK413" s="31"/>
      <c r="AL413" s="31"/>
      <c r="AM413" s="31"/>
      <c r="AN413" s="32" t="str">
        <f>+IF(AND('GRADING PACKING'!L$5=INWARDDATA!J413,'GRADING PACKING'!L$6=INWARDDATA!I413,AR413=0),"good","bad")</f>
        <v>bad</v>
      </c>
      <c r="AO413" s="33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86"/>
      <c r="BC413" s="86"/>
      <c r="BD413" s="97">
        <f>Table_15[[#This Row],[Wgt-Bag]]-Table_15[[#This Row],[Total Graded]]-Table_15[[#This Row],[UNDERSIZE]]+0.0011</f>
        <v>1.1000000000000001E-3</v>
      </c>
      <c r="BE413" s="86">
        <f>Table_15[[#This Row],[Total Graded]]-Table_15[[#This Row],[Packing Quantity]]+Table_15[[#This Row],[PACKING LOOSE]]</f>
        <v>0</v>
      </c>
      <c r="BF413" s="34">
        <f>IF(Table_15[[#This Row],[GRADED BAGS]]&gt;0,Table_15[[#This Row],[GRADED BAGS]],Table_15[[#This Row],[Bags]])</f>
        <v>0</v>
      </c>
    </row>
    <row r="414" spans="1:58" ht="15.75" hidden="1" customHeight="1" x14ac:dyDescent="0.35">
      <c r="A414" s="22">
        <v>412</v>
      </c>
      <c r="B414" s="22"/>
      <c r="C414" s="23"/>
      <c r="D414" s="23"/>
      <c r="E414" s="24"/>
      <c r="F414" s="23"/>
      <c r="G414" s="100"/>
      <c r="H414" s="101"/>
      <c r="I414" s="102"/>
      <c r="J414" s="102"/>
      <c r="K414" s="233"/>
      <c r="L414" s="22"/>
      <c r="M414" s="25">
        <f t="shared" si="31"/>
        <v>0</v>
      </c>
      <c r="N414" s="25">
        <f t="shared" si="32"/>
        <v>0</v>
      </c>
      <c r="O414" s="25">
        <f t="shared" si="33"/>
        <v>0</v>
      </c>
      <c r="P414" s="25">
        <f t="shared" si="34"/>
        <v>0</v>
      </c>
      <c r="Q414" s="22"/>
      <c r="R414" s="22"/>
      <c r="S414" s="22"/>
      <c r="T414" s="22"/>
      <c r="U414" s="26">
        <f t="shared" si="35"/>
        <v>0</v>
      </c>
      <c r="V414" s="27"/>
      <c r="W414" s="28"/>
      <c r="X414" s="25" t="str">
        <f>+IF(AND('GRADING PACKING'!L$5=INWARDDATA!J414,'GRADING PACKING'!L$6=INWARDDATA!I414,AB414=0),"TRUE","FALSE")</f>
        <v>FALSE</v>
      </c>
      <c r="Y414" s="29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1"/>
      <c r="AK414" s="31"/>
      <c r="AL414" s="31"/>
      <c r="AM414" s="31"/>
      <c r="AN414" s="32" t="str">
        <f>+IF(AND('GRADING PACKING'!L$5=INWARDDATA!J414,'GRADING PACKING'!L$6=INWARDDATA!I414,AR414=0),"good","bad")</f>
        <v>bad</v>
      </c>
      <c r="AO414" s="33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86"/>
      <c r="BC414" s="86"/>
      <c r="BD414" s="97">
        <f>Table_15[[#This Row],[Wgt-Bag]]-Table_15[[#This Row],[Total Graded]]-Table_15[[#This Row],[UNDERSIZE]]+0.0011</f>
        <v>1.1000000000000001E-3</v>
      </c>
      <c r="BE414" s="86">
        <f>Table_15[[#This Row],[Total Graded]]-Table_15[[#This Row],[Packing Quantity]]+Table_15[[#This Row],[PACKING LOOSE]]</f>
        <v>0</v>
      </c>
      <c r="BF414" s="34">
        <f>IF(Table_15[[#This Row],[GRADED BAGS]]&gt;0,Table_15[[#This Row],[GRADED BAGS]],Table_15[[#This Row],[Bags]])</f>
        <v>0</v>
      </c>
    </row>
    <row r="415" spans="1:58" ht="15.75" hidden="1" customHeight="1" x14ac:dyDescent="0.35">
      <c r="A415" s="22">
        <v>413</v>
      </c>
      <c r="B415" s="22"/>
      <c r="C415" s="23"/>
      <c r="D415" s="23"/>
      <c r="E415" s="24"/>
      <c r="F415" s="23"/>
      <c r="G415" s="100"/>
      <c r="H415" s="101"/>
      <c r="I415" s="102"/>
      <c r="J415" s="102"/>
      <c r="K415" s="233"/>
      <c r="L415" s="22"/>
      <c r="M415" s="25">
        <f t="shared" si="31"/>
        <v>0</v>
      </c>
      <c r="N415" s="25">
        <f t="shared" si="32"/>
        <v>0</v>
      </c>
      <c r="O415" s="25">
        <f t="shared" si="33"/>
        <v>0</v>
      </c>
      <c r="P415" s="25">
        <f t="shared" si="34"/>
        <v>0</v>
      </c>
      <c r="Q415" s="22"/>
      <c r="R415" s="22"/>
      <c r="S415" s="22"/>
      <c r="T415" s="22"/>
      <c r="U415" s="26">
        <f t="shared" si="35"/>
        <v>0</v>
      </c>
      <c r="V415" s="27"/>
      <c r="W415" s="28"/>
      <c r="X415" s="25" t="str">
        <f>+IF(AND('GRADING PACKING'!L$5=INWARDDATA!J415,'GRADING PACKING'!L$6=INWARDDATA!I415,AB415=0),"TRUE","FALSE")</f>
        <v>FALSE</v>
      </c>
      <c r="Y415" s="29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1"/>
      <c r="AK415" s="31"/>
      <c r="AL415" s="31"/>
      <c r="AM415" s="31"/>
      <c r="AN415" s="32" t="str">
        <f>+IF(AND('GRADING PACKING'!L$5=INWARDDATA!J415,'GRADING PACKING'!L$6=INWARDDATA!I415,AR415=0),"good","bad")</f>
        <v>bad</v>
      </c>
      <c r="AO415" s="33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86"/>
      <c r="BC415" s="86"/>
      <c r="BD415" s="97">
        <f>Table_15[[#This Row],[Wgt-Bag]]-Table_15[[#This Row],[Total Graded]]-Table_15[[#This Row],[UNDERSIZE]]+0.0011</f>
        <v>1.1000000000000001E-3</v>
      </c>
      <c r="BE415" s="86">
        <f>Table_15[[#This Row],[Total Graded]]-Table_15[[#This Row],[Packing Quantity]]+Table_15[[#This Row],[PACKING LOOSE]]</f>
        <v>0</v>
      </c>
      <c r="BF415" s="34">
        <f>IF(Table_15[[#This Row],[GRADED BAGS]]&gt;0,Table_15[[#This Row],[GRADED BAGS]],Table_15[[#This Row],[Bags]])</f>
        <v>0</v>
      </c>
    </row>
    <row r="416" spans="1:58" ht="15.75" hidden="1" customHeight="1" x14ac:dyDescent="0.35">
      <c r="A416" s="22">
        <v>414</v>
      </c>
      <c r="B416" s="22"/>
      <c r="C416" s="23"/>
      <c r="D416" s="23"/>
      <c r="E416" s="24"/>
      <c r="F416" s="23"/>
      <c r="G416" s="100"/>
      <c r="H416" s="101"/>
      <c r="I416" s="102"/>
      <c r="J416" s="102"/>
      <c r="K416" s="233"/>
      <c r="L416" s="22"/>
      <c r="M416" s="25">
        <f t="shared" si="31"/>
        <v>0</v>
      </c>
      <c r="N416" s="25">
        <f t="shared" si="32"/>
        <v>0</v>
      </c>
      <c r="O416" s="25">
        <f t="shared" si="33"/>
        <v>0</v>
      </c>
      <c r="P416" s="25">
        <f t="shared" si="34"/>
        <v>0</v>
      </c>
      <c r="Q416" s="22"/>
      <c r="R416" s="22"/>
      <c r="S416" s="22"/>
      <c r="T416" s="22"/>
      <c r="U416" s="26">
        <f t="shared" si="35"/>
        <v>0</v>
      </c>
      <c r="V416" s="27"/>
      <c r="W416" s="28"/>
      <c r="X416" s="25" t="str">
        <f>+IF(AND('GRADING PACKING'!L$5=INWARDDATA!J416,'GRADING PACKING'!L$6=INWARDDATA!I416,AB416=0),"TRUE","FALSE")</f>
        <v>FALSE</v>
      </c>
      <c r="Y416" s="29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1"/>
      <c r="AK416" s="31"/>
      <c r="AL416" s="31"/>
      <c r="AM416" s="31"/>
      <c r="AN416" s="32" t="str">
        <f>+IF(AND('GRADING PACKING'!L$5=INWARDDATA!J416,'GRADING PACKING'!L$6=INWARDDATA!I416,AR416=0),"good","bad")</f>
        <v>bad</v>
      </c>
      <c r="AO416" s="33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86"/>
      <c r="BC416" s="86"/>
      <c r="BD416" s="97">
        <f>Table_15[[#This Row],[Wgt-Bag]]-Table_15[[#This Row],[Total Graded]]-Table_15[[#This Row],[UNDERSIZE]]+0.0011</f>
        <v>1.1000000000000001E-3</v>
      </c>
      <c r="BE416" s="86">
        <f>Table_15[[#This Row],[Total Graded]]-Table_15[[#This Row],[Packing Quantity]]+Table_15[[#This Row],[PACKING LOOSE]]</f>
        <v>0</v>
      </c>
      <c r="BF416" s="34">
        <f>IF(Table_15[[#This Row],[GRADED BAGS]]&gt;0,Table_15[[#This Row],[GRADED BAGS]],Table_15[[#This Row],[Bags]])</f>
        <v>0</v>
      </c>
    </row>
    <row r="417" spans="1:58" ht="15.75" hidden="1" customHeight="1" x14ac:dyDescent="0.35">
      <c r="A417" s="22">
        <v>415</v>
      </c>
      <c r="B417" s="22"/>
      <c r="C417" s="23"/>
      <c r="D417" s="23"/>
      <c r="E417" s="24"/>
      <c r="F417" s="23"/>
      <c r="G417" s="100"/>
      <c r="H417" s="101"/>
      <c r="I417" s="102"/>
      <c r="J417" s="102"/>
      <c r="K417" s="233"/>
      <c r="L417" s="22"/>
      <c r="M417" s="25">
        <f t="shared" si="31"/>
        <v>0</v>
      </c>
      <c r="N417" s="25">
        <f t="shared" si="32"/>
        <v>0</v>
      </c>
      <c r="O417" s="25">
        <f t="shared" si="33"/>
        <v>0</v>
      </c>
      <c r="P417" s="25">
        <f t="shared" si="34"/>
        <v>0</v>
      </c>
      <c r="Q417" s="22"/>
      <c r="R417" s="22"/>
      <c r="S417" s="22"/>
      <c r="T417" s="22"/>
      <c r="U417" s="26">
        <f t="shared" si="35"/>
        <v>0</v>
      </c>
      <c r="V417" s="27"/>
      <c r="W417" s="28"/>
      <c r="X417" s="25" t="str">
        <f>+IF(AND('GRADING PACKING'!L$5=INWARDDATA!J417,'GRADING PACKING'!L$6=INWARDDATA!I417,AB417=0),"TRUE","FALSE")</f>
        <v>FALSE</v>
      </c>
      <c r="Y417" s="29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1"/>
      <c r="AK417" s="31"/>
      <c r="AL417" s="31"/>
      <c r="AM417" s="31"/>
      <c r="AN417" s="32" t="str">
        <f>+IF(AND('GRADING PACKING'!L$5=INWARDDATA!J417,'GRADING PACKING'!L$6=INWARDDATA!I417,AR417=0),"good","bad")</f>
        <v>bad</v>
      </c>
      <c r="AO417" s="33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86"/>
      <c r="BC417" s="86"/>
      <c r="BD417" s="97">
        <f>Table_15[[#This Row],[Wgt-Bag]]-Table_15[[#This Row],[Total Graded]]-Table_15[[#This Row],[UNDERSIZE]]+0.0011</f>
        <v>1.1000000000000001E-3</v>
      </c>
      <c r="BE417" s="86">
        <f>Table_15[[#This Row],[Total Graded]]-Table_15[[#This Row],[Packing Quantity]]+Table_15[[#This Row],[PACKING LOOSE]]</f>
        <v>0</v>
      </c>
      <c r="BF417" s="34">
        <f>IF(Table_15[[#This Row],[GRADED BAGS]]&gt;0,Table_15[[#This Row],[GRADED BAGS]],Table_15[[#This Row],[Bags]])</f>
        <v>0</v>
      </c>
    </row>
    <row r="418" spans="1:58" ht="15.75" hidden="1" customHeight="1" x14ac:dyDescent="0.35">
      <c r="A418" s="22">
        <v>416</v>
      </c>
      <c r="B418" s="22"/>
      <c r="C418" s="23"/>
      <c r="D418" s="23"/>
      <c r="E418" s="24"/>
      <c r="F418" s="23"/>
      <c r="G418" s="100"/>
      <c r="H418" s="101"/>
      <c r="I418" s="102"/>
      <c r="J418" s="102"/>
      <c r="K418" s="233"/>
      <c r="L418" s="22"/>
      <c r="M418" s="25">
        <f t="shared" si="31"/>
        <v>0</v>
      </c>
      <c r="N418" s="25">
        <f t="shared" si="32"/>
        <v>0</v>
      </c>
      <c r="O418" s="25">
        <f t="shared" si="33"/>
        <v>0</v>
      </c>
      <c r="P418" s="25">
        <f t="shared" si="34"/>
        <v>0</v>
      </c>
      <c r="Q418" s="22"/>
      <c r="R418" s="22"/>
      <c r="S418" s="22"/>
      <c r="T418" s="22"/>
      <c r="U418" s="26">
        <f t="shared" si="35"/>
        <v>0</v>
      </c>
      <c r="V418" s="27"/>
      <c r="W418" s="28"/>
      <c r="X418" s="25" t="str">
        <f>+IF(AND('GRADING PACKING'!L$5=INWARDDATA!J418,'GRADING PACKING'!L$6=INWARDDATA!I418,AB418=0),"TRUE","FALSE")</f>
        <v>FALSE</v>
      </c>
      <c r="Y418" s="29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1"/>
      <c r="AK418" s="31"/>
      <c r="AL418" s="31"/>
      <c r="AM418" s="31"/>
      <c r="AN418" s="32" t="str">
        <f>+IF(AND('GRADING PACKING'!L$5=INWARDDATA!J418,'GRADING PACKING'!L$6=INWARDDATA!I418,AR418=0),"good","bad")</f>
        <v>bad</v>
      </c>
      <c r="AO418" s="33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86"/>
      <c r="BC418" s="86"/>
      <c r="BD418" s="97">
        <f>Table_15[[#This Row],[Wgt-Bag]]-Table_15[[#This Row],[Total Graded]]-Table_15[[#This Row],[UNDERSIZE]]+0.0011</f>
        <v>1.1000000000000001E-3</v>
      </c>
      <c r="BE418" s="86">
        <f>Table_15[[#This Row],[Total Graded]]-Table_15[[#This Row],[Packing Quantity]]+Table_15[[#This Row],[PACKING LOOSE]]</f>
        <v>0</v>
      </c>
      <c r="BF418" s="34">
        <f>IF(Table_15[[#This Row],[GRADED BAGS]]&gt;0,Table_15[[#This Row],[GRADED BAGS]],Table_15[[#This Row],[Bags]])</f>
        <v>0</v>
      </c>
    </row>
    <row r="419" spans="1:58" ht="15.75" hidden="1" customHeight="1" x14ac:dyDescent="0.35">
      <c r="A419" s="22">
        <v>417</v>
      </c>
      <c r="B419" s="22"/>
      <c r="C419" s="23"/>
      <c r="D419" s="23"/>
      <c r="E419" s="24"/>
      <c r="F419" s="23"/>
      <c r="G419" s="100"/>
      <c r="H419" s="101"/>
      <c r="I419" s="102"/>
      <c r="J419" s="102"/>
      <c r="K419" s="233"/>
      <c r="L419" s="22"/>
      <c r="M419" s="25">
        <f t="shared" si="31"/>
        <v>0</v>
      </c>
      <c r="N419" s="25">
        <f t="shared" si="32"/>
        <v>0</v>
      </c>
      <c r="O419" s="25">
        <f t="shared" si="33"/>
        <v>0</v>
      </c>
      <c r="P419" s="25">
        <f t="shared" si="34"/>
        <v>0</v>
      </c>
      <c r="Q419" s="22"/>
      <c r="R419" s="22"/>
      <c r="S419" s="22"/>
      <c r="T419" s="22"/>
      <c r="U419" s="26">
        <f t="shared" si="35"/>
        <v>0</v>
      </c>
      <c r="V419" s="27"/>
      <c r="W419" s="28"/>
      <c r="X419" s="25" t="str">
        <f>+IF(AND('GRADING PACKING'!L$5=INWARDDATA!J419,'GRADING PACKING'!L$6=INWARDDATA!I419,AB419=0),"TRUE","FALSE")</f>
        <v>FALSE</v>
      </c>
      <c r="Y419" s="29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1"/>
      <c r="AK419" s="31"/>
      <c r="AL419" s="31"/>
      <c r="AM419" s="31"/>
      <c r="AN419" s="32" t="str">
        <f>+IF(AND('GRADING PACKING'!L$5=INWARDDATA!J419,'GRADING PACKING'!L$6=INWARDDATA!I419,AR419=0),"good","bad")</f>
        <v>bad</v>
      </c>
      <c r="AO419" s="33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86"/>
      <c r="BC419" s="86"/>
      <c r="BD419" s="97">
        <f>Table_15[[#This Row],[Wgt-Bag]]-Table_15[[#This Row],[Total Graded]]-Table_15[[#This Row],[UNDERSIZE]]+0.0011</f>
        <v>1.1000000000000001E-3</v>
      </c>
      <c r="BE419" s="86">
        <f>Table_15[[#This Row],[Total Graded]]-Table_15[[#This Row],[Packing Quantity]]+Table_15[[#This Row],[PACKING LOOSE]]</f>
        <v>0</v>
      </c>
      <c r="BF419" s="34">
        <f>IF(Table_15[[#This Row],[GRADED BAGS]]&gt;0,Table_15[[#This Row],[GRADED BAGS]],Table_15[[#This Row],[Bags]])</f>
        <v>0</v>
      </c>
    </row>
    <row r="420" spans="1:58" ht="15.75" hidden="1" customHeight="1" x14ac:dyDescent="0.35">
      <c r="A420" s="22">
        <v>418</v>
      </c>
      <c r="B420" s="22"/>
      <c r="C420" s="23"/>
      <c r="D420" s="23"/>
      <c r="E420" s="24"/>
      <c r="F420" s="23"/>
      <c r="G420" s="100"/>
      <c r="H420" s="101"/>
      <c r="I420" s="102"/>
      <c r="J420" s="102"/>
      <c r="K420" s="233"/>
      <c r="L420" s="22"/>
      <c r="M420" s="25">
        <f t="shared" si="31"/>
        <v>0</v>
      </c>
      <c r="N420" s="25">
        <f t="shared" si="32"/>
        <v>0</v>
      </c>
      <c r="O420" s="25">
        <f t="shared" si="33"/>
        <v>0</v>
      </c>
      <c r="P420" s="25">
        <f t="shared" si="34"/>
        <v>0</v>
      </c>
      <c r="Q420" s="22"/>
      <c r="R420" s="22"/>
      <c r="S420" s="22"/>
      <c r="T420" s="22"/>
      <c r="U420" s="26">
        <f t="shared" si="35"/>
        <v>0</v>
      </c>
      <c r="V420" s="27"/>
      <c r="W420" s="28"/>
      <c r="X420" s="25" t="str">
        <f>+IF(AND('GRADING PACKING'!L$5=INWARDDATA!J420,'GRADING PACKING'!L$6=INWARDDATA!I420,AB420=0),"TRUE","FALSE")</f>
        <v>FALSE</v>
      </c>
      <c r="Y420" s="29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1"/>
      <c r="AK420" s="31"/>
      <c r="AL420" s="31"/>
      <c r="AM420" s="31"/>
      <c r="AN420" s="32" t="str">
        <f>+IF(AND('GRADING PACKING'!L$5=INWARDDATA!J420,'GRADING PACKING'!L$6=INWARDDATA!I420,AR420=0),"good","bad")</f>
        <v>bad</v>
      </c>
      <c r="AO420" s="33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86"/>
      <c r="BC420" s="86"/>
      <c r="BD420" s="97">
        <f>Table_15[[#This Row],[Wgt-Bag]]-Table_15[[#This Row],[Total Graded]]-Table_15[[#This Row],[UNDERSIZE]]+0.0011</f>
        <v>1.1000000000000001E-3</v>
      </c>
      <c r="BE420" s="86">
        <f>Table_15[[#This Row],[Total Graded]]-Table_15[[#This Row],[Packing Quantity]]+Table_15[[#This Row],[PACKING LOOSE]]</f>
        <v>0</v>
      </c>
      <c r="BF420" s="34">
        <f>IF(Table_15[[#This Row],[GRADED BAGS]]&gt;0,Table_15[[#This Row],[GRADED BAGS]],Table_15[[#This Row],[Bags]])</f>
        <v>0</v>
      </c>
    </row>
    <row r="421" spans="1:58" ht="15.75" hidden="1" customHeight="1" x14ac:dyDescent="0.35">
      <c r="A421" s="22">
        <v>419</v>
      </c>
      <c r="B421" s="22"/>
      <c r="C421" s="23"/>
      <c r="D421" s="23"/>
      <c r="E421" s="24"/>
      <c r="F421" s="23"/>
      <c r="G421" s="100"/>
      <c r="H421" s="101"/>
      <c r="I421" s="102"/>
      <c r="J421" s="102"/>
      <c r="K421" s="233"/>
      <c r="L421" s="22"/>
      <c r="M421" s="25">
        <f t="shared" si="31"/>
        <v>0</v>
      </c>
      <c r="N421" s="25">
        <f t="shared" si="32"/>
        <v>0</v>
      </c>
      <c r="O421" s="25">
        <f t="shared" si="33"/>
        <v>0</v>
      </c>
      <c r="P421" s="25">
        <f t="shared" si="34"/>
        <v>0</v>
      </c>
      <c r="Q421" s="22"/>
      <c r="R421" s="22"/>
      <c r="S421" s="22"/>
      <c r="T421" s="22"/>
      <c r="U421" s="26">
        <f t="shared" si="35"/>
        <v>0</v>
      </c>
      <c r="V421" s="27"/>
      <c r="W421" s="28"/>
      <c r="X421" s="25" t="str">
        <f>+IF(AND('GRADING PACKING'!L$5=INWARDDATA!J421,'GRADING PACKING'!L$6=INWARDDATA!I421,AB421=0),"TRUE","FALSE")</f>
        <v>FALSE</v>
      </c>
      <c r="Y421" s="29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1"/>
      <c r="AK421" s="31"/>
      <c r="AL421" s="31"/>
      <c r="AM421" s="31"/>
      <c r="AN421" s="32" t="str">
        <f>+IF(AND('GRADING PACKING'!L$5=INWARDDATA!J421,'GRADING PACKING'!L$6=INWARDDATA!I421,AR421=0),"good","bad")</f>
        <v>bad</v>
      </c>
      <c r="AO421" s="33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86"/>
      <c r="BC421" s="86"/>
      <c r="BD421" s="97">
        <f>Table_15[[#This Row],[Wgt-Bag]]-Table_15[[#This Row],[Total Graded]]-Table_15[[#This Row],[UNDERSIZE]]+0.0011</f>
        <v>1.1000000000000001E-3</v>
      </c>
      <c r="BE421" s="86">
        <f>Table_15[[#This Row],[Total Graded]]-Table_15[[#This Row],[Packing Quantity]]+Table_15[[#This Row],[PACKING LOOSE]]</f>
        <v>0</v>
      </c>
      <c r="BF421" s="34">
        <f>IF(Table_15[[#This Row],[GRADED BAGS]]&gt;0,Table_15[[#This Row],[GRADED BAGS]],Table_15[[#This Row],[Bags]])</f>
        <v>0</v>
      </c>
    </row>
    <row r="422" spans="1:58" ht="15.75" hidden="1" customHeight="1" x14ac:dyDescent="0.35">
      <c r="A422" s="22">
        <v>420</v>
      </c>
      <c r="B422" s="22"/>
      <c r="C422" s="23"/>
      <c r="D422" s="23"/>
      <c r="E422" s="24"/>
      <c r="F422" s="23"/>
      <c r="G422" s="100"/>
      <c r="H422" s="101"/>
      <c r="I422" s="102"/>
      <c r="J422" s="102"/>
      <c r="K422" s="233"/>
      <c r="L422" s="22"/>
      <c r="M422" s="25">
        <f t="shared" si="31"/>
        <v>0</v>
      </c>
      <c r="N422" s="25">
        <f t="shared" si="32"/>
        <v>0</v>
      </c>
      <c r="O422" s="25">
        <f t="shared" si="33"/>
        <v>0</v>
      </c>
      <c r="P422" s="25">
        <f t="shared" si="34"/>
        <v>0</v>
      </c>
      <c r="Q422" s="22"/>
      <c r="R422" s="22"/>
      <c r="S422" s="22"/>
      <c r="T422" s="22"/>
      <c r="U422" s="26">
        <f t="shared" si="35"/>
        <v>0</v>
      </c>
      <c r="V422" s="27"/>
      <c r="W422" s="28"/>
      <c r="X422" s="25" t="str">
        <f>+IF(AND('GRADING PACKING'!L$5=INWARDDATA!J422,'GRADING PACKING'!L$6=INWARDDATA!I422,AB422=0),"TRUE","FALSE")</f>
        <v>FALSE</v>
      </c>
      <c r="Y422" s="29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1"/>
      <c r="AK422" s="31"/>
      <c r="AL422" s="31"/>
      <c r="AM422" s="31"/>
      <c r="AN422" s="32" t="str">
        <f>+IF(AND('GRADING PACKING'!L$5=INWARDDATA!J422,'GRADING PACKING'!L$6=INWARDDATA!I422,AR422=0),"good","bad")</f>
        <v>bad</v>
      </c>
      <c r="AO422" s="33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86"/>
      <c r="BC422" s="86"/>
      <c r="BD422" s="97">
        <f>Table_15[[#This Row],[Wgt-Bag]]-Table_15[[#This Row],[Total Graded]]-Table_15[[#This Row],[UNDERSIZE]]+0.0011</f>
        <v>1.1000000000000001E-3</v>
      </c>
      <c r="BE422" s="86">
        <f>Table_15[[#This Row],[Total Graded]]-Table_15[[#This Row],[Packing Quantity]]+Table_15[[#This Row],[PACKING LOOSE]]</f>
        <v>0</v>
      </c>
      <c r="BF422" s="34">
        <f>IF(Table_15[[#This Row],[GRADED BAGS]]&gt;0,Table_15[[#This Row],[GRADED BAGS]],Table_15[[#This Row],[Bags]])</f>
        <v>0</v>
      </c>
    </row>
    <row r="423" spans="1:58" ht="15.75" hidden="1" customHeight="1" x14ac:dyDescent="0.35">
      <c r="A423" s="22">
        <v>421</v>
      </c>
      <c r="B423" s="22"/>
      <c r="C423" s="23"/>
      <c r="D423" s="23"/>
      <c r="E423" s="24"/>
      <c r="F423" s="23"/>
      <c r="G423" s="100"/>
      <c r="H423" s="101"/>
      <c r="I423" s="102"/>
      <c r="J423" s="102"/>
      <c r="K423" s="233"/>
      <c r="L423" s="22"/>
      <c r="M423" s="25">
        <f t="shared" si="31"/>
        <v>0</v>
      </c>
      <c r="N423" s="25">
        <f t="shared" si="32"/>
        <v>0</v>
      </c>
      <c r="O423" s="25">
        <f t="shared" si="33"/>
        <v>0</v>
      </c>
      <c r="P423" s="25">
        <f t="shared" si="34"/>
        <v>0</v>
      </c>
      <c r="Q423" s="22"/>
      <c r="R423" s="22"/>
      <c r="S423" s="22"/>
      <c r="T423" s="22"/>
      <c r="U423" s="26">
        <f t="shared" si="35"/>
        <v>0</v>
      </c>
      <c r="V423" s="27"/>
      <c r="W423" s="28"/>
      <c r="X423" s="25" t="str">
        <f>+IF(AND('GRADING PACKING'!L$5=INWARDDATA!J423,'GRADING PACKING'!L$6=INWARDDATA!I423,AB423=0),"TRUE","FALSE")</f>
        <v>FALSE</v>
      </c>
      <c r="Y423" s="29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1"/>
      <c r="AK423" s="31"/>
      <c r="AL423" s="31"/>
      <c r="AM423" s="31"/>
      <c r="AN423" s="32" t="str">
        <f>+IF(AND('GRADING PACKING'!L$5=INWARDDATA!J423,'GRADING PACKING'!L$6=INWARDDATA!I423,AR423=0),"good","bad")</f>
        <v>bad</v>
      </c>
      <c r="AO423" s="33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86"/>
      <c r="BC423" s="86"/>
      <c r="BD423" s="97">
        <f>Table_15[[#This Row],[Wgt-Bag]]-Table_15[[#This Row],[Total Graded]]-Table_15[[#This Row],[UNDERSIZE]]+0.0011</f>
        <v>1.1000000000000001E-3</v>
      </c>
      <c r="BE423" s="86">
        <f>Table_15[[#This Row],[Total Graded]]-Table_15[[#This Row],[Packing Quantity]]+Table_15[[#This Row],[PACKING LOOSE]]</f>
        <v>0</v>
      </c>
      <c r="BF423" s="34">
        <f>IF(Table_15[[#This Row],[GRADED BAGS]]&gt;0,Table_15[[#This Row],[GRADED BAGS]],Table_15[[#This Row],[Bags]])</f>
        <v>0</v>
      </c>
    </row>
    <row r="424" spans="1:58" ht="15.75" hidden="1" customHeight="1" x14ac:dyDescent="0.35">
      <c r="A424" s="22">
        <v>422</v>
      </c>
      <c r="B424" s="22"/>
      <c r="C424" s="23"/>
      <c r="D424" s="23"/>
      <c r="E424" s="24"/>
      <c r="F424" s="23"/>
      <c r="G424" s="100"/>
      <c r="H424" s="101"/>
      <c r="I424" s="102"/>
      <c r="J424" s="102"/>
      <c r="K424" s="233"/>
      <c r="L424" s="22"/>
      <c r="M424" s="25">
        <f t="shared" si="31"/>
        <v>0</v>
      </c>
      <c r="N424" s="25">
        <f t="shared" si="32"/>
        <v>0</v>
      </c>
      <c r="O424" s="25">
        <f t="shared" si="33"/>
        <v>0</v>
      </c>
      <c r="P424" s="25">
        <f t="shared" si="34"/>
        <v>0</v>
      </c>
      <c r="Q424" s="22"/>
      <c r="R424" s="22"/>
      <c r="S424" s="22"/>
      <c r="T424" s="22"/>
      <c r="U424" s="26">
        <f t="shared" si="35"/>
        <v>0</v>
      </c>
      <c r="V424" s="27"/>
      <c r="W424" s="28"/>
      <c r="X424" s="25" t="str">
        <f>+IF(AND('GRADING PACKING'!L$5=INWARDDATA!J424,'GRADING PACKING'!L$6=INWARDDATA!I424,AB424=0),"TRUE","FALSE")</f>
        <v>FALSE</v>
      </c>
      <c r="Y424" s="29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1"/>
      <c r="AK424" s="31"/>
      <c r="AL424" s="31"/>
      <c r="AM424" s="31"/>
      <c r="AN424" s="32" t="str">
        <f>+IF(AND('GRADING PACKING'!L$5=INWARDDATA!J424,'GRADING PACKING'!L$6=INWARDDATA!I424,AR424=0),"good","bad")</f>
        <v>bad</v>
      </c>
      <c r="AO424" s="33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86"/>
      <c r="BC424" s="86"/>
      <c r="BD424" s="97">
        <f>Table_15[[#This Row],[Wgt-Bag]]-Table_15[[#This Row],[Total Graded]]-Table_15[[#This Row],[UNDERSIZE]]+0.0011</f>
        <v>1.1000000000000001E-3</v>
      </c>
      <c r="BE424" s="86">
        <f>Table_15[[#This Row],[Total Graded]]-Table_15[[#This Row],[Packing Quantity]]+Table_15[[#This Row],[PACKING LOOSE]]</f>
        <v>0</v>
      </c>
      <c r="BF424" s="34">
        <f>IF(Table_15[[#This Row],[GRADED BAGS]]&gt;0,Table_15[[#This Row],[GRADED BAGS]],Table_15[[#This Row],[Bags]])</f>
        <v>0</v>
      </c>
    </row>
    <row r="425" spans="1:58" ht="15.75" hidden="1" customHeight="1" x14ac:dyDescent="0.35">
      <c r="A425" s="22">
        <v>423</v>
      </c>
      <c r="B425" s="22"/>
      <c r="C425" s="23"/>
      <c r="D425" s="23"/>
      <c r="E425" s="24"/>
      <c r="F425" s="23"/>
      <c r="G425" s="100"/>
      <c r="H425" s="101"/>
      <c r="I425" s="102"/>
      <c r="J425" s="102"/>
      <c r="K425" s="233"/>
      <c r="L425" s="22"/>
      <c r="M425" s="25">
        <f t="shared" si="31"/>
        <v>0</v>
      </c>
      <c r="N425" s="25">
        <f t="shared" si="32"/>
        <v>0</v>
      </c>
      <c r="O425" s="25">
        <f t="shared" si="33"/>
        <v>0</v>
      </c>
      <c r="P425" s="25">
        <f t="shared" si="34"/>
        <v>0</v>
      </c>
      <c r="Q425" s="22"/>
      <c r="R425" s="22"/>
      <c r="S425" s="22"/>
      <c r="T425" s="22"/>
      <c r="U425" s="26">
        <f t="shared" si="35"/>
        <v>0</v>
      </c>
      <c r="V425" s="27"/>
      <c r="W425" s="28"/>
      <c r="X425" s="25" t="str">
        <f>+IF(AND('GRADING PACKING'!L$5=INWARDDATA!J425,'GRADING PACKING'!L$6=INWARDDATA!I425,AB425=0),"TRUE","FALSE")</f>
        <v>FALSE</v>
      </c>
      <c r="Y425" s="29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1"/>
      <c r="AK425" s="31"/>
      <c r="AL425" s="31"/>
      <c r="AM425" s="31"/>
      <c r="AN425" s="32" t="str">
        <f>+IF(AND('GRADING PACKING'!L$5=INWARDDATA!J425,'GRADING PACKING'!L$6=INWARDDATA!I425,AR425=0),"good","bad")</f>
        <v>bad</v>
      </c>
      <c r="AO425" s="33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86"/>
      <c r="BC425" s="86"/>
      <c r="BD425" s="97">
        <f>Table_15[[#This Row],[Wgt-Bag]]-Table_15[[#This Row],[Total Graded]]-Table_15[[#This Row],[UNDERSIZE]]+0.0011</f>
        <v>1.1000000000000001E-3</v>
      </c>
      <c r="BE425" s="86">
        <f>Table_15[[#This Row],[Total Graded]]-Table_15[[#This Row],[Packing Quantity]]+Table_15[[#This Row],[PACKING LOOSE]]</f>
        <v>0</v>
      </c>
      <c r="BF425" s="34">
        <f>IF(Table_15[[#This Row],[GRADED BAGS]]&gt;0,Table_15[[#This Row],[GRADED BAGS]],Table_15[[#This Row],[Bags]])</f>
        <v>0</v>
      </c>
    </row>
    <row r="426" spans="1:58" ht="15.75" hidden="1" customHeight="1" x14ac:dyDescent="0.35">
      <c r="A426" s="22">
        <v>424</v>
      </c>
      <c r="B426" s="22"/>
      <c r="C426" s="23"/>
      <c r="D426" s="23"/>
      <c r="E426" s="24"/>
      <c r="F426" s="23"/>
      <c r="G426" s="100"/>
      <c r="H426" s="101"/>
      <c r="I426" s="102"/>
      <c r="J426" s="102"/>
      <c r="K426" s="233"/>
      <c r="L426" s="22"/>
      <c r="M426" s="25">
        <f t="shared" si="31"/>
        <v>0</v>
      </c>
      <c r="N426" s="25">
        <f t="shared" si="32"/>
        <v>0</v>
      </c>
      <c r="O426" s="25">
        <f t="shared" si="33"/>
        <v>0</v>
      </c>
      <c r="P426" s="25">
        <f t="shared" si="34"/>
        <v>0</v>
      </c>
      <c r="Q426" s="22"/>
      <c r="R426" s="22"/>
      <c r="S426" s="22"/>
      <c r="T426" s="22"/>
      <c r="U426" s="26">
        <f t="shared" si="35"/>
        <v>0</v>
      </c>
      <c r="V426" s="27"/>
      <c r="W426" s="28"/>
      <c r="X426" s="25" t="str">
        <f>+IF(AND('GRADING PACKING'!L$5=INWARDDATA!J426,'GRADING PACKING'!L$6=INWARDDATA!I426,AB426=0),"TRUE","FALSE")</f>
        <v>FALSE</v>
      </c>
      <c r="Y426" s="29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1"/>
      <c r="AK426" s="31"/>
      <c r="AL426" s="31"/>
      <c r="AM426" s="31"/>
      <c r="AN426" s="32" t="str">
        <f>+IF(AND('GRADING PACKING'!L$5=INWARDDATA!J426,'GRADING PACKING'!L$6=INWARDDATA!I426,AR426=0),"good","bad")</f>
        <v>bad</v>
      </c>
      <c r="AO426" s="33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86"/>
      <c r="BC426" s="86"/>
      <c r="BD426" s="97">
        <f>Table_15[[#This Row],[Wgt-Bag]]-Table_15[[#This Row],[Total Graded]]-Table_15[[#This Row],[UNDERSIZE]]+0.0011</f>
        <v>1.1000000000000001E-3</v>
      </c>
      <c r="BE426" s="86">
        <f>Table_15[[#This Row],[Total Graded]]-Table_15[[#This Row],[Packing Quantity]]+Table_15[[#This Row],[PACKING LOOSE]]</f>
        <v>0</v>
      </c>
      <c r="BF426" s="34">
        <f>IF(Table_15[[#This Row],[GRADED BAGS]]&gt;0,Table_15[[#This Row],[GRADED BAGS]],Table_15[[#This Row],[Bags]])</f>
        <v>0</v>
      </c>
    </row>
    <row r="427" spans="1:58" ht="15.75" hidden="1" customHeight="1" x14ac:dyDescent="0.35">
      <c r="A427" s="22">
        <v>425</v>
      </c>
      <c r="B427" s="22"/>
      <c r="C427" s="23"/>
      <c r="D427" s="23"/>
      <c r="E427" s="24"/>
      <c r="F427" s="23"/>
      <c r="G427" s="100"/>
      <c r="H427" s="101"/>
      <c r="I427" s="102"/>
      <c r="J427" s="102"/>
      <c r="K427" s="233"/>
      <c r="L427" s="22"/>
      <c r="M427" s="25">
        <f t="shared" si="31"/>
        <v>0</v>
      </c>
      <c r="N427" s="25">
        <f t="shared" si="32"/>
        <v>0</v>
      </c>
      <c r="O427" s="25">
        <f t="shared" si="33"/>
        <v>0</v>
      </c>
      <c r="P427" s="25">
        <f t="shared" si="34"/>
        <v>0</v>
      </c>
      <c r="Q427" s="22"/>
      <c r="R427" s="22"/>
      <c r="S427" s="22"/>
      <c r="T427" s="22"/>
      <c r="U427" s="26">
        <f t="shared" si="35"/>
        <v>0</v>
      </c>
      <c r="V427" s="27"/>
      <c r="W427" s="28"/>
      <c r="X427" s="25" t="str">
        <f>+IF(AND('GRADING PACKING'!L$5=INWARDDATA!J427,'GRADING PACKING'!L$6=INWARDDATA!I427,AB427=0),"TRUE","FALSE")</f>
        <v>FALSE</v>
      </c>
      <c r="Y427" s="29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1"/>
      <c r="AK427" s="31"/>
      <c r="AL427" s="31"/>
      <c r="AM427" s="31"/>
      <c r="AN427" s="32" t="str">
        <f>+IF(AND('GRADING PACKING'!L$5=INWARDDATA!J427,'GRADING PACKING'!L$6=INWARDDATA!I427,AR427=0),"good","bad")</f>
        <v>bad</v>
      </c>
      <c r="AO427" s="33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86"/>
      <c r="BC427" s="86"/>
      <c r="BD427" s="97">
        <f>Table_15[[#This Row],[Wgt-Bag]]-Table_15[[#This Row],[Total Graded]]-Table_15[[#This Row],[UNDERSIZE]]+0.0011</f>
        <v>1.1000000000000001E-3</v>
      </c>
      <c r="BE427" s="86">
        <f>Table_15[[#This Row],[Total Graded]]-Table_15[[#This Row],[Packing Quantity]]+Table_15[[#This Row],[PACKING LOOSE]]</f>
        <v>0</v>
      </c>
      <c r="BF427" s="34">
        <f>IF(Table_15[[#This Row],[GRADED BAGS]]&gt;0,Table_15[[#This Row],[GRADED BAGS]],Table_15[[#This Row],[Bags]])</f>
        <v>0</v>
      </c>
    </row>
    <row r="428" spans="1:58" ht="15.75" hidden="1" customHeight="1" x14ac:dyDescent="0.35">
      <c r="A428" s="22">
        <v>426</v>
      </c>
      <c r="B428" s="22"/>
      <c r="C428" s="23"/>
      <c r="D428" s="23"/>
      <c r="E428" s="24"/>
      <c r="F428" s="23"/>
      <c r="G428" s="100"/>
      <c r="H428" s="101"/>
      <c r="I428" s="102"/>
      <c r="J428" s="102"/>
      <c r="K428" s="233"/>
      <c r="L428" s="22"/>
      <c r="M428" s="25">
        <f t="shared" si="31"/>
        <v>0</v>
      </c>
      <c r="N428" s="25">
        <f t="shared" si="32"/>
        <v>0</v>
      </c>
      <c r="O428" s="25">
        <f t="shared" si="33"/>
        <v>0</v>
      </c>
      <c r="P428" s="25">
        <f t="shared" si="34"/>
        <v>0</v>
      </c>
      <c r="Q428" s="22"/>
      <c r="R428" s="22"/>
      <c r="S428" s="22"/>
      <c r="T428" s="22"/>
      <c r="U428" s="26">
        <f t="shared" si="35"/>
        <v>0</v>
      </c>
      <c r="V428" s="27"/>
      <c r="W428" s="28"/>
      <c r="X428" s="25" t="str">
        <f>+IF(AND('GRADING PACKING'!L$5=INWARDDATA!J428,'GRADING PACKING'!L$6=INWARDDATA!I428,AB428=0),"TRUE","FALSE")</f>
        <v>FALSE</v>
      </c>
      <c r="Y428" s="29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1"/>
      <c r="AK428" s="31"/>
      <c r="AL428" s="31"/>
      <c r="AM428" s="31"/>
      <c r="AN428" s="32" t="str">
        <f>+IF(AND('GRADING PACKING'!L$5=INWARDDATA!J428,'GRADING PACKING'!L$6=INWARDDATA!I428,AR428=0),"good","bad")</f>
        <v>bad</v>
      </c>
      <c r="AO428" s="33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86"/>
      <c r="BC428" s="86"/>
      <c r="BD428" s="97">
        <f>Table_15[[#This Row],[Wgt-Bag]]-Table_15[[#This Row],[Total Graded]]-Table_15[[#This Row],[UNDERSIZE]]+0.0011</f>
        <v>1.1000000000000001E-3</v>
      </c>
      <c r="BE428" s="86">
        <f>Table_15[[#This Row],[Total Graded]]-Table_15[[#This Row],[Packing Quantity]]+Table_15[[#This Row],[PACKING LOOSE]]</f>
        <v>0</v>
      </c>
      <c r="BF428" s="34">
        <f>IF(Table_15[[#This Row],[GRADED BAGS]]&gt;0,Table_15[[#This Row],[GRADED BAGS]],Table_15[[#This Row],[Bags]])</f>
        <v>0</v>
      </c>
    </row>
    <row r="429" spans="1:58" ht="15.75" hidden="1" customHeight="1" x14ac:dyDescent="0.35">
      <c r="A429" s="22">
        <v>427</v>
      </c>
      <c r="B429" s="22"/>
      <c r="C429" s="23"/>
      <c r="D429" s="23"/>
      <c r="E429" s="24"/>
      <c r="F429" s="23"/>
      <c r="G429" s="100"/>
      <c r="H429" s="101"/>
      <c r="I429" s="102"/>
      <c r="J429" s="102"/>
      <c r="K429" s="233"/>
      <c r="L429" s="22"/>
      <c r="M429" s="25">
        <f t="shared" si="31"/>
        <v>0</v>
      </c>
      <c r="N429" s="25">
        <f t="shared" si="32"/>
        <v>0</v>
      </c>
      <c r="O429" s="25">
        <f t="shared" si="33"/>
        <v>0</v>
      </c>
      <c r="P429" s="25">
        <f t="shared" si="34"/>
        <v>0</v>
      </c>
      <c r="Q429" s="22"/>
      <c r="R429" s="22"/>
      <c r="S429" s="22"/>
      <c r="T429" s="22"/>
      <c r="U429" s="26">
        <f t="shared" si="35"/>
        <v>0</v>
      </c>
      <c r="V429" s="27"/>
      <c r="W429" s="28"/>
      <c r="X429" s="25" t="str">
        <f>+IF(AND('GRADING PACKING'!L$5=INWARDDATA!J429,'GRADING PACKING'!L$6=INWARDDATA!I429,AB429=0),"TRUE","FALSE")</f>
        <v>FALSE</v>
      </c>
      <c r="Y429" s="29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1"/>
      <c r="AK429" s="31"/>
      <c r="AL429" s="31"/>
      <c r="AM429" s="31"/>
      <c r="AN429" s="32" t="str">
        <f>+IF(AND('GRADING PACKING'!L$5=INWARDDATA!J429,'GRADING PACKING'!L$6=INWARDDATA!I429,AR429=0),"good","bad")</f>
        <v>bad</v>
      </c>
      <c r="AO429" s="33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86"/>
      <c r="BC429" s="86"/>
      <c r="BD429" s="97">
        <f>Table_15[[#This Row],[Wgt-Bag]]-Table_15[[#This Row],[Total Graded]]-Table_15[[#This Row],[UNDERSIZE]]+0.0011</f>
        <v>1.1000000000000001E-3</v>
      </c>
      <c r="BE429" s="86">
        <f>Table_15[[#This Row],[Total Graded]]-Table_15[[#This Row],[Packing Quantity]]+Table_15[[#This Row],[PACKING LOOSE]]</f>
        <v>0</v>
      </c>
      <c r="BF429" s="34">
        <f>IF(Table_15[[#This Row],[GRADED BAGS]]&gt;0,Table_15[[#This Row],[GRADED BAGS]],Table_15[[#This Row],[Bags]])</f>
        <v>0</v>
      </c>
    </row>
    <row r="430" spans="1:58" ht="15.75" hidden="1" customHeight="1" x14ac:dyDescent="0.35">
      <c r="A430" s="22">
        <v>428</v>
      </c>
      <c r="B430" s="22"/>
      <c r="C430" s="23"/>
      <c r="D430" s="23"/>
      <c r="E430" s="24"/>
      <c r="F430" s="23"/>
      <c r="G430" s="100"/>
      <c r="H430" s="101"/>
      <c r="I430" s="102"/>
      <c r="J430" s="102"/>
      <c r="K430" s="233"/>
      <c r="L430" s="22"/>
      <c r="M430" s="25">
        <f t="shared" si="31"/>
        <v>0</v>
      </c>
      <c r="N430" s="25">
        <f t="shared" si="32"/>
        <v>0</v>
      </c>
      <c r="O430" s="25">
        <f t="shared" si="33"/>
        <v>0</v>
      </c>
      <c r="P430" s="25">
        <f t="shared" si="34"/>
        <v>0</v>
      </c>
      <c r="Q430" s="22"/>
      <c r="R430" s="22"/>
      <c r="S430" s="22"/>
      <c r="T430" s="22"/>
      <c r="U430" s="26">
        <f t="shared" si="35"/>
        <v>0</v>
      </c>
      <c r="V430" s="27"/>
      <c r="W430" s="28"/>
      <c r="X430" s="25" t="str">
        <f>+IF(AND('GRADING PACKING'!L$5=INWARDDATA!J430,'GRADING PACKING'!L$6=INWARDDATA!I430,AB430=0),"TRUE","FALSE")</f>
        <v>FALSE</v>
      </c>
      <c r="Y430" s="29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1"/>
      <c r="AK430" s="31"/>
      <c r="AL430" s="31"/>
      <c r="AM430" s="31"/>
      <c r="AN430" s="32" t="str">
        <f>+IF(AND('GRADING PACKING'!L$5=INWARDDATA!J430,'GRADING PACKING'!L$6=INWARDDATA!I430,AR430=0),"good","bad")</f>
        <v>bad</v>
      </c>
      <c r="AO430" s="33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86"/>
      <c r="BC430" s="86"/>
      <c r="BD430" s="97">
        <f>Table_15[[#This Row],[Wgt-Bag]]-Table_15[[#This Row],[Total Graded]]-Table_15[[#This Row],[UNDERSIZE]]+0.0011</f>
        <v>1.1000000000000001E-3</v>
      </c>
      <c r="BE430" s="86">
        <f>Table_15[[#This Row],[Total Graded]]-Table_15[[#This Row],[Packing Quantity]]+Table_15[[#This Row],[PACKING LOOSE]]</f>
        <v>0</v>
      </c>
      <c r="BF430" s="34">
        <f>IF(Table_15[[#This Row],[GRADED BAGS]]&gt;0,Table_15[[#This Row],[GRADED BAGS]],Table_15[[#This Row],[Bags]])</f>
        <v>0</v>
      </c>
    </row>
    <row r="431" spans="1:58" ht="15.75" hidden="1" customHeight="1" x14ac:dyDescent="0.35">
      <c r="A431" s="22">
        <v>429</v>
      </c>
      <c r="B431" s="22"/>
      <c r="C431" s="23"/>
      <c r="D431" s="23"/>
      <c r="E431" s="24"/>
      <c r="F431" s="23"/>
      <c r="G431" s="100"/>
      <c r="H431" s="101"/>
      <c r="I431" s="102"/>
      <c r="J431" s="102"/>
      <c r="K431" s="233"/>
      <c r="L431" s="22"/>
      <c r="M431" s="25">
        <f t="shared" si="31"/>
        <v>0</v>
      </c>
      <c r="N431" s="25">
        <f t="shared" si="32"/>
        <v>0</v>
      </c>
      <c r="O431" s="25">
        <f t="shared" si="33"/>
        <v>0</v>
      </c>
      <c r="P431" s="25">
        <f t="shared" si="34"/>
        <v>0</v>
      </c>
      <c r="Q431" s="22"/>
      <c r="R431" s="22"/>
      <c r="S431" s="22"/>
      <c r="T431" s="22"/>
      <c r="U431" s="26">
        <f t="shared" si="35"/>
        <v>0</v>
      </c>
      <c r="V431" s="27"/>
      <c r="W431" s="28"/>
      <c r="X431" s="25" t="str">
        <f>+IF(AND('GRADING PACKING'!L$5=INWARDDATA!J431,'GRADING PACKING'!L$6=INWARDDATA!I431,AB431=0),"TRUE","FALSE")</f>
        <v>FALSE</v>
      </c>
      <c r="Y431" s="29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1"/>
      <c r="AK431" s="31"/>
      <c r="AL431" s="31"/>
      <c r="AM431" s="31"/>
      <c r="AN431" s="32" t="str">
        <f>+IF(AND('GRADING PACKING'!L$5=INWARDDATA!J431,'GRADING PACKING'!L$6=INWARDDATA!I431,AR431=0),"good","bad")</f>
        <v>bad</v>
      </c>
      <c r="AO431" s="33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86"/>
      <c r="BC431" s="86"/>
      <c r="BD431" s="97">
        <f>Table_15[[#This Row],[Wgt-Bag]]-Table_15[[#This Row],[Total Graded]]-Table_15[[#This Row],[UNDERSIZE]]+0.0011</f>
        <v>1.1000000000000001E-3</v>
      </c>
      <c r="BE431" s="86">
        <f>Table_15[[#This Row],[Total Graded]]-Table_15[[#This Row],[Packing Quantity]]+Table_15[[#This Row],[PACKING LOOSE]]</f>
        <v>0</v>
      </c>
      <c r="BF431" s="34">
        <f>IF(Table_15[[#This Row],[GRADED BAGS]]&gt;0,Table_15[[#This Row],[GRADED BAGS]],Table_15[[#This Row],[Bags]])</f>
        <v>0</v>
      </c>
    </row>
    <row r="432" spans="1:58" ht="15.75" hidden="1" customHeight="1" x14ac:dyDescent="0.35">
      <c r="A432" s="22">
        <v>430</v>
      </c>
      <c r="B432" s="22"/>
      <c r="C432" s="23"/>
      <c r="D432" s="23"/>
      <c r="E432" s="24"/>
      <c r="F432" s="23"/>
      <c r="G432" s="100"/>
      <c r="H432" s="101"/>
      <c r="I432" s="102"/>
      <c r="J432" s="102"/>
      <c r="K432" s="233"/>
      <c r="L432" s="22"/>
      <c r="M432" s="25">
        <f t="shared" si="31"/>
        <v>0</v>
      </c>
      <c r="N432" s="25">
        <f t="shared" si="32"/>
        <v>0</v>
      </c>
      <c r="O432" s="25">
        <f t="shared" si="33"/>
        <v>0</v>
      </c>
      <c r="P432" s="25">
        <f t="shared" si="34"/>
        <v>0</v>
      </c>
      <c r="Q432" s="22"/>
      <c r="R432" s="22"/>
      <c r="S432" s="22"/>
      <c r="T432" s="22"/>
      <c r="U432" s="26">
        <f t="shared" si="35"/>
        <v>0</v>
      </c>
      <c r="V432" s="27"/>
      <c r="W432" s="28"/>
      <c r="X432" s="25" t="str">
        <f>+IF(AND('GRADING PACKING'!L$5=INWARDDATA!J432,'GRADING PACKING'!L$6=INWARDDATA!I432,AB432=0),"TRUE","FALSE")</f>
        <v>FALSE</v>
      </c>
      <c r="Y432" s="29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1"/>
      <c r="AK432" s="31"/>
      <c r="AL432" s="31"/>
      <c r="AM432" s="31"/>
      <c r="AN432" s="32" t="str">
        <f>+IF(AND('GRADING PACKING'!L$5=INWARDDATA!J432,'GRADING PACKING'!L$6=INWARDDATA!I432,AR432=0),"good","bad")</f>
        <v>bad</v>
      </c>
      <c r="AO432" s="33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86"/>
      <c r="BC432" s="86"/>
      <c r="BD432" s="97">
        <f>Table_15[[#This Row],[Wgt-Bag]]-Table_15[[#This Row],[Total Graded]]-Table_15[[#This Row],[UNDERSIZE]]+0.0011</f>
        <v>1.1000000000000001E-3</v>
      </c>
      <c r="BE432" s="86">
        <f>Table_15[[#This Row],[Total Graded]]-Table_15[[#This Row],[Packing Quantity]]+Table_15[[#This Row],[PACKING LOOSE]]</f>
        <v>0</v>
      </c>
      <c r="BF432" s="34">
        <f>IF(Table_15[[#This Row],[GRADED BAGS]]&gt;0,Table_15[[#This Row],[GRADED BAGS]],Table_15[[#This Row],[Bags]])</f>
        <v>0</v>
      </c>
    </row>
    <row r="433" spans="1:58" ht="15.75" hidden="1" customHeight="1" x14ac:dyDescent="0.35">
      <c r="A433" s="22">
        <v>431</v>
      </c>
      <c r="B433" s="22"/>
      <c r="C433" s="23"/>
      <c r="D433" s="23"/>
      <c r="E433" s="24"/>
      <c r="F433" s="23"/>
      <c r="G433" s="100"/>
      <c r="H433" s="101"/>
      <c r="I433" s="102"/>
      <c r="J433" s="102"/>
      <c r="K433" s="233"/>
      <c r="L433" s="22"/>
      <c r="M433" s="25">
        <f t="shared" si="31"/>
        <v>0</v>
      </c>
      <c r="N433" s="25">
        <f t="shared" si="32"/>
        <v>0</v>
      </c>
      <c r="O433" s="25">
        <f t="shared" si="33"/>
        <v>0</v>
      </c>
      <c r="P433" s="25">
        <f t="shared" si="34"/>
        <v>0</v>
      </c>
      <c r="Q433" s="22"/>
      <c r="R433" s="22"/>
      <c r="S433" s="22"/>
      <c r="T433" s="22"/>
      <c r="U433" s="26">
        <f t="shared" si="35"/>
        <v>0</v>
      </c>
      <c r="V433" s="27"/>
      <c r="W433" s="28"/>
      <c r="X433" s="25" t="str">
        <f>+IF(AND('GRADING PACKING'!L$5=INWARDDATA!J433,'GRADING PACKING'!L$6=INWARDDATA!I433,AB433=0),"TRUE","FALSE")</f>
        <v>FALSE</v>
      </c>
      <c r="Y433" s="29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1"/>
      <c r="AK433" s="31"/>
      <c r="AL433" s="31"/>
      <c r="AM433" s="31"/>
      <c r="AN433" s="32" t="str">
        <f>+IF(AND('GRADING PACKING'!L$5=INWARDDATA!J433,'GRADING PACKING'!L$6=INWARDDATA!I433,AR433=0),"good","bad")</f>
        <v>bad</v>
      </c>
      <c r="AO433" s="33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86"/>
      <c r="BC433" s="86"/>
      <c r="BD433" s="97">
        <f>Table_15[[#This Row],[Wgt-Bag]]-Table_15[[#This Row],[Total Graded]]-Table_15[[#This Row],[UNDERSIZE]]+0.0011</f>
        <v>1.1000000000000001E-3</v>
      </c>
      <c r="BE433" s="86">
        <f>Table_15[[#This Row],[Total Graded]]-Table_15[[#This Row],[Packing Quantity]]+Table_15[[#This Row],[PACKING LOOSE]]</f>
        <v>0</v>
      </c>
      <c r="BF433" s="34">
        <f>IF(Table_15[[#This Row],[GRADED BAGS]]&gt;0,Table_15[[#This Row],[GRADED BAGS]],Table_15[[#This Row],[Bags]])</f>
        <v>0</v>
      </c>
    </row>
    <row r="434" spans="1:58" ht="15.75" hidden="1" customHeight="1" x14ac:dyDescent="0.35">
      <c r="A434" s="22">
        <v>432</v>
      </c>
      <c r="B434" s="22"/>
      <c r="C434" s="23"/>
      <c r="D434" s="23"/>
      <c r="E434" s="24"/>
      <c r="F434" s="23"/>
      <c r="G434" s="100"/>
      <c r="H434" s="101"/>
      <c r="I434" s="102"/>
      <c r="J434" s="102"/>
      <c r="K434" s="233"/>
      <c r="L434" s="22"/>
      <c r="M434" s="25">
        <f t="shared" si="31"/>
        <v>0</v>
      </c>
      <c r="N434" s="25">
        <f t="shared" si="32"/>
        <v>0</v>
      </c>
      <c r="O434" s="25">
        <f t="shared" si="33"/>
        <v>0</v>
      </c>
      <c r="P434" s="25">
        <f t="shared" si="34"/>
        <v>0</v>
      </c>
      <c r="Q434" s="22"/>
      <c r="R434" s="22"/>
      <c r="S434" s="22"/>
      <c r="T434" s="22"/>
      <c r="U434" s="26">
        <f t="shared" si="35"/>
        <v>0</v>
      </c>
      <c r="V434" s="27"/>
      <c r="W434" s="28"/>
      <c r="X434" s="25" t="str">
        <f>+IF(AND('GRADING PACKING'!L$5=INWARDDATA!J434,'GRADING PACKING'!L$6=INWARDDATA!I434,AB434=0),"TRUE","FALSE")</f>
        <v>FALSE</v>
      </c>
      <c r="Y434" s="29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1"/>
      <c r="AK434" s="31"/>
      <c r="AL434" s="31"/>
      <c r="AM434" s="31"/>
      <c r="AN434" s="32" t="str">
        <f>+IF(AND('GRADING PACKING'!L$5=INWARDDATA!J434,'GRADING PACKING'!L$6=INWARDDATA!I434,AR434=0),"good","bad")</f>
        <v>bad</v>
      </c>
      <c r="AO434" s="33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86"/>
      <c r="BC434" s="86"/>
      <c r="BD434" s="97">
        <f>Table_15[[#This Row],[Wgt-Bag]]-Table_15[[#This Row],[Total Graded]]-Table_15[[#This Row],[UNDERSIZE]]+0.0011</f>
        <v>1.1000000000000001E-3</v>
      </c>
      <c r="BE434" s="86">
        <f>Table_15[[#This Row],[Total Graded]]-Table_15[[#This Row],[Packing Quantity]]+Table_15[[#This Row],[PACKING LOOSE]]</f>
        <v>0</v>
      </c>
      <c r="BF434" s="34">
        <f>IF(Table_15[[#This Row],[GRADED BAGS]]&gt;0,Table_15[[#This Row],[GRADED BAGS]],Table_15[[#This Row],[Bags]])</f>
        <v>0</v>
      </c>
    </row>
    <row r="435" spans="1:58" ht="15.75" hidden="1" customHeight="1" x14ac:dyDescent="0.35">
      <c r="A435" s="22">
        <v>433</v>
      </c>
      <c r="B435" s="22"/>
      <c r="C435" s="23"/>
      <c r="D435" s="23"/>
      <c r="E435" s="24"/>
      <c r="F435" s="23"/>
      <c r="G435" s="100"/>
      <c r="H435" s="101"/>
      <c r="I435" s="102"/>
      <c r="J435" s="102"/>
      <c r="K435" s="233"/>
      <c r="L435" s="22"/>
      <c r="M435" s="25">
        <f t="shared" si="31"/>
        <v>0</v>
      </c>
      <c r="N435" s="25">
        <f t="shared" si="32"/>
        <v>0</v>
      </c>
      <c r="O435" s="25">
        <f t="shared" si="33"/>
        <v>0</v>
      </c>
      <c r="P435" s="25">
        <f t="shared" si="34"/>
        <v>0</v>
      </c>
      <c r="Q435" s="22"/>
      <c r="R435" s="22"/>
      <c r="S435" s="22"/>
      <c r="T435" s="22"/>
      <c r="U435" s="26">
        <f t="shared" si="35"/>
        <v>0</v>
      </c>
      <c r="V435" s="27"/>
      <c r="W435" s="28"/>
      <c r="X435" s="25" t="str">
        <f>+IF(AND('GRADING PACKING'!L$5=INWARDDATA!J435,'GRADING PACKING'!L$6=INWARDDATA!I435,AB435=0),"TRUE","FALSE")</f>
        <v>FALSE</v>
      </c>
      <c r="Y435" s="29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1"/>
      <c r="AK435" s="31"/>
      <c r="AL435" s="31"/>
      <c r="AM435" s="31"/>
      <c r="AN435" s="32" t="str">
        <f>+IF(AND('GRADING PACKING'!L$5=INWARDDATA!J435,'GRADING PACKING'!L$6=INWARDDATA!I435,AR435=0),"good","bad")</f>
        <v>bad</v>
      </c>
      <c r="AO435" s="33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86"/>
      <c r="BC435" s="86"/>
      <c r="BD435" s="97">
        <f>Table_15[[#This Row],[Wgt-Bag]]-Table_15[[#This Row],[Total Graded]]-Table_15[[#This Row],[UNDERSIZE]]+0.0011</f>
        <v>1.1000000000000001E-3</v>
      </c>
      <c r="BE435" s="86">
        <f>Table_15[[#This Row],[Total Graded]]-Table_15[[#This Row],[Packing Quantity]]+Table_15[[#This Row],[PACKING LOOSE]]</f>
        <v>0</v>
      </c>
      <c r="BF435" s="34">
        <f>IF(Table_15[[#This Row],[GRADED BAGS]]&gt;0,Table_15[[#This Row],[GRADED BAGS]],Table_15[[#This Row],[Bags]])</f>
        <v>0</v>
      </c>
    </row>
    <row r="436" spans="1:58" ht="15.75" hidden="1" customHeight="1" x14ac:dyDescent="0.35">
      <c r="A436" s="22">
        <v>434</v>
      </c>
      <c r="B436" s="22"/>
      <c r="C436" s="23"/>
      <c r="D436" s="23"/>
      <c r="E436" s="24"/>
      <c r="F436" s="23"/>
      <c r="G436" s="100"/>
      <c r="H436" s="101"/>
      <c r="I436" s="102"/>
      <c r="J436" s="102"/>
      <c r="K436" s="233"/>
      <c r="L436" s="22"/>
      <c r="M436" s="25">
        <f t="shared" si="31"/>
        <v>0</v>
      </c>
      <c r="N436" s="25">
        <f t="shared" si="32"/>
        <v>0</v>
      </c>
      <c r="O436" s="25">
        <f t="shared" si="33"/>
        <v>0</v>
      </c>
      <c r="P436" s="25">
        <f t="shared" si="34"/>
        <v>0</v>
      </c>
      <c r="Q436" s="22"/>
      <c r="R436" s="22"/>
      <c r="S436" s="22"/>
      <c r="T436" s="22"/>
      <c r="U436" s="26">
        <f t="shared" si="35"/>
        <v>0</v>
      </c>
      <c r="V436" s="27"/>
      <c r="W436" s="28"/>
      <c r="X436" s="25" t="str">
        <f>+IF(AND('GRADING PACKING'!L$5=INWARDDATA!J436,'GRADING PACKING'!L$6=INWARDDATA!I436,AB436=0),"TRUE","FALSE")</f>
        <v>FALSE</v>
      </c>
      <c r="Y436" s="29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1"/>
      <c r="AK436" s="31"/>
      <c r="AL436" s="31"/>
      <c r="AM436" s="31"/>
      <c r="AN436" s="32" t="str">
        <f>+IF(AND('GRADING PACKING'!L$5=INWARDDATA!J436,'GRADING PACKING'!L$6=INWARDDATA!I436,AR436=0),"good","bad")</f>
        <v>bad</v>
      </c>
      <c r="AO436" s="33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86"/>
      <c r="BC436" s="86"/>
      <c r="BD436" s="97">
        <f>Table_15[[#This Row],[Wgt-Bag]]-Table_15[[#This Row],[Total Graded]]-Table_15[[#This Row],[UNDERSIZE]]+0.0011</f>
        <v>1.1000000000000001E-3</v>
      </c>
      <c r="BE436" s="86">
        <f>Table_15[[#This Row],[Total Graded]]-Table_15[[#This Row],[Packing Quantity]]+Table_15[[#This Row],[PACKING LOOSE]]</f>
        <v>0</v>
      </c>
      <c r="BF436" s="34">
        <f>IF(Table_15[[#This Row],[GRADED BAGS]]&gt;0,Table_15[[#This Row],[GRADED BAGS]],Table_15[[#This Row],[Bags]])</f>
        <v>0</v>
      </c>
    </row>
    <row r="437" spans="1:58" ht="15.75" hidden="1" customHeight="1" x14ac:dyDescent="0.35">
      <c r="A437" s="22">
        <v>435</v>
      </c>
      <c r="B437" s="22"/>
      <c r="C437" s="23"/>
      <c r="D437" s="23"/>
      <c r="E437" s="24"/>
      <c r="F437" s="23"/>
      <c r="G437" s="100"/>
      <c r="H437" s="101"/>
      <c r="I437" s="102"/>
      <c r="J437" s="102"/>
      <c r="K437" s="233"/>
      <c r="L437" s="22"/>
      <c r="M437" s="25">
        <f t="shared" si="31"/>
        <v>0</v>
      </c>
      <c r="N437" s="25">
        <f t="shared" si="32"/>
        <v>0</v>
      </c>
      <c r="O437" s="25">
        <f t="shared" si="33"/>
        <v>0</v>
      </c>
      <c r="P437" s="25">
        <f t="shared" si="34"/>
        <v>0</v>
      </c>
      <c r="Q437" s="22"/>
      <c r="R437" s="22"/>
      <c r="S437" s="22"/>
      <c r="T437" s="22"/>
      <c r="U437" s="26">
        <f t="shared" si="35"/>
        <v>0</v>
      </c>
      <c r="V437" s="27"/>
      <c r="W437" s="28"/>
      <c r="X437" s="25" t="str">
        <f>+IF(AND('GRADING PACKING'!L$5=INWARDDATA!J437,'GRADING PACKING'!L$6=INWARDDATA!I437,AB437=0),"TRUE","FALSE")</f>
        <v>FALSE</v>
      </c>
      <c r="Y437" s="29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1"/>
      <c r="AK437" s="31"/>
      <c r="AL437" s="31"/>
      <c r="AM437" s="31"/>
      <c r="AN437" s="32" t="str">
        <f>+IF(AND('GRADING PACKING'!L$5=INWARDDATA!J437,'GRADING PACKING'!L$6=INWARDDATA!I437,AR437=0),"good","bad")</f>
        <v>bad</v>
      </c>
      <c r="AO437" s="33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86"/>
      <c r="BC437" s="86"/>
      <c r="BD437" s="97">
        <f>Table_15[[#This Row],[Wgt-Bag]]-Table_15[[#This Row],[Total Graded]]-Table_15[[#This Row],[UNDERSIZE]]+0.0011</f>
        <v>1.1000000000000001E-3</v>
      </c>
      <c r="BE437" s="86">
        <f>Table_15[[#This Row],[Total Graded]]-Table_15[[#This Row],[Packing Quantity]]+Table_15[[#This Row],[PACKING LOOSE]]</f>
        <v>0</v>
      </c>
      <c r="BF437" s="34">
        <f>IF(Table_15[[#This Row],[GRADED BAGS]]&gt;0,Table_15[[#This Row],[GRADED BAGS]],Table_15[[#This Row],[Bags]])</f>
        <v>0</v>
      </c>
    </row>
    <row r="438" spans="1:58" ht="15.75" hidden="1" customHeight="1" x14ac:dyDescent="0.35">
      <c r="A438" s="22">
        <v>436</v>
      </c>
      <c r="B438" s="22"/>
      <c r="C438" s="23"/>
      <c r="D438" s="23"/>
      <c r="E438" s="24"/>
      <c r="F438" s="23"/>
      <c r="G438" s="100"/>
      <c r="H438" s="101"/>
      <c r="I438" s="102"/>
      <c r="J438" s="102"/>
      <c r="K438" s="233"/>
      <c r="L438" s="22"/>
      <c r="M438" s="25">
        <f t="shared" si="31"/>
        <v>0</v>
      </c>
      <c r="N438" s="25">
        <f t="shared" si="32"/>
        <v>0</v>
      </c>
      <c r="O438" s="25">
        <f t="shared" si="33"/>
        <v>0</v>
      </c>
      <c r="P438" s="25">
        <f t="shared" si="34"/>
        <v>0</v>
      </c>
      <c r="Q438" s="22"/>
      <c r="R438" s="22"/>
      <c r="S438" s="22"/>
      <c r="T438" s="22"/>
      <c r="U438" s="26">
        <f t="shared" si="35"/>
        <v>0</v>
      </c>
      <c r="V438" s="27"/>
      <c r="W438" s="28"/>
      <c r="X438" s="25" t="str">
        <f>+IF(AND('GRADING PACKING'!L$5=INWARDDATA!J438,'GRADING PACKING'!L$6=INWARDDATA!I438,AB438=0),"TRUE","FALSE")</f>
        <v>FALSE</v>
      </c>
      <c r="Y438" s="29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1"/>
      <c r="AK438" s="31"/>
      <c r="AL438" s="31"/>
      <c r="AM438" s="31"/>
      <c r="AN438" s="32" t="str">
        <f>+IF(AND('GRADING PACKING'!L$5=INWARDDATA!J438,'GRADING PACKING'!L$6=INWARDDATA!I438,AR438=0),"good","bad")</f>
        <v>bad</v>
      </c>
      <c r="AO438" s="33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86"/>
      <c r="BC438" s="86"/>
      <c r="BD438" s="97">
        <f>Table_15[[#This Row],[Wgt-Bag]]-Table_15[[#This Row],[Total Graded]]-Table_15[[#This Row],[UNDERSIZE]]+0.0011</f>
        <v>1.1000000000000001E-3</v>
      </c>
      <c r="BE438" s="86">
        <f>Table_15[[#This Row],[Total Graded]]-Table_15[[#This Row],[Packing Quantity]]+Table_15[[#This Row],[PACKING LOOSE]]</f>
        <v>0</v>
      </c>
      <c r="BF438" s="34">
        <f>IF(Table_15[[#This Row],[GRADED BAGS]]&gt;0,Table_15[[#This Row],[GRADED BAGS]],Table_15[[#This Row],[Bags]])</f>
        <v>0</v>
      </c>
    </row>
    <row r="439" spans="1:58" ht="15.75" hidden="1" customHeight="1" x14ac:dyDescent="0.35">
      <c r="A439" s="22">
        <v>437</v>
      </c>
      <c r="B439" s="22"/>
      <c r="C439" s="23"/>
      <c r="D439" s="23"/>
      <c r="E439" s="24"/>
      <c r="F439" s="23"/>
      <c r="G439" s="100"/>
      <c r="H439" s="101"/>
      <c r="I439" s="102"/>
      <c r="J439" s="102"/>
      <c r="K439" s="233"/>
      <c r="L439" s="22"/>
      <c r="M439" s="25">
        <f t="shared" si="31"/>
        <v>0</v>
      </c>
      <c r="N439" s="25">
        <f t="shared" si="32"/>
        <v>0</v>
      </c>
      <c r="O439" s="25">
        <f t="shared" si="33"/>
        <v>0</v>
      </c>
      <c r="P439" s="25">
        <f t="shared" si="34"/>
        <v>0</v>
      </c>
      <c r="Q439" s="22"/>
      <c r="R439" s="22"/>
      <c r="S439" s="22"/>
      <c r="T439" s="22"/>
      <c r="U439" s="26">
        <f t="shared" si="35"/>
        <v>0</v>
      </c>
      <c r="V439" s="27"/>
      <c r="W439" s="28"/>
      <c r="X439" s="25" t="str">
        <f>+IF(AND('GRADING PACKING'!L$5=INWARDDATA!J439,'GRADING PACKING'!L$6=INWARDDATA!I439,AB439=0),"TRUE","FALSE")</f>
        <v>FALSE</v>
      </c>
      <c r="Y439" s="29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1"/>
      <c r="AK439" s="31"/>
      <c r="AL439" s="31"/>
      <c r="AM439" s="31"/>
      <c r="AN439" s="32" t="str">
        <f>+IF(AND('GRADING PACKING'!L$5=INWARDDATA!J439,'GRADING PACKING'!L$6=INWARDDATA!I439,AR439=0),"good","bad")</f>
        <v>bad</v>
      </c>
      <c r="AO439" s="33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86"/>
      <c r="BC439" s="86"/>
      <c r="BD439" s="97">
        <f>Table_15[[#This Row],[Wgt-Bag]]-Table_15[[#This Row],[Total Graded]]-Table_15[[#This Row],[UNDERSIZE]]+0.0011</f>
        <v>1.1000000000000001E-3</v>
      </c>
      <c r="BE439" s="86">
        <f>Table_15[[#This Row],[Total Graded]]-Table_15[[#This Row],[Packing Quantity]]+Table_15[[#This Row],[PACKING LOOSE]]</f>
        <v>0</v>
      </c>
      <c r="BF439" s="34">
        <f>IF(Table_15[[#This Row],[GRADED BAGS]]&gt;0,Table_15[[#This Row],[GRADED BAGS]],Table_15[[#This Row],[Bags]])</f>
        <v>0</v>
      </c>
    </row>
    <row r="440" spans="1:58" ht="15.75" hidden="1" customHeight="1" x14ac:dyDescent="0.35">
      <c r="A440" s="22">
        <v>438</v>
      </c>
      <c r="B440" s="22"/>
      <c r="C440" s="23"/>
      <c r="D440" s="23"/>
      <c r="E440" s="24"/>
      <c r="F440" s="23"/>
      <c r="G440" s="100"/>
      <c r="H440" s="101"/>
      <c r="I440" s="102"/>
      <c r="J440" s="102"/>
      <c r="K440" s="233"/>
      <c r="L440" s="22"/>
      <c r="M440" s="25">
        <f t="shared" si="31"/>
        <v>0</v>
      </c>
      <c r="N440" s="25">
        <f t="shared" si="32"/>
        <v>0</v>
      </c>
      <c r="O440" s="25">
        <f t="shared" si="33"/>
        <v>0</v>
      </c>
      <c r="P440" s="25">
        <f t="shared" si="34"/>
        <v>0</v>
      </c>
      <c r="Q440" s="22"/>
      <c r="R440" s="22"/>
      <c r="S440" s="22"/>
      <c r="T440" s="22"/>
      <c r="U440" s="26">
        <f t="shared" si="35"/>
        <v>0</v>
      </c>
      <c r="V440" s="27"/>
      <c r="W440" s="28"/>
      <c r="X440" s="25" t="str">
        <f>+IF(AND('GRADING PACKING'!L$5=INWARDDATA!J440,'GRADING PACKING'!L$6=INWARDDATA!I440,AB440=0),"TRUE","FALSE")</f>
        <v>FALSE</v>
      </c>
      <c r="Y440" s="29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1"/>
      <c r="AK440" s="31"/>
      <c r="AL440" s="31"/>
      <c r="AM440" s="31"/>
      <c r="AN440" s="32" t="str">
        <f>+IF(AND('GRADING PACKING'!L$5=INWARDDATA!J440,'GRADING PACKING'!L$6=INWARDDATA!I440,AR440=0),"good","bad")</f>
        <v>bad</v>
      </c>
      <c r="AO440" s="33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86"/>
      <c r="BC440" s="86"/>
      <c r="BD440" s="97">
        <f>Table_15[[#This Row],[Wgt-Bag]]-Table_15[[#This Row],[Total Graded]]-Table_15[[#This Row],[UNDERSIZE]]+0.0011</f>
        <v>1.1000000000000001E-3</v>
      </c>
      <c r="BE440" s="86">
        <f>Table_15[[#This Row],[Total Graded]]-Table_15[[#This Row],[Packing Quantity]]+Table_15[[#This Row],[PACKING LOOSE]]</f>
        <v>0</v>
      </c>
      <c r="BF440" s="34">
        <f>IF(Table_15[[#This Row],[GRADED BAGS]]&gt;0,Table_15[[#This Row],[GRADED BAGS]],Table_15[[#This Row],[Bags]])</f>
        <v>0</v>
      </c>
    </row>
    <row r="441" spans="1:58" ht="15.75" hidden="1" customHeight="1" x14ac:dyDescent="0.35">
      <c r="A441" s="22">
        <v>439</v>
      </c>
      <c r="B441" s="22"/>
      <c r="C441" s="23"/>
      <c r="D441" s="23"/>
      <c r="E441" s="24"/>
      <c r="F441" s="23"/>
      <c r="G441" s="100"/>
      <c r="H441" s="101"/>
      <c r="I441" s="102"/>
      <c r="J441" s="102"/>
      <c r="K441" s="233"/>
      <c r="L441" s="22"/>
      <c r="M441" s="25">
        <f t="shared" si="31"/>
        <v>0</v>
      </c>
      <c r="N441" s="25">
        <f t="shared" si="32"/>
        <v>0</v>
      </c>
      <c r="O441" s="25">
        <f t="shared" si="33"/>
        <v>0</v>
      </c>
      <c r="P441" s="25">
        <f t="shared" si="34"/>
        <v>0</v>
      </c>
      <c r="Q441" s="22"/>
      <c r="R441" s="22"/>
      <c r="S441" s="22"/>
      <c r="T441" s="22"/>
      <c r="U441" s="26">
        <f t="shared" si="35"/>
        <v>0</v>
      </c>
      <c r="V441" s="27"/>
      <c r="W441" s="28"/>
      <c r="X441" s="25" t="str">
        <f>+IF(AND('GRADING PACKING'!L$5=INWARDDATA!J441,'GRADING PACKING'!L$6=INWARDDATA!I441,AB441=0),"TRUE","FALSE")</f>
        <v>FALSE</v>
      </c>
      <c r="Y441" s="29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1"/>
      <c r="AK441" s="31"/>
      <c r="AL441" s="31"/>
      <c r="AM441" s="31"/>
      <c r="AN441" s="32" t="str">
        <f>+IF(AND('GRADING PACKING'!L$5=INWARDDATA!J441,'GRADING PACKING'!L$6=INWARDDATA!I441,AR441=0),"good","bad")</f>
        <v>bad</v>
      </c>
      <c r="AO441" s="33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86"/>
      <c r="BC441" s="86"/>
      <c r="BD441" s="97">
        <f>Table_15[[#This Row],[Wgt-Bag]]-Table_15[[#This Row],[Total Graded]]-Table_15[[#This Row],[UNDERSIZE]]+0.0011</f>
        <v>1.1000000000000001E-3</v>
      </c>
      <c r="BE441" s="86">
        <f>Table_15[[#This Row],[Total Graded]]-Table_15[[#This Row],[Packing Quantity]]+Table_15[[#This Row],[PACKING LOOSE]]</f>
        <v>0</v>
      </c>
      <c r="BF441" s="34">
        <f>IF(Table_15[[#This Row],[GRADED BAGS]]&gt;0,Table_15[[#This Row],[GRADED BAGS]],Table_15[[#This Row],[Bags]])</f>
        <v>0</v>
      </c>
    </row>
    <row r="442" spans="1:58" ht="15.75" hidden="1" customHeight="1" x14ac:dyDescent="0.35">
      <c r="A442" s="22">
        <v>440</v>
      </c>
      <c r="B442" s="22"/>
      <c r="C442" s="23"/>
      <c r="D442" s="23"/>
      <c r="E442" s="24"/>
      <c r="F442" s="23"/>
      <c r="G442" s="100"/>
      <c r="H442" s="101"/>
      <c r="I442" s="102"/>
      <c r="J442" s="102"/>
      <c r="K442" s="233"/>
      <c r="L442" s="22"/>
      <c r="M442" s="25">
        <f t="shared" si="31"/>
        <v>0</v>
      </c>
      <c r="N442" s="25">
        <f t="shared" si="32"/>
        <v>0</v>
      </c>
      <c r="O442" s="25">
        <f t="shared" si="33"/>
        <v>0</v>
      </c>
      <c r="P442" s="25">
        <f t="shared" si="34"/>
        <v>0</v>
      </c>
      <c r="Q442" s="22"/>
      <c r="R442" s="22"/>
      <c r="S442" s="22"/>
      <c r="T442" s="22"/>
      <c r="U442" s="26">
        <f t="shared" si="35"/>
        <v>0</v>
      </c>
      <c r="V442" s="27"/>
      <c r="W442" s="28"/>
      <c r="X442" s="25" t="str">
        <f>+IF(AND('GRADING PACKING'!L$5=INWARDDATA!J442,'GRADING PACKING'!L$6=INWARDDATA!I442,AB442=0),"TRUE","FALSE")</f>
        <v>FALSE</v>
      </c>
      <c r="Y442" s="29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1"/>
      <c r="AK442" s="31"/>
      <c r="AL442" s="31"/>
      <c r="AM442" s="31"/>
      <c r="AN442" s="32" t="str">
        <f>+IF(AND('GRADING PACKING'!L$5=INWARDDATA!J442,'GRADING PACKING'!L$6=INWARDDATA!I442,AR442=0),"good","bad")</f>
        <v>bad</v>
      </c>
      <c r="AO442" s="33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86"/>
      <c r="BC442" s="86"/>
      <c r="BD442" s="97">
        <f>Table_15[[#This Row],[Wgt-Bag]]-Table_15[[#This Row],[Total Graded]]-Table_15[[#This Row],[UNDERSIZE]]+0.0011</f>
        <v>1.1000000000000001E-3</v>
      </c>
      <c r="BE442" s="86">
        <f>Table_15[[#This Row],[Total Graded]]-Table_15[[#This Row],[Packing Quantity]]+Table_15[[#This Row],[PACKING LOOSE]]</f>
        <v>0</v>
      </c>
      <c r="BF442" s="34">
        <f>IF(Table_15[[#This Row],[GRADED BAGS]]&gt;0,Table_15[[#This Row],[GRADED BAGS]],Table_15[[#This Row],[Bags]])</f>
        <v>0</v>
      </c>
    </row>
    <row r="443" spans="1:58" ht="15.75" hidden="1" customHeight="1" x14ac:dyDescent="0.35">
      <c r="A443" s="22">
        <v>441</v>
      </c>
      <c r="B443" s="22"/>
      <c r="C443" s="23"/>
      <c r="D443" s="23"/>
      <c r="E443" s="24"/>
      <c r="F443" s="23"/>
      <c r="G443" s="100"/>
      <c r="H443" s="101"/>
      <c r="I443" s="102"/>
      <c r="J443" s="102"/>
      <c r="K443" s="233"/>
      <c r="L443" s="22"/>
      <c r="M443" s="25">
        <f t="shared" si="31"/>
        <v>0</v>
      </c>
      <c r="N443" s="25">
        <f t="shared" si="32"/>
        <v>0</v>
      </c>
      <c r="O443" s="25">
        <f t="shared" si="33"/>
        <v>0</v>
      </c>
      <c r="P443" s="25">
        <f t="shared" si="34"/>
        <v>0</v>
      </c>
      <c r="Q443" s="22"/>
      <c r="R443" s="22"/>
      <c r="S443" s="22"/>
      <c r="T443" s="22"/>
      <c r="U443" s="26">
        <f t="shared" si="35"/>
        <v>0</v>
      </c>
      <c r="V443" s="27"/>
      <c r="W443" s="28"/>
      <c r="X443" s="25" t="str">
        <f>+IF(AND('GRADING PACKING'!L$5=INWARDDATA!J443,'GRADING PACKING'!L$6=INWARDDATA!I443,AB443=0),"TRUE","FALSE")</f>
        <v>FALSE</v>
      </c>
      <c r="Y443" s="29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1"/>
      <c r="AK443" s="31"/>
      <c r="AL443" s="31"/>
      <c r="AM443" s="31"/>
      <c r="AN443" s="32" t="str">
        <f>+IF(AND('GRADING PACKING'!L$5=INWARDDATA!J443,'GRADING PACKING'!L$6=INWARDDATA!I443,AR443=0),"good","bad")</f>
        <v>bad</v>
      </c>
      <c r="AO443" s="33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86"/>
      <c r="BC443" s="86"/>
      <c r="BD443" s="97">
        <f>Table_15[[#This Row],[Wgt-Bag]]-Table_15[[#This Row],[Total Graded]]-Table_15[[#This Row],[UNDERSIZE]]+0.0011</f>
        <v>1.1000000000000001E-3</v>
      </c>
      <c r="BE443" s="86">
        <f>Table_15[[#This Row],[Total Graded]]-Table_15[[#This Row],[Packing Quantity]]+Table_15[[#This Row],[PACKING LOOSE]]</f>
        <v>0</v>
      </c>
      <c r="BF443" s="34">
        <f>IF(Table_15[[#This Row],[GRADED BAGS]]&gt;0,Table_15[[#This Row],[GRADED BAGS]],Table_15[[#This Row],[Bags]])</f>
        <v>0</v>
      </c>
    </row>
    <row r="444" spans="1:58" ht="15.75" hidden="1" customHeight="1" x14ac:dyDescent="0.35">
      <c r="A444" s="22">
        <v>442</v>
      </c>
      <c r="B444" s="22"/>
      <c r="C444" s="23"/>
      <c r="D444" s="23"/>
      <c r="E444" s="24"/>
      <c r="F444" s="23"/>
      <c r="G444" s="100"/>
      <c r="H444" s="101"/>
      <c r="I444" s="102"/>
      <c r="J444" s="102"/>
      <c r="K444" s="233"/>
      <c r="L444" s="22"/>
      <c r="M444" s="25">
        <f t="shared" si="31"/>
        <v>0</v>
      </c>
      <c r="N444" s="25">
        <f t="shared" si="32"/>
        <v>0</v>
      </c>
      <c r="O444" s="25">
        <f t="shared" si="33"/>
        <v>0</v>
      </c>
      <c r="P444" s="25">
        <f t="shared" si="34"/>
        <v>0</v>
      </c>
      <c r="Q444" s="22"/>
      <c r="R444" s="22"/>
      <c r="S444" s="22"/>
      <c r="T444" s="22"/>
      <c r="U444" s="26">
        <f t="shared" si="35"/>
        <v>0</v>
      </c>
      <c r="V444" s="27"/>
      <c r="W444" s="28"/>
      <c r="X444" s="25" t="str">
        <f>+IF(AND('GRADING PACKING'!L$5=INWARDDATA!J444,'GRADING PACKING'!L$6=INWARDDATA!I444,AB444=0),"TRUE","FALSE")</f>
        <v>FALSE</v>
      </c>
      <c r="Y444" s="29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1"/>
      <c r="AK444" s="31"/>
      <c r="AL444" s="31"/>
      <c r="AM444" s="31"/>
      <c r="AN444" s="32" t="str">
        <f>+IF(AND('GRADING PACKING'!L$5=INWARDDATA!J444,'GRADING PACKING'!L$6=INWARDDATA!I444,AR444=0),"good","bad")</f>
        <v>bad</v>
      </c>
      <c r="AO444" s="33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86"/>
      <c r="BC444" s="86"/>
      <c r="BD444" s="97">
        <f>Table_15[[#This Row],[Wgt-Bag]]-Table_15[[#This Row],[Total Graded]]-Table_15[[#This Row],[UNDERSIZE]]+0.0011</f>
        <v>1.1000000000000001E-3</v>
      </c>
      <c r="BE444" s="86">
        <f>Table_15[[#This Row],[Total Graded]]-Table_15[[#This Row],[Packing Quantity]]+Table_15[[#This Row],[PACKING LOOSE]]</f>
        <v>0</v>
      </c>
      <c r="BF444" s="34">
        <f>IF(Table_15[[#This Row],[GRADED BAGS]]&gt;0,Table_15[[#This Row],[GRADED BAGS]],Table_15[[#This Row],[Bags]])</f>
        <v>0</v>
      </c>
    </row>
    <row r="445" spans="1:58" ht="15.75" hidden="1" customHeight="1" x14ac:dyDescent="0.35">
      <c r="A445" s="22">
        <v>443</v>
      </c>
      <c r="B445" s="22"/>
      <c r="C445" s="23"/>
      <c r="D445" s="23"/>
      <c r="E445" s="24"/>
      <c r="F445" s="23"/>
      <c r="G445" s="100"/>
      <c r="H445" s="101"/>
      <c r="I445" s="102"/>
      <c r="J445" s="102"/>
      <c r="K445" s="233"/>
      <c r="L445" s="22"/>
      <c r="M445" s="25">
        <f t="shared" si="31"/>
        <v>0</v>
      </c>
      <c r="N445" s="25">
        <f t="shared" si="32"/>
        <v>0</v>
      </c>
      <c r="O445" s="25">
        <f t="shared" si="33"/>
        <v>0</v>
      </c>
      <c r="P445" s="25">
        <f t="shared" si="34"/>
        <v>0</v>
      </c>
      <c r="Q445" s="22"/>
      <c r="R445" s="22"/>
      <c r="S445" s="22"/>
      <c r="T445" s="22"/>
      <c r="U445" s="26">
        <f t="shared" si="35"/>
        <v>0</v>
      </c>
      <c r="V445" s="27"/>
      <c r="W445" s="28"/>
      <c r="X445" s="25" t="str">
        <f>+IF(AND('GRADING PACKING'!L$5=INWARDDATA!J445,'GRADING PACKING'!L$6=INWARDDATA!I445,AB445=0),"TRUE","FALSE")</f>
        <v>FALSE</v>
      </c>
      <c r="Y445" s="29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1"/>
      <c r="AK445" s="31"/>
      <c r="AL445" s="31"/>
      <c r="AM445" s="31"/>
      <c r="AN445" s="32" t="str">
        <f>+IF(AND('GRADING PACKING'!L$5=INWARDDATA!J445,'GRADING PACKING'!L$6=INWARDDATA!I445,AR445=0),"good","bad")</f>
        <v>bad</v>
      </c>
      <c r="AO445" s="33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86"/>
      <c r="BC445" s="86"/>
      <c r="BD445" s="97">
        <f>Table_15[[#This Row],[Wgt-Bag]]-Table_15[[#This Row],[Total Graded]]-Table_15[[#This Row],[UNDERSIZE]]+0.0011</f>
        <v>1.1000000000000001E-3</v>
      </c>
      <c r="BE445" s="86">
        <f>Table_15[[#This Row],[Total Graded]]-Table_15[[#This Row],[Packing Quantity]]+Table_15[[#This Row],[PACKING LOOSE]]</f>
        <v>0</v>
      </c>
      <c r="BF445" s="34">
        <f>IF(Table_15[[#This Row],[GRADED BAGS]]&gt;0,Table_15[[#This Row],[GRADED BAGS]],Table_15[[#This Row],[Bags]])</f>
        <v>0</v>
      </c>
    </row>
    <row r="446" spans="1:58" ht="15.75" hidden="1" customHeight="1" x14ac:dyDescent="0.35">
      <c r="A446" s="22">
        <v>444</v>
      </c>
      <c r="B446" s="22"/>
      <c r="C446" s="23"/>
      <c r="D446" s="23"/>
      <c r="E446" s="24"/>
      <c r="F446" s="23"/>
      <c r="G446" s="100"/>
      <c r="H446" s="101"/>
      <c r="I446" s="102"/>
      <c r="J446" s="102"/>
      <c r="K446" s="233"/>
      <c r="L446" s="22"/>
      <c r="M446" s="25">
        <f t="shared" si="31"/>
        <v>0</v>
      </c>
      <c r="N446" s="25">
        <f t="shared" si="32"/>
        <v>0</v>
      </c>
      <c r="O446" s="25">
        <f t="shared" si="33"/>
        <v>0</v>
      </c>
      <c r="P446" s="25">
        <f t="shared" si="34"/>
        <v>0</v>
      </c>
      <c r="Q446" s="22"/>
      <c r="R446" s="22"/>
      <c r="S446" s="22"/>
      <c r="T446" s="22"/>
      <c r="U446" s="26">
        <f t="shared" si="35"/>
        <v>0</v>
      </c>
      <c r="V446" s="27"/>
      <c r="W446" s="28"/>
      <c r="X446" s="25" t="str">
        <f>+IF(AND('GRADING PACKING'!L$5=INWARDDATA!J446,'GRADING PACKING'!L$6=INWARDDATA!I446,AB446=0),"TRUE","FALSE")</f>
        <v>FALSE</v>
      </c>
      <c r="Y446" s="29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1"/>
      <c r="AK446" s="31"/>
      <c r="AL446" s="31"/>
      <c r="AM446" s="31"/>
      <c r="AN446" s="32" t="str">
        <f>+IF(AND('GRADING PACKING'!L$5=INWARDDATA!J446,'GRADING PACKING'!L$6=INWARDDATA!I446,AR446=0),"good","bad")</f>
        <v>bad</v>
      </c>
      <c r="AO446" s="33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86"/>
      <c r="BC446" s="86"/>
      <c r="BD446" s="97">
        <f>Table_15[[#This Row],[Wgt-Bag]]-Table_15[[#This Row],[Total Graded]]-Table_15[[#This Row],[UNDERSIZE]]+0.0011</f>
        <v>1.1000000000000001E-3</v>
      </c>
      <c r="BE446" s="86">
        <f>Table_15[[#This Row],[Total Graded]]-Table_15[[#This Row],[Packing Quantity]]+Table_15[[#This Row],[PACKING LOOSE]]</f>
        <v>0</v>
      </c>
      <c r="BF446" s="34">
        <f>IF(Table_15[[#This Row],[GRADED BAGS]]&gt;0,Table_15[[#This Row],[GRADED BAGS]],Table_15[[#This Row],[Bags]])</f>
        <v>0</v>
      </c>
    </row>
    <row r="447" spans="1:58" ht="15.75" hidden="1" customHeight="1" x14ac:dyDescent="0.35">
      <c r="A447" s="22">
        <v>445</v>
      </c>
      <c r="B447" s="22"/>
      <c r="C447" s="23"/>
      <c r="D447" s="23"/>
      <c r="E447" s="24"/>
      <c r="F447" s="23"/>
      <c r="G447" s="100"/>
      <c r="H447" s="101"/>
      <c r="I447" s="102"/>
      <c r="J447" s="102"/>
      <c r="K447" s="233"/>
      <c r="L447" s="22"/>
      <c r="M447" s="25">
        <f t="shared" si="31"/>
        <v>0</v>
      </c>
      <c r="N447" s="25">
        <f t="shared" si="32"/>
        <v>0</v>
      </c>
      <c r="O447" s="25">
        <f t="shared" si="33"/>
        <v>0</v>
      </c>
      <c r="P447" s="25">
        <f t="shared" si="34"/>
        <v>0</v>
      </c>
      <c r="Q447" s="22"/>
      <c r="R447" s="22"/>
      <c r="S447" s="22"/>
      <c r="T447" s="22"/>
      <c r="U447" s="26">
        <f t="shared" si="35"/>
        <v>0</v>
      </c>
      <c r="V447" s="27"/>
      <c r="W447" s="28"/>
      <c r="X447" s="25" t="str">
        <f>+IF(AND('GRADING PACKING'!L$5=INWARDDATA!J447,'GRADING PACKING'!L$6=INWARDDATA!I447,AB447=0),"TRUE","FALSE")</f>
        <v>FALSE</v>
      </c>
      <c r="Y447" s="29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1"/>
      <c r="AK447" s="31"/>
      <c r="AL447" s="31"/>
      <c r="AM447" s="31"/>
      <c r="AN447" s="32" t="str">
        <f>+IF(AND('GRADING PACKING'!L$5=INWARDDATA!J447,'GRADING PACKING'!L$6=INWARDDATA!I447,AR447=0),"good","bad")</f>
        <v>bad</v>
      </c>
      <c r="AO447" s="33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86"/>
      <c r="BC447" s="86"/>
      <c r="BD447" s="97">
        <f>Table_15[[#This Row],[Wgt-Bag]]-Table_15[[#This Row],[Total Graded]]-Table_15[[#This Row],[UNDERSIZE]]+0.0011</f>
        <v>1.1000000000000001E-3</v>
      </c>
      <c r="BE447" s="86">
        <f>Table_15[[#This Row],[Total Graded]]-Table_15[[#This Row],[Packing Quantity]]+Table_15[[#This Row],[PACKING LOOSE]]</f>
        <v>0</v>
      </c>
      <c r="BF447" s="34">
        <f>IF(Table_15[[#This Row],[GRADED BAGS]]&gt;0,Table_15[[#This Row],[GRADED BAGS]],Table_15[[#This Row],[Bags]])</f>
        <v>0</v>
      </c>
    </row>
    <row r="448" spans="1:58" ht="15.75" hidden="1" customHeight="1" x14ac:dyDescent="0.35">
      <c r="A448" s="22">
        <v>446</v>
      </c>
      <c r="B448" s="22"/>
      <c r="C448" s="23"/>
      <c r="D448" s="23"/>
      <c r="E448" s="24"/>
      <c r="F448" s="23"/>
      <c r="G448" s="100"/>
      <c r="H448" s="101"/>
      <c r="I448" s="102"/>
      <c r="J448" s="102"/>
      <c r="K448" s="233"/>
      <c r="L448" s="22"/>
      <c r="M448" s="25">
        <f t="shared" si="31"/>
        <v>0</v>
      </c>
      <c r="N448" s="25">
        <f t="shared" si="32"/>
        <v>0</v>
      </c>
      <c r="O448" s="25">
        <f t="shared" si="33"/>
        <v>0</v>
      </c>
      <c r="P448" s="25">
        <f t="shared" si="34"/>
        <v>0</v>
      </c>
      <c r="Q448" s="22"/>
      <c r="R448" s="22"/>
      <c r="S448" s="22"/>
      <c r="T448" s="22"/>
      <c r="U448" s="26">
        <f t="shared" si="35"/>
        <v>0</v>
      </c>
      <c r="V448" s="27"/>
      <c r="W448" s="28"/>
      <c r="X448" s="25" t="str">
        <f>+IF(AND('GRADING PACKING'!L$5=INWARDDATA!J448,'GRADING PACKING'!L$6=INWARDDATA!I448,AB448=0),"TRUE","FALSE")</f>
        <v>FALSE</v>
      </c>
      <c r="Y448" s="29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1"/>
      <c r="AK448" s="31"/>
      <c r="AL448" s="31"/>
      <c r="AM448" s="31"/>
      <c r="AN448" s="32" t="str">
        <f>+IF(AND('GRADING PACKING'!L$5=INWARDDATA!J448,'GRADING PACKING'!L$6=INWARDDATA!I448,AR448=0),"good","bad")</f>
        <v>bad</v>
      </c>
      <c r="AO448" s="33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86"/>
      <c r="BC448" s="86"/>
      <c r="BD448" s="97">
        <f>Table_15[[#This Row],[Wgt-Bag]]-Table_15[[#This Row],[Total Graded]]-Table_15[[#This Row],[UNDERSIZE]]+0.0011</f>
        <v>1.1000000000000001E-3</v>
      </c>
      <c r="BE448" s="86">
        <f>Table_15[[#This Row],[Total Graded]]-Table_15[[#This Row],[Packing Quantity]]+Table_15[[#This Row],[PACKING LOOSE]]</f>
        <v>0</v>
      </c>
      <c r="BF448" s="34">
        <f>IF(Table_15[[#This Row],[GRADED BAGS]]&gt;0,Table_15[[#This Row],[GRADED BAGS]],Table_15[[#This Row],[Bags]])</f>
        <v>0</v>
      </c>
    </row>
    <row r="449" spans="1:58" ht="15.75" hidden="1" customHeight="1" x14ac:dyDescent="0.35">
      <c r="A449" s="22">
        <v>447</v>
      </c>
      <c r="B449" s="22"/>
      <c r="C449" s="23"/>
      <c r="D449" s="23"/>
      <c r="E449" s="24"/>
      <c r="F449" s="23"/>
      <c r="G449" s="100"/>
      <c r="H449" s="101"/>
      <c r="I449" s="102"/>
      <c r="J449" s="102"/>
      <c r="K449" s="233"/>
      <c r="L449" s="22"/>
      <c r="M449" s="25">
        <f t="shared" si="31"/>
        <v>0</v>
      </c>
      <c r="N449" s="25">
        <f t="shared" si="32"/>
        <v>0</v>
      </c>
      <c r="O449" s="25">
        <f t="shared" si="33"/>
        <v>0</v>
      </c>
      <c r="P449" s="25">
        <f t="shared" si="34"/>
        <v>0</v>
      </c>
      <c r="Q449" s="22"/>
      <c r="R449" s="22"/>
      <c r="S449" s="22"/>
      <c r="T449" s="22"/>
      <c r="U449" s="26">
        <f t="shared" si="35"/>
        <v>0</v>
      </c>
      <c r="V449" s="27"/>
      <c r="W449" s="28"/>
      <c r="X449" s="25" t="str">
        <f>+IF(AND('GRADING PACKING'!L$5=INWARDDATA!J449,'GRADING PACKING'!L$6=INWARDDATA!I449,AB449=0),"TRUE","FALSE")</f>
        <v>FALSE</v>
      </c>
      <c r="Y449" s="29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1"/>
      <c r="AK449" s="31"/>
      <c r="AL449" s="31"/>
      <c r="AM449" s="31"/>
      <c r="AN449" s="32" t="str">
        <f>+IF(AND('GRADING PACKING'!L$5=INWARDDATA!J449,'GRADING PACKING'!L$6=INWARDDATA!I449,AR449=0),"good","bad")</f>
        <v>bad</v>
      </c>
      <c r="AO449" s="33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86"/>
      <c r="BC449" s="86"/>
      <c r="BD449" s="97">
        <f>Table_15[[#This Row],[Wgt-Bag]]-Table_15[[#This Row],[Total Graded]]-Table_15[[#This Row],[UNDERSIZE]]+0.0011</f>
        <v>1.1000000000000001E-3</v>
      </c>
      <c r="BE449" s="86">
        <f>Table_15[[#This Row],[Total Graded]]-Table_15[[#This Row],[Packing Quantity]]+Table_15[[#This Row],[PACKING LOOSE]]</f>
        <v>0</v>
      </c>
      <c r="BF449" s="34">
        <f>IF(Table_15[[#This Row],[GRADED BAGS]]&gt;0,Table_15[[#This Row],[GRADED BAGS]],Table_15[[#This Row],[Bags]])</f>
        <v>0</v>
      </c>
    </row>
    <row r="450" spans="1:58" ht="15.75" hidden="1" customHeight="1" x14ac:dyDescent="0.35">
      <c r="A450" s="22">
        <v>448</v>
      </c>
      <c r="B450" s="22"/>
      <c r="C450" s="23"/>
      <c r="D450" s="23"/>
      <c r="E450" s="24"/>
      <c r="F450" s="23"/>
      <c r="G450" s="100"/>
      <c r="H450" s="101"/>
      <c r="I450" s="102"/>
      <c r="J450" s="102"/>
      <c r="K450" s="233"/>
      <c r="L450" s="22"/>
      <c r="M450" s="25">
        <f t="shared" si="31"/>
        <v>0</v>
      </c>
      <c r="N450" s="25">
        <f t="shared" si="32"/>
        <v>0</v>
      </c>
      <c r="O450" s="25">
        <f t="shared" si="33"/>
        <v>0</v>
      </c>
      <c r="P450" s="25">
        <f t="shared" si="34"/>
        <v>0</v>
      </c>
      <c r="Q450" s="22"/>
      <c r="R450" s="22"/>
      <c r="S450" s="22"/>
      <c r="T450" s="22"/>
      <c r="U450" s="26">
        <f t="shared" si="35"/>
        <v>0</v>
      </c>
      <c r="V450" s="27"/>
      <c r="W450" s="28"/>
      <c r="X450" s="25" t="str">
        <f>+IF(AND('GRADING PACKING'!L$5=INWARDDATA!J450,'GRADING PACKING'!L$6=INWARDDATA!I450,AB450=0),"TRUE","FALSE")</f>
        <v>FALSE</v>
      </c>
      <c r="Y450" s="29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1"/>
      <c r="AK450" s="31"/>
      <c r="AL450" s="31"/>
      <c r="AM450" s="31"/>
      <c r="AN450" s="32" t="str">
        <f>+IF(AND('GRADING PACKING'!L$5=INWARDDATA!J450,'GRADING PACKING'!L$6=INWARDDATA!I450,AR450=0),"good","bad")</f>
        <v>bad</v>
      </c>
      <c r="AO450" s="33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86"/>
      <c r="BC450" s="86"/>
      <c r="BD450" s="97">
        <f>Table_15[[#This Row],[Wgt-Bag]]-Table_15[[#This Row],[Total Graded]]-Table_15[[#This Row],[UNDERSIZE]]+0.0011</f>
        <v>1.1000000000000001E-3</v>
      </c>
      <c r="BE450" s="86">
        <f>Table_15[[#This Row],[Total Graded]]-Table_15[[#This Row],[Packing Quantity]]+Table_15[[#This Row],[PACKING LOOSE]]</f>
        <v>0</v>
      </c>
      <c r="BF450" s="34">
        <f>IF(Table_15[[#This Row],[GRADED BAGS]]&gt;0,Table_15[[#This Row],[GRADED BAGS]],Table_15[[#This Row],[Bags]])</f>
        <v>0</v>
      </c>
    </row>
    <row r="451" spans="1:58" ht="15.75" hidden="1" customHeight="1" x14ac:dyDescent="0.35">
      <c r="A451" s="22">
        <v>449</v>
      </c>
      <c r="B451" s="22"/>
      <c r="C451" s="23"/>
      <c r="D451" s="23"/>
      <c r="E451" s="24"/>
      <c r="F451" s="23"/>
      <c r="G451" s="100"/>
      <c r="H451" s="101"/>
      <c r="I451" s="102"/>
      <c r="J451" s="102"/>
      <c r="K451" s="233"/>
      <c r="L451" s="22"/>
      <c r="M451" s="25">
        <f t="shared" ref="M451:M514" si="36">ROUNDUP((K451*L451),0)</f>
        <v>0</v>
      </c>
      <c r="N451" s="25">
        <f t="shared" ref="N451:N514" si="37">(H451-M451)/100</f>
        <v>0</v>
      </c>
      <c r="O451" s="25">
        <f t="shared" ref="O451:O514" si="38">ROUNDUP((H451/90)*0.003,2)</f>
        <v>0</v>
      </c>
      <c r="P451" s="25">
        <f t="shared" ref="P451:P514" si="39">(N451)-O451</f>
        <v>0</v>
      </c>
      <c r="Q451" s="22"/>
      <c r="R451" s="22"/>
      <c r="S451" s="22"/>
      <c r="T451" s="22"/>
      <c r="U451" s="26">
        <f t="shared" ref="U451:U514" si="40">T451*P451</f>
        <v>0</v>
      </c>
      <c r="V451" s="27"/>
      <c r="W451" s="28"/>
      <c r="X451" s="25" t="str">
        <f>+IF(AND('GRADING PACKING'!L$5=INWARDDATA!J451,'GRADING PACKING'!L$6=INWARDDATA!I451,AB451=0),"TRUE","FALSE")</f>
        <v>FALSE</v>
      </c>
      <c r="Y451" s="29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1"/>
      <c r="AK451" s="31"/>
      <c r="AL451" s="31"/>
      <c r="AM451" s="31"/>
      <c r="AN451" s="32" t="str">
        <f>+IF(AND('GRADING PACKING'!L$5=INWARDDATA!J451,'GRADING PACKING'!L$6=INWARDDATA!I451,AR451=0),"good","bad")</f>
        <v>bad</v>
      </c>
      <c r="AO451" s="33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86"/>
      <c r="BC451" s="86"/>
      <c r="BD451" s="97">
        <f>Table_15[[#This Row],[Wgt-Bag]]-Table_15[[#This Row],[Total Graded]]-Table_15[[#This Row],[UNDERSIZE]]+0.0011</f>
        <v>1.1000000000000001E-3</v>
      </c>
      <c r="BE451" s="86">
        <f>Table_15[[#This Row],[Total Graded]]-Table_15[[#This Row],[Packing Quantity]]+Table_15[[#This Row],[PACKING LOOSE]]</f>
        <v>0</v>
      </c>
      <c r="BF451" s="34">
        <f>IF(Table_15[[#This Row],[GRADED BAGS]]&gt;0,Table_15[[#This Row],[GRADED BAGS]],Table_15[[#This Row],[Bags]])</f>
        <v>0</v>
      </c>
    </row>
    <row r="452" spans="1:58" ht="15.75" hidden="1" customHeight="1" x14ac:dyDescent="0.35">
      <c r="A452" s="22">
        <v>450</v>
      </c>
      <c r="B452" s="22"/>
      <c r="C452" s="23"/>
      <c r="D452" s="23"/>
      <c r="E452" s="24"/>
      <c r="F452" s="23"/>
      <c r="G452" s="100"/>
      <c r="H452" s="101"/>
      <c r="I452" s="102"/>
      <c r="J452" s="102"/>
      <c r="K452" s="233"/>
      <c r="L452" s="22"/>
      <c r="M452" s="25">
        <f t="shared" si="36"/>
        <v>0</v>
      </c>
      <c r="N452" s="25">
        <f t="shared" si="37"/>
        <v>0</v>
      </c>
      <c r="O452" s="25">
        <f t="shared" si="38"/>
        <v>0</v>
      </c>
      <c r="P452" s="25">
        <f t="shared" si="39"/>
        <v>0</v>
      </c>
      <c r="Q452" s="22"/>
      <c r="R452" s="22"/>
      <c r="S452" s="22"/>
      <c r="T452" s="22"/>
      <c r="U452" s="26">
        <f t="shared" si="40"/>
        <v>0</v>
      </c>
      <c r="V452" s="27"/>
      <c r="W452" s="28"/>
      <c r="X452" s="25" t="str">
        <f>+IF(AND('GRADING PACKING'!L$5=INWARDDATA!J452,'GRADING PACKING'!L$6=INWARDDATA!I452,AB452=0),"TRUE","FALSE")</f>
        <v>FALSE</v>
      </c>
      <c r="Y452" s="29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1"/>
      <c r="AK452" s="31"/>
      <c r="AL452" s="31"/>
      <c r="AM452" s="31"/>
      <c r="AN452" s="32" t="str">
        <f>+IF(AND('GRADING PACKING'!L$5=INWARDDATA!J452,'GRADING PACKING'!L$6=INWARDDATA!I452,AR452=0),"good","bad")</f>
        <v>bad</v>
      </c>
      <c r="AO452" s="33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86"/>
      <c r="BC452" s="86"/>
      <c r="BD452" s="97">
        <f>Table_15[[#This Row],[Wgt-Bag]]-Table_15[[#This Row],[Total Graded]]-Table_15[[#This Row],[UNDERSIZE]]+0.0011</f>
        <v>1.1000000000000001E-3</v>
      </c>
      <c r="BE452" s="86">
        <f>Table_15[[#This Row],[Total Graded]]-Table_15[[#This Row],[Packing Quantity]]+Table_15[[#This Row],[PACKING LOOSE]]</f>
        <v>0</v>
      </c>
      <c r="BF452" s="34">
        <f>IF(Table_15[[#This Row],[GRADED BAGS]]&gt;0,Table_15[[#This Row],[GRADED BAGS]],Table_15[[#This Row],[Bags]])</f>
        <v>0</v>
      </c>
    </row>
    <row r="453" spans="1:58" ht="15.75" hidden="1" customHeight="1" x14ac:dyDescent="0.35">
      <c r="A453" s="22">
        <v>451</v>
      </c>
      <c r="B453" s="22"/>
      <c r="C453" s="23"/>
      <c r="D453" s="23"/>
      <c r="E453" s="24"/>
      <c r="F453" s="23"/>
      <c r="G453" s="100"/>
      <c r="H453" s="101"/>
      <c r="I453" s="102"/>
      <c r="J453" s="102"/>
      <c r="K453" s="233"/>
      <c r="L453" s="22"/>
      <c r="M453" s="25">
        <f t="shared" si="36"/>
        <v>0</v>
      </c>
      <c r="N453" s="25">
        <f t="shared" si="37"/>
        <v>0</v>
      </c>
      <c r="O453" s="25">
        <f t="shared" si="38"/>
        <v>0</v>
      </c>
      <c r="P453" s="25">
        <f t="shared" si="39"/>
        <v>0</v>
      </c>
      <c r="Q453" s="22"/>
      <c r="R453" s="22"/>
      <c r="S453" s="22"/>
      <c r="T453" s="22"/>
      <c r="U453" s="26">
        <f t="shared" si="40"/>
        <v>0</v>
      </c>
      <c r="V453" s="27"/>
      <c r="W453" s="28"/>
      <c r="X453" s="25" t="str">
        <f>+IF(AND('GRADING PACKING'!L$5=INWARDDATA!J453,'GRADING PACKING'!L$6=INWARDDATA!I453,AB453=0),"TRUE","FALSE")</f>
        <v>FALSE</v>
      </c>
      <c r="Y453" s="29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1"/>
      <c r="AK453" s="31"/>
      <c r="AL453" s="31"/>
      <c r="AM453" s="31"/>
      <c r="AN453" s="32" t="str">
        <f>+IF(AND('GRADING PACKING'!L$5=INWARDDATA!J453,'GRADING PACKING'!L$6=INWARDDATA!I453,AR453=0),"good","bad")</f>
        <v>bad</v>
      </c>
      <c r="AO453" s="33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86"/>
      <c r="BC453" s="86"/>
      <c r="BD453" s="97">
        <f>Table_15[[#This Row],[Wgt-Bag]]-Table_15[[#This Row],[Total Graded]]-Table_15[[#This Row],[UNDERSIZE]]+0.0011</f>
        <v>1.1000000000000001E-3</v>
      </c>
      <c r="BE453" s="86">
        <f>Table_15[[#This Row],[Total Graded]]-Table_15[[#This Row],[Packing Quantity]]+Table_15[[#This Row],[PACKING LOOSE]]</f>
        <v>0</v>
      </c>
      <c r="BF453" s="34">
        <f>IF(Table_15[[#This Row],[GRADED BAGS]]&gt;0,Table_15[[#This Row],[GRADED BAGS]],Table_15[[#This Row],[Bags]])</f>
        <v>0</v>
      </c>
    </row>
    <row r="454" spans="1:58" ht="15.75" hidden="1" customHeight="1" x14ac:dyDescent="0.35">
      <c r="A454" s="22">
        <v>452</v>
      </c>
      <c r="B454" s="22"/>
      <c r="C454" s="23"/>
      <c r="D454" s="23"/>
      <c r="E454" s="24"/>
      <c r="F454" s="23"/>
      <c r="G454" s="100"/>
      <c r="H454" s="101"/>
      <c r="I454" s="102"/>
      <c r="J454" s="102"/>
      <c r="K454" s="233"/>
      <c r="L454" s="22"/>
      <c r="M454" s="25">
        <f t="shared" si="36"/>
        <v>0</v>
      </c>
      <c r="N454" s="25">
        <f t="shared" si="37"/>
        <v>0</v>
      </c>
      <c r="O454" s="25">
        <f t="shared" si="38"/>
        <v>0</v>
      </c>
      <c r="P454" s="25">
        <f t="shared" si="39"/>
        <v>0</v>
      </c>
      <c r="Q454" s="22"/>
      <c r="R454" s="22"/>
      <c r="S454" s="22"/>
      <c r="T454" s="22"/>
      <c r="U454" s="26">
        <f t="shared" si="40"/>
        <v>0</v>
      </c>
      <c r="V454" s="27"/>
      <c r="W454" s="28"/>
      <c r="X454" s="25" t="str">
        <f>+IF(AND('GRADING PACKING'!L$5=INWARDDATA!J454,'GRADING PACKING'!L$6=INWARDDATA!I454,AB454=0),"TRUE","FALSE")</f>
        <v>FALSE</v>
      </c>
      <c r="Y454" s="29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1"/>
      <c r="AK454" s="31"/>
      <c r="AL454" s="31"/>
      <c r="AM454" s="31"/>
      <c r="AN454" s="32" t="str">
        <f>+IF(AND('GRADING PACKING'!L$5=INWARDDATA!J454,'GRADING PACKING'!L$6=INWARDDATA!I454,AR454=0),"good","bad")</f>
        <v>bad</v>
      </c>
      <c r="AO454" s="33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86"/>
      <c r="BC454" s="86"/>
      <c r="BD454" s="97">
        <f>Table_15[[#This Row],[Wgt-Bag]]-Table_15[[#This Row],[Total Graded]]-Table_15[[#This Row],[UNDERSIZE]]+0.0011</f>
        <v>1.1000000000000001E-3</v>
      </c>
      <c r="BE454" s="86">
        <f>Table_15[[#This Row],[Total Graded]]-Table_15[[#This Row],[Packing Quantity]]+Table_15[[#This Row],[PACKING LOOSE]]</f>
        <v>0</v>
      </c>
      <c r="BF454" s="34">
        <f>IF(Table_15[[#This Row],[GRADED BAGS]]&gt;0,Table_15[[#This Row],[GRADED BAGS]],Table_15[[#This Row],[Bags]])</f>
        <v>0</v>
      </c>
    </row>
    <row r="455" spans="1:58" ht="15.75" hidden="1" customHeight="1" x14ac:dyDescent="0.35">
      <c r="A455" s="22">
        <v>453</v>
      </c>
      <c r="B455" s="22"/>
      <c r="C455" s="23"/>
      <c r="D455" s="23"/>
      <c r="E455" s="24"/>
      <c r="F455" s="23"/>
      <c r="G455" s="100"/>
      <c r="H455" s="101"/>
      <c r="I455" s="102"/>
      <c r="J455" s="102"/>
      <c r="K455" s="233"/>
      <c r="L455" s="22"/>
      <c r="M455" s="25">
        <f t="shared" si="36"/>
        <v>0</v>
      </c>
      <c r="N455" s="25">
        <f t="shared" si="37"/>
        <v>0</v>
      </c>
      <c r="O455" s="25">
        <f t="shared" si="38"/>
        <v>0</v>
      </c>
      <c r="P455" s="25">
        <f t="shared" si="39"/>
        <v>0</v>
      </c>
      <c r="Q455" s="22"/>
      <c r="R455" s="22"/>
      <c r="S455" s="22"/>
      <c r="T455" s="22"/>
      <c r="U455" s="26">
        <f t="shared" si="40"/>
        <v>0</v>
      </c>
      <c r="V455" s="27"/>
      <c r="W455" s="28"/>
      <c r="X455" s="25" t="str">
        <f>+IF(AND('GRADING PACKING'!L$5=INWARDDATA!J455,'GRADING PACKING'!L$6=INWARDDATA!I455,AB455=0),"TRUE","FALSE")</f>
        <v>FALSE</v>
      </c>
      <c r="Y455" s="29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1"/>
      <c r="AK455" s="31"/>
      <c r="AL455" s="31"/>
      <c r="AM455" s="31"/>
      <c r="AN455" s="32" t="str">
        <f>+IF(AND('GRADING PACKING'!L$5=INWARDDATA!J455,'GRADING PACKING'!L$6=INWARDDATA!I455,AR455=0),"good","bad")</f>
        <v>bad</v>
      </c>
      <c r="AO455" s="33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86"/>
      <c r="BC455" s="86"/>
      <c r="BD455" s="97">
        <f>Table_15[[#This Row],[Wgt-Bag]]-Table_15[[#This Row],[Total Graded]]-Table_15[[#This Row],[UNDERSIZE]]+0.0011</f>
        <v>1.1000000000000001E-3</v>
      </c>
      <c r="BE455" s="86">
        <f>Table_15[[#This Row],[Total Graded]]-Table_15[[#This Row],[Packing Quantity]]+Table_15[[#This Row],[PACKING LOOSE]]</f>
        <v>0</v>
      </c>
      <c r="BF455" s="34">
        <f>IF(Table_15[[#This Row],[GRADED BAGS]]&gt;0,Table_15[[#This Row],[GRADED BAGS]],Table_15[[#This Row],[Bags]])</f>
        <v>0</v>
      </c>
    </row>
    <row r="456" spans="1:58" ht="15.75" hidden="1" customHeight="1" x14ac:dyDescent="0.35">
      <c r="A456" s="22">
        <v>454</v>
      </c>
      <c r="B456" s="22"/>
      <c r="C456" s="23"/>
      <c r="D456" s="23"/>
      <c r="E456" s="24"/>
      <c r="F456" s="23"/>
      <c r="G456" s="100"/>
      <c r="H456" s="101"/>
      <c r="I456" s="102"/>
      <c r="J456" s="102"/>
      <c r="K456" s="233"/>
      <c r="L456" s="22"/>
      <c r="M456" s="25">
        <f t="shared" si="36"/>
        <v>0</v>
      </c>
      <c r="N456" s="25">
        <f t="shared" si="37"/>
        <v>0</v>
      </c>
      <c r="O456" s="25">
        <f t="shared" si="38"/>
        <v>0</v>
      </c>
      <c r="P456" s="25">
        <f t="shared" si="39"/>
        <v>0</v>
      </c>
      <c r="Q456" s="22"/>
      <c r="R456" s="22"/>
      <c r="S456" s="22"/>
      <c r="T456" s="22"/>
      <c r="U456" s="26">
        <f t="shared" si="40"/>
        <v>0</v>
      </c>
      <c r="V456" s="27"/>
      <c r="W456" s="28"/>
      <c r="X456" s="25" t="str">
        <f>+IF(AND('GRADING PACKING'!L$5=INWARDDATA!J456,'GRADING PACKING'!L$6=INWARDDATA!I456,AB456=0),"TRUE","FALSE")</f>
        <v>FALSE</v>
      </c>
      <c r="Y456" s="29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1"/>
      <c r="AK456" s="31"/>
      <c r="AL456" s="31"/>
      <c r="AM456" s="31"/>
      <c r="AN456" s="32" t="str">
        <f>+IF(AND('GRADING PACKING'!L$5=INWARDDATA!J456,'GRADING PACKING'!L$6=INWARDDATA!I456,AR456=0),"good","bad")</f>
        <v>bad</v>
      </c>
      <c r="AO456" s="33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86"/>
      <c r="BC456" s="86"/>
      <c r="BD456" s="97">
        <f>Table_15[[#This Row],[Wgt-Bag]]-Table_15[[#This Row],[Total Graded]]-Table_15[[#This Row],[UNDERSIZE]]+0.0011</f>
        <v>1.1000000000000001E-3</v>
      </c>
      <c r="BE456" s="86">
        <f>Table_15[[#This Row],[Total Graded]]-Table_15[[#This Row],[Packing Quantity]]+Table_15[[#This Row],[PACKING LOOSE]]</f>
        <v>0</v>
      </c>
      <c r="BF456" s="34">
        <f>IF(Table_15[[#This Row],[GRADED BAGS]]&gt;0,Table_15[[#This Row],[GRADED BAGS]],Table_15[[#This Row],[Bags]])</f>
        <v>0</v>
      </c>
    </row>
    <row r="457" spans="1:58" ht="15.75" hidden="1" customHeight="1" x14ac:dyDescent="0.35">
      <c r="A457" s="22">
        <v>455</v>
      </c>
      <c r="B457" s="22"/>
      <c r="C457" s="23"/>
      <c r="D457" s="23"/>
      <c r="E457" s="24"/>
      <c r="F457" s="23"/>
      <c r="G457" s="100"/>
      <c r="H457" s="101"/>
      <c r="I457" s="102"/>
      <c r="J457" s="102"/>
      <c r="K457" s="233"/>
      <c r="L457" s="22"/>
      <c r="M457" s="25">
        <f t="shared" si="36"/>
        <v>0</v>
      </c>
      <c r="N457" s="25">
        <f t="shared" si="37"/>
        <v>0</v>
      </c>
      <c r="O457" s="25">
        <f t="shared" si="38"/>
        <v>0</v>
      </c>
      <c r="P457" s="25">
        <f t="shared" si="39"/>
        <v>0</v>
      </c>
      <c r="Q457" s="22"/>
      <c r="R457" s="22"/>
      <c r="S457" s="22"/>
      <c r="T457" s="22"/>
      <c r="U457" s="26">
        <f t="shared" si="40"/>
        <v>0</v>
      </c>
      <c r="V457" s="27"/>
      <c r="W457" s="28"/>
      <c r="X457" s="25" t="str">
        <f>+IF(AND('GRADING PACKING'!L$5=INWARDDATA!J457,'GRADING PACKING'!L$6=INWARDDATA!I457,AB457=0),"TRUE","FALSE")</f>
        <v>FALSE</v>
      </c>
      <c r="Y457" s="29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1"/>
      <c r="AK457" s="31"/>
      <c r="AL457" s="31"/>
      <c r="AM457" s="31"/>
      <c r="AN457" s="32" t="str">
        <f>+IF(AND('GRADING PACKING'!L$5=INWARDDATA!J457,'GRADING PACKING'!L$6=INWARDDATA!I457,AR457=0),"good","bad")</f>
        <v>bad</v>
      </c>
      <c r="AO457" s="33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86"/>
      <c r="BC457" s="86"/>
      <c r="BD457" s="97">
        <f>Table_15[[#This Row],[Wgt-Bag]]-Table_15[[#This Row],[Total Graded]]-Table_15[[#This Row],[UNDERSIZE]]+0.0011</f>
        <v>1.1000000000000001E-3</v>
      </c>
      <c r="BE457" s="86">
        <f>Table_15[[#This Row],[Total Graded]]-Table_15[[#This Row],[Packing Quantity]]+Table_15[[#This Row],[PACKING LOOSE]]</f>
        <v>0</v>
      </c>
      <c r="BF457" s="34">
        <f>IF(Table_15[[#This Row],[GRADED BAGS]]&gt;0,Table_15[[#This Row],[GRADED BAGS]],Table_15[[#This Row],[Bags]])</f>
        <v>0</v>
      </c>
    </row>
    <row r="458" spans="1:58" ht="15.75" hidden="1" customHeight="1" x14ac:dyDescent="0.35">
      <c r="A458" s="22">
        <v>456</v>
      </c>
      <c r="B458" s="22"/>
      <c r="C458" s="23"/>
      <c r="D458" s="23"/>
      <c r="E458" s="24"/>
      <c r="F458" s="23"/>
      <c r="G458" s="100"/>
      <c r="H458" s="101"/>
      <c r="I458" s="102"/>
      <c r="J458" s="102"/>
      <c r="K458" s="233"/>
      <c r="L458" s="22"/>
      <c r="M458" s="25">
        <f t="shared" si="36"/>
        <v>0</v>
      </c>
      <c r="N458" s="25">
        <f t="shared" si="37"/>
        <v>0</v>
      </c>
      <c r="O458" s="25">
        <f t="shared" si="38"/>
        <v>0</v>
      </c>
      <c r="P458" s="25">
        <f t="shared" si="39"/>
        <v>0</v>
      </c>
      <c r="Q458" s="22"/>
      <c r="R458" s="22"/>
      <c r="S458" s="22"/>
      <c r="T458" s="22"/>
      <c r="U458" s="26">
        <f t="shared" si="40"/>
        <v>0</v>
      </c>
      <c r="V458" s="27"/>
      <c r="W458" s="28"/>
      <c r="X458" s="25" t="str">
        <f>+IF(AND('GRADING PACKING'!L$5=INWARDDATA!J458,'GRADING PACKING'!L$6=INWARDDATA!I458,AB458=0),"TRUE","FALSE")</f>
        <v>FALSE</v>
      </c>
      <c r="Y458" s="29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1"/>
      <c r="AK458" s="31"/>
      <c r="AL458" s="31"/>
      <c r="AM458" s="31"/>
      <c r="AN458" s="32" t="str">
        <f>+IF(AND('GRADING PACKING'!L$5=INWARDDATA!J458,'GRADING PACKING'!L$6=INWARDDATA!I458,AR458=0),"good","bad")</f>
        <v>bad</v>
      </c>
      <c r="AO458" s="33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86"/>
      <c r="BC458" s="86"/>
      <c r="BD458" s="97">
        <f>Table_15[[#This Row],[Wgt-Bag]]-Table_15[[#This Row],[Total Graded]]-Table_15[[#This Row],[UNDERSIZE]]+0.0011</f>
        <v>1.1000000000000001E-3</v>
      </c>
      <c r="BE458" s="86">
        <f>Table_15[[#This Row],[Total Graded]]-Table_15[[#This Row],[Packing Quantity]]+Table_15[[#This Row],[PACKING LOOSE]]</f>
        <v>0</v>
      </c>
      <c r="BF458" s="34">
        <f>IF(Table_15[[#This Row],[GRADED BAGS]]&gt;0,Table_15[[#This Row],[GRADED BAGS]],Table_15[[#This Row],[Bags]])</f>
        <v>0</v>
      </c>
    </row>
    <row r="459" spans="1:58" ht="15.75" hidden="1" customHeight="1" x14ac:dyDescent="0.35">
      <c r="A459" s="22">
        <v>457</v>
      </c>
      <c r="B459" s="22"/>
      <c r="C459" s="23"/>
      <c r="D459" s="23"/>
      <c r="E459" s="24"/>
      <c r="F459" s="23"/>
      <c r="G459" s="100"/>
      <c r="H459" s="101"/>
      <c r="I459" s="102"/>
      <c r="J459" s="102"/>
      <c r="K459" s="233"/>
      <c r="L459" s="22"/>
      <c r="M459" s="25">
        <f t="shared" si="36"/>
        <v>0</v>
      </c>
      <c r="N459" s="25">
        <f t="shared" si="37"/>
        <v>0</v>
      </c>
      <c r="O459" s="25">
        <f t="shared" si="38"/>
        <v>0</v>
      </c>
      <c r="P459" s="25">
        <f t="shared" si="39"/>
        <v>0</v>
      </c>
      <c r="Q459" s="22"/>
      <c r="R459" s="22"/>
      <c r="S459" s="22"/>
      <c r="T459" s="22"/>
      <c r="U459" s="26">
        <f t="shared" si="40"/>
        <v>0</v>
      </c>
      <c r="V459" s="27"/>
      <c r="W459" s="28"/>
      <c r="X459" s="25" t="str">
        <f>+IF(AND('GRADING PACKING'!L$5=INWARDDATA!J459,'GRADING PACKING'!L$6=INWARDDATA!I459,AB459=0),"TRUE","FALSE")</f>
        <v>FALSE</v>
      </c>
      <c r="Y459" s="29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1"/>
      <c r="AK459" s="31"/>
      <c r="AL459" s="31"/>
      <c r="AM459" s="31"/>
      <c r="AN459" s="32" t="str">
        <f>+IF(AND('GRADING PACKING'!L$5=INWARDDATA!J459,'GRADING PACKING'!L$6=INWARDDATA!I459,AR459=0),"good","bad")</f>
        <v>bad</v>
      </c>
      <c r="AO459" s="33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86"/>
      <c r="BC459" s="86"/>
      <c r="BD459" s="97">
        <f>Table_15[[#This Row],[Wgt-Bag]]-Table_15[[#This Row],[Total Graded]]-Table_15[[#This Row],[UNDERSIZE]]+0.0011</f>
        <v>1.1000000000000001E-3</v>
      </c>
      <c r="BE459" s="86">
        <f>Table_15[[#This Row],[Total Graded]]-Table_15[[#This Row],[Packing Quantity]]+Table_15[[#This Row],[PACKING LOOSE]]</f>
        <v>0</v>
      </c>
      <c r="BF459" s="34">
        <f>IF(Table_15[[#This Row],[GRADED BAGS]]&gt;0,Table_15[[#This Row],[GRADED BAGS]],Table_15[[#This Row],[Bags]])</f>
        <v>0</v>
      </c>
    </row>
    <row r="460" spans="1:58" ht="15.75" hidden="1" customHeight="1" x14ac:dyDescent="0.35">
      <c r="A460" s="22">
        <v>458</v>
      </c>
      <c r="B460" s="22"/>
      <c r="C460" s="23"/>
      <c r="D460" s="23"/>
      <c r="E460" s="24"/>
      <c r="F460" s="23"/>
      <c r="G460" s="100"/>
      <c r="H460" s="101"/>
      <c r="I460" s="102"/>
      <c r="J460" s="102"/>
      <c r="K460" s="233"/>
      <c r="L460" s="22"/>
      <c r="M460" s="25">
        <f t="shared" si="36"/>
        <v>0</v>
      </c>
      <c r="N460" s="25">
        <f t="shared" si="37"/>
        <v>0</v>
      </c>
      <c r="O460" s="25">
        <f t="shared" si="38"/>
        <v>0</v>
      </c>
      <c r="P460" s="25">
        <f t="shared" si="39"/>
        <v>0</v>
      </c>
      <c r="Q460" s="22"/>
      <c r="R460" s="22"/>
      <c r="S460" s="22"/>
      <c r="T460" s="22"/>
      <c r="U460" s="26">
        <f t="shared" si="40"/>
        <v>0</v>
      </c>
      <c r="V460" s="27"/>
      <c r="W460" s="28"/>
      <c r="X460" s="25" t="str">
        <f>+IF(AND('GRADING PACKING'!L$5=INWARDDATA!J460,'GRADING PACKING'!L$6=INWARDDATA!I460,AB460=0),"TRUE","FALSE")</f>
        <v>FALSE</v>
      </c>
      <c r="Y460" s="29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1"/>
      <c r="AK460" s="31"/>
      <c r="AL460" s="31"/>
      <c r="AM460" s="31"/>
      <c r="AN460" s="32" t="str">
        <f>+IF(AND('GRADING PACKING'!L$5=INWARDDATA!J460,'GRADING PACKING'!L$6=INWARDDATA!I460,AR460=0),"good","bad")</f>
        <v>bad</v>
      </c>
      <c r="AO460" s="33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86"/>
      <c r="BC460" s="86"/>
      <c r="BD460" s="97">
        <f>Table_15[[#This Row],[Wgt-Bag]]-Table_15[[#This Row],[Total Graded]]-Table_15[[#This Row],[UNDERSIZE]]+0.0011</f>
        <v>1.1000000000000001E-3</v>
      </c>
      <c r="BE460" s="86">
        <f>Table_15[[#This Row],[Total Graded]]-Table_15[[#This Row],[Packing Quantity]]+Table_15[[#This Row],[PACKING LOOSE]]</f>
        <v>0</v>
      </c>
      <c r="BF460" s="34">
        <f>IF(Table_15[[#This Row],[GRADED BAGS]]&gt;0,Table_15[[#This Row],[GRADED BAGS]],Table_15[[#This Row],[Bags]])</f>
        <v>0</v>
      </c>
    </row>
    <row r="461" spans="1:58" ht="15.75" hidden="1" customHeight="1" x14ac:dyDescent="0.35">
      <c r="A461" s="22">
        <v>459</v>
      </c>
      <c r="B461" s="22"/>
      <c r="C461" s="23"/>
      <c r="D461" s="23"/>
      <c r="E461" s="24"/>
      <c r="F461" s="23"/>
      <c r="G461" s="100"/>
      <c r="H461" s="101"/>
      <c r="I461" s="102"/>
      <c r="J461" s="102"/>
      <c r="K461" s="233"/>
      <c r="L461" s="22"/>
      <c r="M461" s="25">
        <f t="shared" si="36"/>
        <v>0</v>
      </c>
      <c r="N461" s="25">
        <f t="shared" si="37"/>
        <v>0</v>
      </c>
      <c r="O461" s="25">
        <f t="shared" si="38"/>
        <v>0</v>
      </c>
      <c r="P461" s="25">
        <f t="shared" si="39"/>
        <v>0</v>
      </c>
      <c r="Q461" s="22"/>
      <c r="R461" s="22"/>
      <c r="S461" s="22"/>
      <c r="T461" s="22"/>
      <c r="U461" s="26">
        <f t="shared" si="40"/>
        <v>0</v>
      </c>
      <c r="V461" s="27"/>
      <c r="W461" s="28"/>
      <c r="X461" s="25" t="str">
        <f>+IF(AND('GRADING PACKING'!L$5=INWARDDATA!J461,'GRADING PACKING'!L$6=INWARDDATA!I461,AB461=0),"TRUE","FALSE")</f>
        <v>FALSE</v>
      </c>
      <c r="Y461" s="29"/>
      <c r="Z461" s="22"/>
      <c r="AA461" s="30"/>
      <c r="AB461" s="30"/>
      <c r="AC461" s="30"/>
      <c r="AD461" s="30"/>
      <c r="AE461" s="30"/>
      <c r="AF461" s="30"/>
      <c r="AG461" s="30"/>
      <c r="AH461" s="30"/>
      <c r="AI461" s="30"/>
      <c r="AJ461" s="31"/>
      <c r="AK461" s="31"/>
      <c r="AL461" s="31"/>
      <c r="AM461" s="31"/>
      <c r="AN461" s="32" t="str">
        <f>+IF(AND('GRADING PACKING'!L$5=INWARDDATA!J461,'GRADING PACKING'!L$6=INWARDDATA!I461,AR461=0),"good","bad")</f>
        <v>bad</v>
      </c>
      <c r="AO461" s="33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86"/>
      <c r="BC461" s="86"/>
      <c r="BD461" s="97">
        <f>Table_15[[#This Row],[Wgt-Bag]]-Table_15[[#This Row],[Total Graded]]-Table_15[[#This Row],[UNDERSIZE]]+0.0011</f>
        <v>1.1000000000000001E-3</v>
      </c>
      <c r="BE461" s="86">
        <f>Table_15[[#This Row],[Total Graded]]-Table_15[[#This Row],[Packing Quantity]]+Table_15[[#This Row],[PACKING LOOSE]]</f>
        <v>0</v>
      </c>
      <c r="BF461" s="34">
        <f>IF(Table_15[[#This Row],[GRADED BAGS]]&gt;0,Table_15[[#This Row],[GRADED BAGS]],Table_15[[#This Row],[Bags]])</f>
        <v>0</v>
      </c>
    </row>
    <row r="462" spans="1:58" ht="15.75" hidden="1" customHeight="1" x14ac:dyDescent="0.35">
      <c r="A462" s="22">
        <v>460</v>
      </c>
      <c r="B462" s="22"/>
      <c r="C462" s="23"/>
      <c r="D462" s="23"/>
      <c r="E462" s="24"/>
      <c r="F462" s="23"/>
      <c r="G462" s="100"/>
      <c r="H462" s="101"/>
      <c r="I462" s="102"/>
      <c r="J462" s="102"/>
      <c r="K462" s="233"/>
      <c r="L462" s="22"/>
      <c r="M462" s="25">
        <f t="shared" si="36"/>
        <v>0</v>
      </c>
      <c r="N462" s="25">
        <f t="shared" si="37"/>
        <v>0</v>
      </c>
      <c r="O462" s="25">
        <f t="shared" si="38"/>
        <v>0</v>
      </c>
      <c r="P462" s="25">
        <f t="shared" si="39"/>
        <v>0</v>
      </c>
      <c r="Q462" s="22"/>
      <c r="R462" s="22"/>
      <c r="S462" s="22"/>
      <c r="T462" s="22"/>
      <c r="U462" s="26">
        <f t="shared" si="40"/>
        <v>0</v>
      </c>
      <c r="V462" s="27"/>
      <c r="W462" s="28"/>
      <c r="X462" s="25" t="str">
        <f>+IF(AND('GRADING PACKING'!L$5=INWARDDATA!J462,'GRADING PACKING'!L$6=INWARDDATA!I462,AB462=0),"TRUE","FALSE")</f>
        <v>FALSE</v>
      </c>
      <c r="Y462" s="29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1"/>
      <c r="AK462" s="31"/>
      <c r="AL462" s="31"/>
      <c r="AM462" s="31"/>
      <c r="AN462" s="32" t="str">
        <f>+IF(AND('GRADING PACKING'!L$5=INWARDDATA!J462,'GRADING PACKING'!L$6=INWARDDATA!I462,AR462=0),"good","bad")</f>
        <v>bad</v>
      </c>
      <c r="AO462" s="33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86"/>
      <c r="BC462" s="86"/>
      <c r="BD462" s="97">
        <f>Table_15[[#This Row],[Wgt-Bag]]-Table_15[[#This Row],[Total Graded]]-Table_15[[#This Row],[UNDERSIZE]]+0.0011</f>
        <v>1.1000000000000001E-3</v>
      </c>
      <c r="BE462" s="86">
        <f>Table_15[[#This Row],[Total Graded]]-Table_15[[#This Row],[Packing Quantity]]+Table_15[[#This Row],[PACKING LOOSE]]</f>
        <v>0</v>
      </c>
      <c r="BF462" s="34">
        <f>IF(Table_15[[#This Row],[GRADED BAGS]]&gt;0,Table_15[[#This Row],[GRADED BAGS]],Table_15[[#This Row],[Bags]])</f>
        <v>0</v>
      </c>
    </row>
    <row r="463" spans="1:58" ht="15.75" hidden="1" customHeight="1" x14ac:dyDescent="0.35">
      <c r="A463" s="22">
        <v>461</v>
      </c>
      <c r="B463" s="22"/>
      <c r="C463" s="23"/>
      <c r="D463" s="23"/>
      <c r="E463" s="24"/>
      <c r="F463" s="23"/>
      <c r="G463" s="100"/>
      <c r="H463" s="101"/>
      <c r="I463" s="102"/>
      <c r="J463" s="102"/>
      <c r="K463" s="233"/>
      <c r="L463" s="22"/>
      <c r="M463" s="25">
        <f t="shared" si="36"/>
        <v>0</v>
      </c>
      <c r="N463" s="25">
        <f t="shared" si="37"/>
        <v>0</v>
      </c>
      <c r="O463" s="25">
        <f t="shared" si="38"/>
        <v>0</v>
      </c>
      <c r="P463" s="25">
        <f t="shared" si="39"/>
        <v>0</v>
      </c>
      <c r="Q463" s="22"/>
      <c r="R463" s="22"/>
      <c r="S463" s="22"/>
      <c r="T463" s="22"/>
      <c r="U463" s="26">
        <f t="shared" si="40"/>
        <v>0</v>
      </c>
      <c r="V463" s="27"/>
      <c r="W463" s="28"/>
      <c r="X463" s="25" t="str">
        <f>+IF(AND('GRADING PACKING'!L$5=INWARDDATA!J463,'GRADING PACKING'!L$6=INWARDDATA!I463,AB463=0),"TRUE","FALSE")</f>
        <v>FALSE</v>
      </c>
      <c r="Y463" s="29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1"/>
      <c r="AK463" s="31"/>
      <c r="AL463" s="31"/>
      <c r="AM463" s="31"/>
      <c r="AN463" s="32" t="str">
        <f>+IF(AND('GRADING PACKING'!L$5=INWARDDATA!J463,'GRADING PACKING'!L$6=INWARDDATA!I463,AR463=0),"good","bad")</f>
        <v>bad</v>
      </c>
      <c r="AO463" s="33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86"/>
      <c r="BC463" s="86"/>
      <c r="BD463" s="97">
        <f>Table_15[[#This Row],[Wgt-Bag]]-Table_15[[#This Row],[Total Graded]]-Table_15[[#This Row],[UNDERSIZE]]+0.0011</f>
        <v>1.1000000000000001E-3</v>
      </c>
      <c r="BE463" s="86">
        <f>Table_15[[#This Row],[Total Graded]]-Table_15[[#This Row],[Packing Quantity]]+Table_15[[#This Row],[PACKING LOOSE]]</f>
        <v>0</v>
      </c>
      <c r="BF463" s="34">
        <f>IF(Table_15[[#This Row],[GRADED BAGS]]&gt;0,Table_15[[#This Row],[GRADED BAGS]],Table_15[[#This Row],[Bags]])</f>
        <v>0</v>
      </c>
    </row>
    <row r="464" spans="1:58" ht="15.75" hidden="1" customHeight="1" x14ac:dyDescent="0.35">
      <c r="A464" s="22">
        <v>462</v>
      </c>
      <c r="B464" s="22"/>
      <c r="C464" s="23"/>
      <c r="D464" s="23"/>
      <c r="E464" s="24"/>
      <c r="F464" s="23"/>
      <c r="G464" s="100"/>
      <c r="H464" s="101"/>
      <c r="I464" s="102"/>
      <c r="J464" s="102"/>
      <c r="K464" s="233"/>
      <c r="L464" s="22"/>
      <c r="M464" s="25">
        <f t="shared" si="36"/>
        <v>0</v>
      </c>
      <c r="N464" s="25">
        <f t="shared" si="37"/>
        <v>0</v>
      </c>
      <c r="O464" s="25">
        <f t="shared" si="38"/>
        <v>0</v>
      </c>
      <c r="P464" s="25">
        <f t="shared" si="39"/>
        <v>0</v>
      </c>
      <c r="Q464" s="22"/>
      <c r="R464" s="22"/>
      <c r="S464" s="22"/>
      <c r="T464" s="22"/>
      <c r="U464" s="26">
        <f t="shared" si="40"/>
        <v>0</v>
      </c>
      <c r="V464" s="27"/>
      <c r="W464" s="28"/>
      <c r="X464" s="25" t="str">
        <f>+IF(AND('GRADING PACKING'!L$5=INWARDDATA!J464,'GRADING PACKING'!L$6=INWARDDATA!I464,AB464=0),"TRUE","FALSE")</f>
        <v>FALSE</v>
      </c>
      <c r="Y464" s="29"/>
      <c r="Z464" s="30"/>
      <c r="AA464" s="30"/>
      <c r="AB464" s="30"/>
      <c r="AC464" s="30"/>
      <c r="AD464" s="30"/>
      <c r="AE464" s="30"/>
      <c r="AF464" s="30"/>
      <c r="AG464" s="30"/>
      <c r="AH464" s="30"/>
      <c r="AI464" s="30"/>
      <c r="AJ464" s="31"/>
      <c r="AK464" s="31"/>
      <c r="AL464" s="31"/>
      <c r="AM464" s="31"/>
      <c r="AN464" s="32" t="str">
        <f>+IF(AND('GRADING PACKING'!L$5=INWARDDATA!J464,'GRADING PACKING'!L$6=INWARDDATA!I464,AR464=0),"good","bad")</f>
        <v>bad</v>
      </c>
      <c r="AO464" s="33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86"/>
      <c r="BC464" s="86"/>
      <c r="BD464" s="97">
        <f>Table_15[[#This Row],[Wgt-Bag]]-Table_15[[#This Row],[Total Graded]]-Table_15[[#This Row],[UNDERSIZE]]+0.0011</f>
        <v>1.1000000000000001E-3</v>
      </c>
      <c r="BE464" s="86">
        <f>Table_15[[#This Row],[Total Graded]]-Table_15[[#This Row],[Packing Quantity]]+Table_15[[#This Row],[PACKING LOOSE]]</f>
        <v>0</v>
      </c>
      <c r="BF464" s="34">
        <f>IF(Table_15[[#This Row],[GRADED BAGS]]&gt;0,Table_15[[#This Row],[GRADED BAGS]],Table_15[[#This Row],[Bags]])</f>
        <v>0</v>
      </c>
    </row>
    <row r="465" spans="1:58" ht="15.75" hidden="1" customHeight="1" x14ac:dyDescent="0.35">
      <c r="A465" s="22">
        <v>463</v>
      </c>
      <c r="B465" s="22"/>
      <c r="C465" s="23"/>
      <c r="D465" s="23"/>
      <c r="E465" s="24"/>
      <c r="F465" s="23"/>
      <c r="G465" s="100"/>
      <c r="H465" s="101"/>
      <c r="I465" s="102"/>
      <c r="J465" s="102"/>
      <c r="K465" s="233"/>
      <c r="L465" s="22"/>
      <c r="M465" s="25">
        <f t="shared" si="36"/>
        <v>0</v>
      </c>
      <c r="N465" s="25">
        <f t="shared" si="37"/>
        <v>0</v>
      </c>
      <c r="O465" s="25">
        <f t="shared" si="38"/>
        <v>0</v>
      </c>
      <c r="P465" s="25">
        <f t="shared" si="39"/>
        <v>0</v>
      </c>
      <c r="Q465" s="22"/>
      <c r="R465" s="22"/>
      <c r="S465" s="22"/>
      <c r="T465" s="22"/>
      <c r="U465" s="26">
        <f t="shared" si="40"/>
        <v>0</v>
      </c>
      <c r="V465" s="27"/>
      <c r="W465" s="28"/>
      <c r="X465" s="25" t="str">
        <f>+IF(AND('GRADING PACKING'!L$5=INWARDDATA!J465,'GRADING PACKING'!L$6=INWARDDATA!I465,AB465=0),"TRUE","FALSE")</f>
        <v>FALSE</v>
      </c>
      <c r="Y465" s="29"/>
      <c r="Z465" s="30"/>
      <c r="AA465" s="30"/>
      <c r="AB465" s="30"/>
      <c r="AC465" s="30"/>
      <c r="AD465" s="30"/>
      <c r="AE465" s="30"/>
      <c r="AF465" s="30"/>
      <c r="AG465" s="30"/>
      <c r="AH465" s="30"/>
      <c r="AI465" s="30"/>
      <c r="AJ465" s="31"/>
      <c r="AK465" s="31"/>
      <c r="AL465" s="31"/>
      <c r="AM465" s="31"/>
      <c r="AN465" s="32" t="str">
        <f>+IF(AND('GRADING PACKING'!L$5=INWARDDATA!J465,'GRADING PACKING'!L$6=INWARDDATA!I465,AR465=0),"good","bad")</f>
        <v>bad</v>
      </c>
      <c r="AO465" s="33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86"/>
      <c r="BC465" s="86"/>
      <c r="BD465" s="97">
        <f>Table_15[[#This Row],[Wgt-Bag]]-Table_15[[#This Row],[Total Graded]]-Table_15[[#This Row],[UNDERSIZE]]+0.0011</f>
        <v>1.1000000000000001E-3</v>
      </c>
      <c r="BE465" s="86">
        <f>Table_15[[#This Row],[Total Graded]]-Table_15[[#This Row],[Packing Quantity]]+Table_15[[#This Row],[PACKING LOOSE]]</f>
        <v>0</v>
      </c>
      <c r="BF465" s="34">
        <f>IF(Table_15[[#This Row],[GRADED BAGS]]&gt;0,Table_15[[#This Row],[GRADED BAGS]],Table_15[[#This Row],[Bags]])</f>
        <v>0</v>
      </c>
    </row>
    <row r="466" spans="1:58" ht="15.75" hidden="1" customHeight="1" x14ac:dyDescent="0.35">
      <c r="A466" s="22">
        <v>464</v>
      </c>
      <c r="B466" s="22"/>
      <c r="C466" s="23"/>
      <c r="D466" s="23"/>
      <c r="E466" s="24"/>
      <c r="F466" s="23"/>
      <c r="G466" s="100"/>
      <c r="H466" s="101"/>
      <c r="I466" s="102"/>
      <c r="J466" s="102"/>
      <c r="K466" s="233"/>
      <c r="L466" s="22"/>
      <c r="M466" s="25">
        <f t="shared" si="36"/>
        <v>0</v>
      </c>
      <c r="N466" s="25">
        <f t="shared" si="37"/>
        <v>0</v>
      </c>
      <c r="O466" s="25">
        <f t="shared" si="38"/>
        <v>0</v>
      </c>
      <c r="P466" s="25">
        <f t="shared" si="39"/>
        <v>0</v>
      </c>
      <c r="Q466" s="22"/>
      <c r="R466" s="22"/>
      <c r="S466" s="22"/>
      <c r="T466" s="22"/>
      <c r="U466" s="26">
        <f t="shared" si="40"/>
        <v>0</v>
      </c>
      <c r="V466" s="27"/>
      <c r="W466" s="28"/>
      <c r="X466" s="25" t="str">
        <f>+IF(AND('GRADING PACKING'!L$5=INWARDDATA!J466,'GRADING PACKING'!L$6=INWARDDATA!I466,AB466=0),"TRUE","FALSE")</f>
        <v>FALSE</v>
      </c>
      <c r="Y466" s="29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1"/>
      <c r="AK466" s="31"/>
      <c r="AL466" s="31"/>
      <c r="AM466" s="31"/>
      <c r="AN466" s="32" t="str">
        <f>+IF(AND('GRADING PACKING'!L$5=INWARDDATA!J466,'GRADING PACKING'!L$6=INWARDDATA!I466,AR466=0),"good","bad")</f>
        <v>bad</v>
      </c>
      <c r="AO466" s="33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86"/>
      <c r="BC466" s="86"/>
      <c r="BD466" s="97">
        <f>Table_15[[#This Row],[Wgt-Bag]]-Table_15[[#This Row],[Total Graded]]-Table_15[[#This Row],[UNDERSIZE]]+0.0011</f>
        <v>1.1000000000000001E-3</v>
      </c>
      <c r="BE466" s="86">
        <f>Table_15[[#This Row],[Total Graded]]-Table_15[[#This Row],[Packing Quantity]]+Table_15[[#This Row],[PACKING LOOSE]]</f>
        <v>0</v>
      </c>
      <c r="BF466" s="34">
        <f>IF(Table_15[[#This Row],[GRADED BAGS]]&gt;0,Table_15[[#This Row],[GRADED BAGS]],Table_15[[#This Row],[Bags]])</f>
        <v>0</v>
      </c>
    </row>
    <row r="467" spans="1:58" ht="15.75" hidden="1" customHeight="1" x14ac:dyDescent="0.35">
      <c r="A467" s="22">
        <v>465</v>
      </c>
      <c r="B467" s="22"/>
      <c r="C467" s="23"/>
      <c r="D467" s="23"/>
      <c r="E467" s="24"/>
      <c r="F467" s="23"/>
      <c r="G467" s="100"/>
      <c r="H467" s="101"/>
      <c r="I467" s="102"/>
      <c r="J467" s="102"/>
      <c r="K467" s="233"/>
      <c r="L467" s="22"/>
      <c r="M467" s="25">
        <f t="shared" si="36"/>
        <v>0</v>
      </c>
      <c r="N467" s="25">
        <f t="shared" si="37"/>
        <v>0</v>
      </c>
      <c r="O467" s="25">
        <f t="shared" si="38"/>
        <v>0</v>
      </c>
      <c r="P467" s="25">
        <f t="shared" si="39"/>
        <v>0</v>
      </c>
      <c r="Q467" s="22"/>
      <c r="R467" s="22"/>
      <c r="S467" s="22"/>
      <c r="T467" s="22"/>
      <c r="U467" s="26">
        <f t="shared" si="40"/>
        <v>0</v>
      </c>
      <c r="V467" s="27"/>
      <c r="W467" s="28"/>
      <c r="X467" s="25" t="str">
        <f>+IF(AND('GRADING PACKING'!L$5=INWARDDATA!J467,'GRADING PACKING'!L$6=INWARDDATA!I467,AB467=0),"TRUE","FALSE")</f>
        <v>FALSE</v>
      </c>
      <c r="Y467" s="29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1"/>
      <c r="AK467" s="31"/>
      <c r="AL467" s="31"/>
      <c r="AM467" s="31"/>
      <c r="AN467" s="32" t="str">
        <f>+IF(AND('GRADING PACKING'!L$5=INWARDDATA!J467,'GRADING PACKING'!L$6=INWARDDATA!I467,AR467=0),"good","bad")</f>
        <v>bad</v>
      </c>
      <c r="AO467" s="33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86"/>
      <c r="BC467" s="86"/>
      <c r="BD467" s="97">
        <f>Table_15[[#This Row],[Wgt-Bag]]-Table_15[[#This Row],[Total Graded]]-Table_15[[#This Row],[UNDERSIZE]]+0.0011</f>
        <v>1.1000000000000001E-3</v>
      </c>
      <c r="BE467" s="86">
        <f>Table_15[[#This Row],[Total Graded]]-Table_15[[#This Row],[Packing Quantity]]+Table_15[[#This Row],[PACKING LOOSE]]</f>
        <v>0</v>
      </c>
      <c r="BF467" s="34">
        <f>IF(Table_15[[#This Row],[GRADED BAGS]]&gt;0,Table_15[[#This Row],[GRADED BAGS]],Table_15[[#This Row],[Bags]])</f>
        <v>0</v>
      </c>
    </row>
    <row r="468" spans="1:58" ht="15.75" hidden="1" customHeight="1" x14ac:dyDescent="0.35">
      <c r="A468" s="22">
        <v>466</v>
      </c>
      <c r="B468" s="22"/>
      <c r="C468" s="23"/>
      <c r="D468" s="23"/>
      <c r="E468" s="24"/>
      <c r="F468" s="23"/>
      <c r="G468" s="100"/>
      <c r="H468" s="101"/>
      <c r="I468" s="102"/>
      <c r="J468" s="102"/>
      <c r="K468" s="233"/>
      <c r="L468" s="22"/>
      <c r="M468" s="25">
        <f t="shared" si="36"/>
        <v>0</v>
      </c>
      <c r="N468" s="25">
        <f t="shared" si="37"/>
        <v>0</v>
      </c>
      <c r="O468" s="25">
        <f t="shared" si="38"/>
        <v>0</v>
      </c>
      <c r="P468" s="25">
        <f t="shared" si="39"/>
        <v>0</v>
      </c>
      <c r="Q468" s="22"/>
      <c r="R468" s="22"/>
      <c r="S468" s="22"/>
      <c r="T468" s="22"/>
      <c r="U468" s="26">
        <f t="shared" si="40"/>
        <v>0</v>
      </c>
      <c r="V468" s="27"/>
      <c r="W468" s="28"/>
      <c r="X468" s="25" t="str">
        <f>+IF(AND('GRADING PACKING'!L$5=INWARDDATA!J468,'GRADING PACKING'!L$6=INWARDDATA!I468,AB468=0),"TRUE","FALSE")</f>
        <v>FALSE</v>
      </c>
      <c r="Y468" s="29"/>
      <c r="Z468" s="30"/>
      <c r="AA468" s="30"/>
      <c r="AB468" s="30"/>
      <c r="AC468" s="30"/>
      <c r="AD468" s="30"/>
      <c r="AE468" s="30"/>
      <c r="AF468" s="30"/>
      <c r="AG468" s="30"/>
      <c r="AH468" s="30"/>
      <c r="AI468" s="30"/>
      <c r="AJ468" s="31"/>
      <c r="AK468" s="31"/>
      <c r="AL468" s="31"/>
      <c r="AM468" s="31"/>
      <c r="AN468" s="32" t="str">
        <f>+IF(AND('GRADING PACKING'!L$5=INWARDDATA!J468,'GRADING PACKING'!L$6=INWARDDATA!I468,AR468=0),"good","bad")</f>
        <v>bad</v>
      </c>
      <c r="AO468" s="33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86"/>
      <c r="BC468" s="86"/>
      <c r="BD468" s="97">
        <f>Table_15[[#This Row],[Wgt-Bag]]-Table_15[[#This Row],[Total Graded]]-Table_15[[#This Row],[UNDERSIZE]]+0.0011</f>
        <v>1.1000000000000001E-3</v>
      </c>
      <c r="BE468" s="86">
        <f>Table_15[[#This Row],[Total Graded]]-Table_15[[#This Row],[Packing Quantity]]+Table_15[[#This Row],[PACKING LOOSE]]</f>
        <v>0</v>
      </c>
      <c r="BF468" s="34">
        <f>IF(Table_15[[#This Row],[GRADED BAGS]]&gt;0,Table_15[[#This Row],[GRADED BAGS]],Table_15[[#This Row],[Bags]])</f>
        <v>0</v>
      </c>
    </row>
    <row r="469" spans="1:58" ht="15.75" hidden="1" customHeight="1" x14ac:dyDescent="0.35">
      <c r="A469" s="22">
        <v>467</v>
      </c>
      <c r="B469" s="22"/>
      <c r="C469" s="23"/>
      <c r="D469" s="23"/>
      <c r="E469" s="24"/>
      <c r="F469" s="23"/>
      <c r="G469" s="100"/>
      <c r="H469" s="101"/>
      <c r="I469" s="102"/>
      <c r="J469" s="102"/>
      <c r="K469" s="233"/>
      <c r="L469" s="22"/>
      <c r="M469" s="25">
        <f t="shared" si="36"/>
        <v>0</v>
      </c>
      <c r="N469" s="25">
        <f t="shared" si="37"/>
        <v>0</v>
      </c>
      <c r="O469" s="25">
        <f t="shared" si="38"/>
        <v>0</v>
      </c>
      <c r="P469" s="25">
        <f t="shared" si="39"/>
        <v>0</v>
      </c>
      <c r="Q469" s="22"/>
      <c r="R469" s="22"/>
      <c r="S469" s="22"/>
      <c r="T469" s="22"/>
      <c r="U469" s="26">
        <f t="shared" si="40"/>
        <v>0</v>
      </c>
      <c r="V469" s="27"/>
      <c r="W469" s="28"/>
      <c r="X469" s="25" t="str">
        <f>+IF(AND('GRADING PACKING'!L$5=INWARDDATA!J469,'GRADING PACKING'!L$6=INWARDDATA!I469,AB469=0),"TRUE","FALSE")</f>
        <v>FALSE</v>
      </c>
      <c r="Y469" s="29"/>
      <c r="Z469" s="30"/>
      <c r="AA469" s="30"/>
      <c r="AB469" s="30"/>
      <c r="AC469" s="30"/>
      <c r="AD469" s="30"/>
      <c r="AE469" s="30"/>
      <c r="AF469" s="30"/>
      <c r="AG469" s="30"/>
      <c r="AH469" s="30"/>
      <c r="AI469" s="30"/>
      <c r="AJ469" s="31"/>
      <c r="AK469" s="31"/>
      <c r="AL469" s="31"/>
      <c r="AM469" s="31"/>
      <c r="AN469" s="32" t="str">
        <f>+IF(AND('GRADING PACKING'!L$5=INWARDDATA!J469,'GRADING PACKING'!L$6=INWARDDATA!I469,AR469=0),"good","bad")</f>
        <v>bad</v>
      </c>
      <c r="AO469" s="33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86"/>
      <c r="BC469" s="86"/>
      <c r="BD469" s="97">
        <f>Table_15[[#This Row],[Wgt-Bag]]-Table_15[[#This Row],[Total Graded]]-Table_15[[#This Row],[UNDERSIZE]]+0.0011</f>
        <v>1.1000000000000001E-3</v>
      </c>
      <c r="BE469" s="86">
        <f>Table_15[[#This Row],[Total Graded]]-Table_15[[#This Row],[Packing Quantity]]+Table_15[[#This Row],[PACKING LOOSE]]</f>
        <v>0</v>
      </c>
      <c r="BF469" s="34">
        <f>IF(Table_15[[#This Row],[GRADED BAGS]]&gt;0,Table_15[[#This Row],[GRADED BAGS]],Table_15[[#This Row],[Bags]])</f>
        <v>0</v>
      </c>
    </row>
    <row r="470" spans="1:58" ht="15.75" hidden="1" customHeight="1" x14ac:dyDescent="0.35">
      <c r="A470" s="22">
        <v>468</v>
      </c>
      <c r="B470" s="22"/>
      <c r="C470" s="23"/>
      <c r="D470" s="23"/>
      <c r="E470" s="24"/>
      <c r="F470" s="23"/>
      <c r="G470" s="100"/>
      <c r="H470" s="101"/>
      <c r="I470" s="102"/>
      <c r="J470" s="102"/>
      <c r="K470" s="233"/>
      <c r="L470" s="22"/>
      <c r="M470" s="25">
        <f t="shared" si="36"/>
        <v>0</v>
      </c>
      <c r="N470" s="25">
        <f t="shared" si="37"/>
        <v>0</v>
      </c>
      <c r="O470" s="25">
        <f t="shared" si="38"/>
        <v>0</v>
      </c>
      <c r="P470" s="25">
        <f t="shared" si="39"/>
        <v>0</v>
      </c>
      <c r="Q470" s="22"/>
      <c r="R470" s="22"/>
      <c r="S470" s="22"/>
      <c r="T470" s="22"/>
      <c r="U470" s="26">
        <f t="shared" si="40"/>
        <v>0</v>
      </c>
      <c r="V470" s="27"/>
      <c r="W470" s="28"/>
      <c r="X470" s="25" t="str">
        <f>+IF(AND('GRADING PACKING'!L$5=INWARDDATA!J470,'GRADING PACKING'!L$6=INWARDDATA!I470,AB470=0),"TRUE","FALSE")</f>
        <v>FALSE</v>
      </c>
      <c r="Y470" s="29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1"/>
      <c r="AK470" s="31"/>
      <c r="AL470" s="31"/>
      <c r="AM470" s="31"/>
      <c r="AN470" s="32" t="str">
        <f>+IF(AND('GRADING PACKING'!L$5=INWARDDATA!J470,'GRADING PACKING'!L$6=INWARDDATA!I470,AR470=0),"good","bad")</f>
        <v>bad</v>
      </c>
      <c r="AO470" s="33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86"/>
      <c r="BC470" s="86"/>
      <c r="BD470" s="97">
        <f>Table_15[[#This Row],[Wgt-Bag]]-Table_15[[#This Row],[Total Graded]]-Table_15[[#This Row],[UNDERSIZE]]+0.0011</f>
        <v>1.1000000000000001E-3</v>
      </c>
      <c r="BE470" s="86">
        <f>Table_15[[#This Row],[Total Graded]]-Table_15[[#This Row],[Packing Quantity]]+Table_15[[#This Row],[PACKING LOOSE]]</f>
        <v>0</v>
      </c>
      <c r="BF470" s="34">
        <f>IF(Table_15[[#This Row],[GRADED BAGS]]&gt;0,Table_15[[#This Row],[GRADED BAGS]],Table_15[[#This Row],[Bags]])</f>
        <v>0</v>
      </c>
    </row>
    <row r="471" spans="1:58" ht="15.75" hidden="1" customHeight="1" x14ac:dyDescent="0.35">
      <c r="A471" s="22">
        <v>469</v>
      </c>
      <c r="B471" s="22"/>
      <c r="C471" s="23"/>
      <c r="D471" s="23"/>
      <c r="E471" s="24"/>
      <c r="F471" s="23"/>
      <c r="G471" s="100"/>
      <c r="H471" s="101"/>
      <c r="I471" s="102"/>
      <c r="J471" s="102"/>
      <c r="K471" s="233"/>
      <c r="L471" s="22"/>
      <c r="M471" s="25">
        <f t="shared" si="36"/>
        <v>0</v>
      </c>
      <c r="N471" s="25">
        <f t="shared" si="37"/>
        <v>0</v>
      </c>
      <c r="O471" s="25">
        <f t="shared" si="38"/>
        <v>0</v>
      </c>
      <c r="P471" s="25">
        <f t="shared" si="39"/>
        <v>0</v>
      </c>
      <c r="Q471" s="22"/>
      <c r="R471" s="22"/>
      <c r="S471" s="22"/>
      <c r="T471" s="22"/>
      <c r="U471" s="26">
        <f t="shared" si="40"/>
        <v>0</v>
      </c>
      <c r="V471" s="27"/>
      <c r="W471" s="28"/>
      <c r="X471" s="25" t="str">
        <f>+IF(AND('GRADING PACKING'!L$5=INWARDDATA!J471,'GRADING PACKING'!L$6=INWARDDATA!I471,AB471=0),"TRUE","FALSE")</f>
        <v>FALSE</v>
      </c>
      <c r="Y471" s="29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1"/>
      <c r="AK471" s="31"/>
      <c r="AL471" s="31"/>
      <c r="AM471" s="31"/>
      <c r="AN471" s="32" t="str">
        <f>+IF(AND('GRADING PACKING'!L$5=INWARDDATA!J471,'GRADING PACKING'!L$6=INWARDDATA!I471,AR471=0),"good","bad")</f>
        <v>bad</v>
      </c>
      <c r="AO471" s="33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86"/>
      <c r="BC471" s="86"/>
      <c r="BD471" s="97">
        <f>Table_15[[#This Row],[Wgt-Bag]]-Table_15[[#This Row],[Total Graded]]-Table_15[[#This Row],[UNDERSIZE]]+0.0011</f>
        <v>1.1000000000000001E-3</v>
      </c>
      <c r="BE471" s="86">
        <f>Table_15[[#This Row],[Total Graded]]-Table_15[[#This Row],[Packing Quantity]]+Table_15[[#This Row],[PACKING LOOSE]]</f>
        <v>0</v>
      </c>
      <c r="BF471" s="34">
        <f>IF(Table_15[[#This Row],[GRADED BAGS]]&gt;0,Table_15[[#This Row],[GRADED BAGS]],Table_15[[#This Row],[Bags]])</f>
        <v>0</v>
      </c>
    </row>
    <row r="472" spans="1:58" ht="15.75" hidden="1" customHeight="1" x14ac:dyDescent="0.35">
      <c r="A472" s="22">
        <v>470</v>
      </c>
      <c r="B472" s="22"/>
      <c r="C472" s="23"/>
      <c r="D472" s="23"/>
      <c r="E472" s="24"/>
      <c r="F472" s="23"/>
      <c r="G472" s="100"/>
      <c r="H472" s="101"/>
      <c r="I472" s="102"/>
      <c r="J472" s="102"/>
      <c r="K472" s="233"/>
      <c r="L472" s="22"/>
      <c r="M472" s="25">
        <f t="shared" si="36"/>
        <v>0</v>
      </c>
      <c r="N472" s="25">
        <f t="shared" si="37"/>
        <v>0</v>
      </c>
      <c r="O472" s="25">
        <f t="shared" si="38"/>
        <v>0</v>
      </c>
      <c r="P472" s="25">
        <f t="shared" si="39"/>
        <v>0</v>
      </c>
      <c r="Q472" s="22"/>
      <c r="R472" s="22"/>
      <c r="S472" s="22"/>
      <c r="T472" s="22"/>
      <c r="U472" s="26">
        <f t="shared" si="40"/>
        <v>0</v>
      </c>
      <c r="V472" s="27"/>
      <c r="W472" s="28"/>
      <c r="X472" s="25" t="str">
        <f>+IF(AND('GRADING PACKING'!L$5=INWARDDATA!J472,'GRADING PACKING'!L$6=INWARDDATA!I472,AB472=0),"TRUE","FALSE")</f>
        <v>FALSE</v>
      </c>
      <c r="Y472" s="29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1"/>
      <c r="AK472" s="31"/>
      <c r="AL472" s="31"/>
      <c r="AM472" s="31"/>
      <c r="AN472" s="32" t="str">
        <f>+IF(AND('GRADING PACKING'!L$5=INWARDDATA!J472,'GRADING PACKING'!L$6=INWARDDATA!I472,AR472=0),"good","bad")</f>
        <v>bad</v>
      </c>
      <c r="AO472" s="33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86"/>
      <c r="BC472" s="86"/>
      <c r="BD472" s="97">
        <f>Table_15[[#This Row],[Wgt-Bag]]-Table_15[[#This Row],[Total Graded]]-Table_15[[#This Row],[UNDERSIZE]]+0.0011</f>
        <v>1.1000000000000001E-3</v>
      </c>
      <c r="BE472" s="86">
        <f>Table_15[[#This Row],[Total Graded]]-Table_15[[#This Row],[Packing Quantity]]+Table_15[[#This Row],[PACKING LOOSE]]</f>
        <v>0</v>
      </c>
      <c r="BF472" s="34">
        <f>IF(Table_15[[#This Row],[GRADED BAGS]]&gt;0,Table_15[[#This Row],[GRADED BAGS]],Table_15[[#This Row],[Bags]])</f>
        <v>0</v>
      </c>
    </row>
    <row r="473" spans="1:58" ht="15.75" hidden="1" customHeight="1" x14ac:dyDescent="0.35">
      <c r="A473" s="22">
        <v>471</v>
      </c>
      <c r="B473" s="22"/>
      <c r="C473" s="23"/>
      <c r="D473" s="23"/>
      <c r="E473" s="24"/>
      <c r="F473" s="23"/>
      <c r="G473" s="100"/>
      <c r="H473" s="101"/>
      <c r="I473" s="102"/>
      <c r="J473" s="102"/>
      <c r="K473" s="233"/>
      <c r="L473" s="22"/>
      <c r="M473" s="25">
        <f t="shared" si="36"/>
        <v>0</v>
      </c>
      <c r="N473" s="25">
        <f t="shared" si="37"/>
        <v>0</v>
      </c>
      <c r="O473" s="25">
        <f t="shared" si="38"/>
        <v>0</v>
      </c>
      <c r="P473" s="25">
        <f t="shared" si="39"/>
        <v>0</v>
      </c>
      <c r="Q473" s="22"/>
      <c r="R473" s="22"/>
      <c r="S473" s="22"/>
      <c r="T473" s="22"/>
      <c r="U473" s="26">
        <f t="shared" si="40"/>
        <v>0</v>
      </c>
      <c r="V473" s="27"/>
      <c r="W473" s="28"/>
      <c r="X473" s="25" t="str">
        <f>+IF(AND('GRADING PACKING'!L$5=INWARDDATA!J473,'GRADING PACKING'!L$6=INWARDDATA!I473,AB473=0),"TRUE","FALSE")</f>
        <v>FALSE</v>
      </c>
      <c r="Y473" s="29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1"/>
      <c r="AK473" s="31"/>
      <c r="AL473" s="31"/>
      <c r="AM473" s="31"/>
      <c r="AN473" s="32" t="str">
        <f>+IF(AND('GRADING PACKING'!L$5=INWARDDATA!J473,'GRADING PACKING'!L$6=INWARDDATA!I473,AR473=0),"good","bad")</f>
        <v>bad</v>
      </c>
      <c r="AO473" s="33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86"/>
      <c r="BC473" s="86"/>
      <c r="BD473" s="97">
        <f>Table_15[[#This Row],[Wgt-Bag]]-Table_15[[#This Row],[Total Graded]]-Table_15[[#This Row],[UNDERSIZE]]+0.0011</f>
        <v>1.1000000000000001E-3</v>
      </c>
      <c r="BE473" s="86">
        <f>Table_15[[#This Row],[Total Graded]]-Table_15[[#This Row],[Packing Quantity]]+Table_15[[#This Row],[PACKING LOOSE]]</f>
        <v>0</v>
      </c>
      <c r="BF473" s="34">
        <f>IF(Table_15[[#This Row],[GRADED BAGS]]&gt;0,Table_15[[#This Row],[GRADED BAGS]],Table_15[[#This Row],[Bags]])</f>
        <v>0</v>
      </c>
    </row>
    <row r="474" spans="1:58" ht="15.75" hidden="1" customHeight="1" x14ac:dyDescent="0.35">
      <c r="A474" s="22">
        <v>472</v>
      </c>
      <c r="B474" s="22"/>
      <c r="C474" s="23"/>
      <c r="D474" s="23"/>
      <c r="E474" s="24"/>
      <c r="F474" s="23"/>
      <c r="G474" s="100"/>
      <c r="H474" s="101"/>
      <c r="I474" s="102"/>
      <c r="J474" s="102"/>
      <c r="K474" s="233"/>
      <c r="L474" s="22"/>
      <c r="M474" s="25">
        <f t="shared" si="36"/>
        <v>0</v>
      </c>
      <c r="N474" s="25">
        <f t="shared" si="37"/>
        <v>0</v>
      </c>
      <c r="O474" s="25">
        <f t="shared" si="38"/>
        <v>0</v>
      </c>
      <c r="P474" s="25">
        <f t="shared" si="39"/>
        <v>0</v>
      </c>
      <c r="Q474" s="22"/>
      <c r="R474" s="22"/>
      <c r="S474" s="22"/>
      <c r="T474" s="22"/>
      <c r="U474" s="26">
        <f t="shared" si="40"/>
        <v>0</v>
      </c>
      <c r="V474" s="27"/>
      <c r="W474" s="28"/>
      <c r="X474" s="25" t="str">
        <f>+IF(AND('GRADING PACKING'!L$5=INWARDDATA!J474,'GRADING PACKING'!L$6=INWARDDATA!I474,AB474=0),"TRUE","FALSE")</f>
        <v>FALSE</v>
      </c>
      <c r="Y474" s="29"/>
      <c r="Z474" s="30"/>
      <c r="AA474" s="30"/>
      <c r="AB474" s="30"/>
      <c r="AC474" s="30"/>
      <c r="AD474" s="30"/>
      <c r="AE474" s="30"/>
      <c r="AF474" s="30"/>
      <c r="AG474" s="30"/>
      <c r="AH474" s="30"/>
      <c r="AI474" s="30"/>
      <c r="AJ474" s="31"/>
      <c r="AK474" s="31"/>
      <c r="AL474" s="31"/>
      <c r="AM474" s="31"/>
      <c r="AN474" s="32" t="str">
        <f>+IF(AND('GRADING PACKING'!L$5=INWARDDATA!J474,'GRADING PACKING'!L$6=INWARDDATA!I474,AR474=0),"good","bad")</f>
        <v>bad</v>
      </c>
      <c r="AO474" s="33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86"/>
      <c r="BC474" s="86"/>
      <c r="BD474" s="97">
        <f>Table_15[[#This Row],[Wgt-Bag]]-Table_15[[#This Row],[Total Graded]]-Table_15[[#This Row],[UNDERSIZE]]+0.0011</f>
        <v>1.1000000000000001E-3</v>
      </c>
      <c r="BE474" s="86">
        <f>Table_15[[#This Row],[Total Graded]]-Table_15[[#This Row],[Packing Quantity]]+Table_15[[#This Row],[PACKING LOOSE]]</f>
        <v>0</v>
      </c>
      <c r="BF474" s="34">
        <f>IF(Table_15[[#This Row],[GRADED BAGS]]&gt;0,Table_15[[#This Row],[GRADED BAGS]],Table_15[[#This Row],[Bags]])</f>
        <v>0</v>
      </c>
    </row>
    <row r="475" spans="1:58" ht="15.75" hidden="1" customHeight="1" x14ac:dyDescent="0.35">
      <c r="A475" s="22">
        <v>473</v>
      </c>
      <c r="B475" s="22"/>
      <c r="C475" s="23"/>
      <c r="D475" s="23"/>
      <c r="E475" s="24"/>
      <c r="F475" s="23"/>
      <c r="G475" s="100"/>
      <c r="H475" s="101"/>
      <c r="I475" s="102"/>
      <c r="J475" s="102"/>
      <c r="K475" s="233"/>
      <c r="L475" s="22"/>
      <c r="M475" s="25">
        <f t="shared" si="36"/>
        <v>0</v>
      </c>
      <c r="N475" s="25">
        <f t="shared" si="37"/>
        <v>0</v>
      </c>
      <c r="O475" s="25">
        <f t="shared" si="38"/>
        <v>0</v>
      </c>
      <c r="P475" s="25">
        <f t="shared" si="39"/>
        <v>0</v>
      </c>
      <c r="Q475" s="22"/>
      <c r="R475" s="22"/>
      <c r="S475" s="22"/>
      <c r="T475" s="22"/>
      <c r="U475" s="26">
        <f t="shared" si="40"/>
        <v>0</v>
      </c>
      <c r="V475" s="27"/>
      <c r="W475" s="28"/>
      <c r="X475" s="25" t="str">
        <f>+IF(AND('GRADING PACKING'!L$5=INWARDDATA!J475,'GRADING PACKING'!L$6=INWARDDATA!I475,AB475=0),"TRUE","FALSE")</f>
        <v>FALSE</v>
      </c>
      <c r="Y475" s="29"/>
      <c r="Z475" s="30"/>
      <c r="AA475" s="30"/>
      <c r="AB475" s="30"/>
      <c r="AC475" s="30"/>
      <c r="AD475" s="30"/>
      <c r="AE475" s="30"/>
      <c r="AF475" s="30"/>
      <c r="AG475" s="30"/>
      <c r="AH475" s="30"/>
      <c r="AI475" s="30"/>
      <c r="AJ475" s="31"/>
      <c r="AK475" s="31"/>
      <c r="AL475" s="31"/>
      <c r="AM475" s="31"/>
      <c r="AN475" s="32" t="str">
        <f>+IF(AND('GRADING PACKING'!L$5=INWARDDATA!J475,'GRADING PACKING'!L$6=INWARDDATA!I475,AR475=0),"good","bad")</f>
        <v>bad</v>
      </c>
      <c r="AO475" s="33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86"/>
      <c r="BC475" s="86"/>
      <c r="BD475" s="97">
        <f>Table_15[[#This Row],[Wgt-Bag]]-Table_15[[#This Row],[Total Graded]]-Table_15[[#This Row],[UNDERSIZE]]+0.0011</f>
        <v>1.1000000000000001E-3</v>
      </c>
      <c r="BE475" s="86">
        <f>Table_15[[#This Row],[Total Graded]]-Table_15[[#This Row],[Packing Quantity]]+Table_15[[#This Row],[PACKING LOOSE]]</f>
        <v>0</v>
      </c>
      <c r="BF475" s="34">
        <f>IF(Table_15[[#This Row],[GRADED BAGS]]&gt;0,Table_15[[#This Row],[GRADED BAGS]],Table_15[[#This Row],[Bags]])</f>
        <v>0</v>
      </c>
    </row>
    <row r="476" spans="1:58" ht="15.75" hidden="1" customHeight="1" x14ac:dyDescent="0.35">
      <c r="A476" s="22">
        <v>474</v>
      </c>
      <c r="B476" s="22"/>
      <c r="C476" s="23"/>
      <c r="D476" s="23"/>
      <c r="E476" s="24"/>
      <c r="F476" s="23"/>
      <c r="G476" s="100"/>
      <c r="H476" s="101"/>
      <c r="I476" s="102"/>
      <c r="J476" s="102"/>
      <c r="K476" s="233"/>
      <c r="L476" s="22"/>
      <c r="M476" s="25">
        <f t="shared" si="36"/>
        <v>0</v>
      </c>
      <c r="N476" s="25">
        <f t="shared" si="37"/>
        <v>0</v>
      </c>
      <c r="O476" s="25">
        <f t="shared" si="38"/>
        <v>0</v>
      </c>
      <c r="P476" s="25">
        <f t="shared" si="39"/>
        <v>0</v>
      </c>
      <c r="Q476" s="22"/>
      <c r="R476" s="22"/>
      <c r="S476" s="22"/>
      <c r="T476" s="22"/>
      <c r="U476" s="26">
        <f t="shared" si="40"/>
        <v>0</v>
      </c>
      <c r="V476" s="27"/>
      <c r="W476" s="28"/>
      <c r="X476" s="25" t="str">
        <f>+IF(AND('GRADING PACKING'!L$5=INWARDDATA!J476,'GRADING PACKING'!L$6=INWARDDATA!I476,AB476=0),"TRUE","FALSE")</f>
        <v>FALSE</v>
      </c>
      <c r="Y476" s="29"/>
      <c r="Z476" s="30"/>
      <c r="AA476" s="30"/>
      <c r="AB476" s="30"/>
      <c r="AC476" s="30"/>
      <c r="AD476" s="30"/>
      <c r="AE476" s="30"/>
      <c r="AF476" s="30"/>
      <c r="AG476" s="30"/>
      <c r="AH476" s="30"/>
      <c r="AI476" s="30"/>
      <c r="AJ476" s="31"/>
      <c r="AK476" s="31"/>
      <c r="AL476" s="31"/>
      <c r="AM476" s="31"/>
      <c r="AN476" s="32" t="str">
        <f>+IF(AND('GRADING PACKING'!L$5=INWARDDATA!J476,'GRADING PACKING'!L$6=INWARDDATA!I476,AR476=0),"good","bad")</f>
        <v>bad</v>
      </c>
      <c r="AO476" s="33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86"/>
      <c r="BC476" s="86"/>
      <c r="BD476" s="97">
        <f>Table_15[[#This Row],[Wgt-Bag]]-Table_15[[#This Row],[Total Graded]]-Table_15[[#This Row],[UNDERSIZE]]+0.0011</f>
        <v>1.1000000000000001E-3</v>
      </c>
      <c r="BE476" s="86">
        <f>Table_15[[#This Row],[Total Graded]]-Table_15[[#This Row],[Packing Quantity]]+Table_15[[#This Row],[PACKING LOOSE]]</f>
        <v>0</v>
      </c>
      <c r="BF476" s="34">
        <f>IF(Table_15[[#This Row],[GRADED BAGS]]&gt;0,Table_15[[#This Row],[GRADED BAGS]],Table_15[[#This Row],[Bags]])</f>
        <v>0</v>
      </c>
    </row>
    <row r="477" spans="1:58" ht="15.75" hidden="1" customHeight="1" x14ac:dyDescent="0.35">
      <c r="A477" s="22">
        <v>475</v>
      </c>
      <c r="B477" s="22"/>
      <c r="C477" s="23"/>
      <c r="D477" s="23"/>
      <c r="E477" s="24"/>
      <c r="F477" s="23"/>
      <c r="G477" s="100"/>
      <c r="H477" s="101"/>
      <c r="I477" s="102"/>
      <c r="J477" s="102"/>
      <c r="K477" s="233"/>
      <c r="L477" s="22"/>
      <c r="M477" s="25">
        <f t="shared" si="36"/>
        <v>0</v>
      </c>
      <c r="N477" s="25">
        <f t="shared" si="37"/>
        <v>0</v>
      </c>
      <c r="O477" s="25">
        <f t="shared" si="38"/>
        <v>0</v>
      </c>
      <c r="P477" s="25">
        <f t="shared" si="39"/>
        <v>0</v>
      </c>
      <c r="Q477" s="22"/>
      <c r="R477" s="22"/>
      <c r="S477" s="22"/>
      <c r="T477" s="22"/>
      <c r="U477" s="26">
        <f t="shared" si="40"/>
        <v>0</v>
      </c>
      <c r="V477" s="27"/>
      <c r="W477" s="28"/>
      <c r="X477" s="25" t="str">
        <f>+IF(AND('GRADING PACKING'!L$5=INWARDDATA!J477,'GRADING PACKING'!L$6=INWARDDATA!I477,AB477=0),"TRUE","FALSE")</f>
        <v>FALSE</v>
      </c>
      <c r="Y477" s="29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1"/>
      <c r="AK477" s="31"/>
      <c r="AL477" s="31"/>
      <c r="AM477" s="31"/>
      <c r="AN477" s="32" t="str">
        <f>+IF(AND('GRADING PACKING'!L$5=INWARDDATA!J477,'GRADING PACKING'!L$6=INWARDDATA!I477,AR477=0),"good","bad")</f>
        <v>bad</v>
      </c>
      <c r="AO477" s="33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86"/>
      <c r="BC477" s="86"/>
      <c r="BD477" s="97">
        <f>Table_15[[#This Row],[Wgt-Bag]]-Table_15[[#This Row],[Total Graded]]-Table_15[[#This Row],[UNDERSIZE]]+0.0011</f>
        <v>1.1000000000000001E-3</v>
      </c>
      <c r="BE477" s="86">
        <f>Table_15[[#This Row],[Total Graded]]-Table_15[[#This Row],[Packing Quantity]]+Table_15[[#This Row],[PACKING LOOSE]]</f>
        <v>0</v>
      </c>
      <c r="BF477" s="34">
        <f>IF(Table_15[[#This Row],[GRADED BAGS]]&gt;0,Table_15[[#This Row],[GRADED BAGS]],Table_15[[#This Row],[Bags]])</f>
        <v>0</v>
      </c>
    </row>
    <row r="478" spans="1:58" ht="15.75" hidden="1" customHeight="1" x14ac:dyDescent="0.35">
      <c r="A478" s="22">
        <v>476</v>
      </c>
      <c r="B478" s="22"/>
      <c r="C478" s="23"/>
      <c r="D478" s="23"/>
      <c r="E478" s="24"/>
      <c r="F478" s="23"/>
      <c r="G478" s="100"/>
      <c r="H478" s="101"/>
      <c r="I478" s="102"/>
      <c r="J478" s="102"/>
      <c r="K478" s="233"/>
      <c r="L478" s="22"/>
      <c r="M478" s="25">
        <f t="shared" si="36"/>
        <v>0</v>
      </c>
      <c r="N478" s="25">
        <f t="shared" si="37"/>
        <v>0</v>
      </c>
      <c r="O478" s="25">
        <f t="shared" si="38"/>
        <v>0</v>
      </c>
      <c r="P478" s="25">
        <f t="shared" si="39"/>
        <v>0</v>
      </c>
      <c r="Q478" s="22"/>
      <c r="R478" s="22"/>
      <c r="S478" s="22"/>
      <c r="T478" s="22"/>
      <c r="U478" s="26">
        <f t="shared" si="40"/>
        <v>0</v>
      </c>
      <c r="V478" s="27"/>
      <c r="W478" s="28"/>
      <c r="X478" s="25" t="str">
        <f>+IF(AND('GRADING PACKING'!L$5=INWARDDATA!J478,'GRADING PACKING'!L$6=INWARDDATA!I478,AB478=0),"TRUE","FALSE")</f>
        <v>FALSE</v>
      </c>
      <c r="Y478" s="29"/>
      <c r="Z478" s="30"/>
      <c r="AA478" s="30"/>
      <c r="AB478" s="30"/>
      <c r="AC478" s="30"/>
      <c r="AD478" s="30"/>
      <c r="AE478" s="30"/>
      <c r="AF478" s="30"/>
      <c r="AG478" s="30"/>
      <c r="AH478" s="30"/>
      <c r="AI478" s="30"/>
      <c r="AJ478" s="31"/>
      <c r="AK478" s="31"/>
      <c r="AL478" s="31"/>
      <c r="AM478" s="31"/>
      <c r="AN478" s="32" t="str">
        <f>+IF(AND('GRADING PACKING'!L$5=INWARDDATA!J478,'GRADING PACKING'!L$6=INWARDDATA!I478,AR478=0),"good","bad")</f>
        <v>bad</v>
      </c>
      <c r="AO478" s="33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86"/>
      <c r="BC478" s="86"/>
      <c r="BD478" s="97">
        <f>Table_15[[#This Row],[Wgt-Bag]]-Table_15[[#This Row],[Total Graded]]-Table_15[[#This Row],[UNDERSIZE]]+0.0011</f>
        <v>1.1000000000000001E-3</v>
      </c>
      <c r="BE478" s="86">
        <f>Table_15[[#This Row],[Total Graded]]-Table_15[[#This Row],[Packing Quantity]]+Table_15[[#This Row],[PACKING LOOSE]]</f>
        <v>0</v>
      </c>
      <c r="BF478" s="34">
        <f>IF(Table_15[[#This Row],[GRADED BAGS]]&gt;0,Table_15[[#This Row],[GRADED BAGS]],Table_15[[#This Row],[Bags]])</f>
        <v>0</v>
      </c>
    </row>
    <row r="479" spans="1:58" ht="15.75" hidden="1" customHeight="1" x14ac:dyDescent="0.35">
      <c r="A479" s="22">
        <v>477</v>
      </c>
      <c r="B479" s="22"/>
      <c r="C479" s="23"/>
      <c r="D479" s="23"/>
      <c r="E479" s="24"/>
      <c r="F479" s="23"/>
      <c r="G479" s="100"/>
      <c r="H479" s="101"/>
      <c r="I479" s="102"/>
      <c r="J479" s="102"/>
      <c r="K479" s="233"/>
      <c r="L479" s="22"/>
      <c r="M479" s="25">
        <f t="shared" si="36"/>
        <v>0</v>
      </c>
      <c r="N479" s="25">
        <f t="shared" si="37"/>
        <v>0</v>
      </c>
      <c r="O479" s="25">
        <f t="shared" si="38"/>
        <v>0</v>
      </c>
      <c r="P479" s="25">
        <f t="shared" si="39"/>
        <v>0</v>
      </c>
      <c r="Q479" s="22"/>
      <c r="R479" s="22"/>
      <c r="S479" s="22"/>
      <c r="T479" s="22"/>
      <c r="U479" s="26">
        <f t="shared" si="40"/>
        <v>0</v>
      </c>
      <c r="V479" s="27"/>
      <c r="W479" s="28"/>
      <c r="X479" s="25" t="str">
        <f>+IF(AND('GRADING PACKING'!L$5=INWARDDATA!J479,'GRADING PACKING'!L$6=INWARDDATA!I479,AB479=0),"TRUE","FALSE")</f>
        <v>FALSE</v>
      </c>
      <c r="Y479" s="29"/>
      <c r="Z479" s="30"/>
      <c r="AA479" s="30"/>
      <c r="AB479" s="30"/>
      <c r="AC479" s="30"/>
      <c r="AD479" s="30"/>
      <c r="AE479" s="30"/>
      <c r="AF479" s="30"/>
      <c r="AG479" s="30"/>
      <c r="AH479" s="30"/>
      <c r="AI479" s="30"/>
      <c r="AJ479" s="31"/>
      <c r="AK479" s="31"/>
      <c r="AL479" s="31"/>
      <c r="AM479" s="31"/>
      <c r="AN479" s="32" t="str">
        <f>+IF(AND('GRADING PACKING'!L$5=INWARDDATA!J479,'GRADING PACKING'!L$6=INWARDDATA!I479,AR479=0),"good","bad")</f>
        <v>bad</v>
      </c>
      <c r="AO479" s="33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86"/>
      <c r="BC479" s="86"/>
      <c r="BD479" s="97">
        <f>Table_15[[#This Row],[Wgt-Bag]]-Table_15[[#This Row],[Total Graded]]-Table_15[[#This Row],[UNDERSIZE]]+0.0011</f>
        <v>1.1000000000000001E-3</v>
      </c>
      <c r="BE479" s="86">
        <f>Table_15[[#This Row],[Total Graded]]-Table_15[[#This Row],[Packing Quantity]]+Table_15[[#This Row],[PACKING LOOSE]]</f>
        <v>0</v>
      </c>
      <c r="BF479" s="34">
        <f>IF(Table_15[[#This Row],[GRADED BAGS]]&gt;0,Table_15[[#This Row],[GRADED BAGS]],Table_15[[#This Row],[Bags]])</f>
        <v>0</v>
      </c>
    </row>
    <row r="480" spans="1:58" ht="15.75" hidden="1" customHeight="1" x14ac:dyDescent="0.35">
      <c r="A480" s="22">
        <v>478</v>
      </c>
      <c r="B480" s="22"/>
      <c r="C480" s="23"/>
      <c r="D480" s="23"/>
      <c r="E480" s="24"/>
      <c r="F480" s="23"/>
      <c r="G480" s="100"/>
      <c r="H480" s="101"/>
      <c r="I480" s="102"/>
      <c r="J480" s="102"/>
      <c r="K480" s="233"/>
      <c r="L480" s="22"/>
      <c r="M480" s="25">
        <f t="shared" si="36"/>
        <v>0</v>
      </c>
      <c r="N480" s="25">
        <f t="shared" si="37"/>
        <v>0</v>
      </c>
      <c r="O480" s="25">
        <f t="shared" si="38"/>
        <v>0</v>
      </c>
      <c r="P480" s="25">
        <f t="shared" si="39"/>
        <v>0</v>
      </c>
      <c r="Q480" s="22"/>
      <c r="R480" s="22"/>
      <c r="S480" s="22"/>
      <c r="T480" s="22"/>
      <c r="U480" s="26">
        <f t="shared" si="40"/>
        <v>0</v>
      </c>
      <c r="V480" s="27"/>
      <c r="W480" s="28"/>
      <c r="X480" s="25" t="str">
        <f>+IF(AND('GRADING PACKING'!L$5=INWARDDATA!J480,'GRADING PACKING'!L$6=INWARDDATA!I480,AB480=0),"TRUE","FALSE")</f>
        <v>FALSE</v>
      </c>
      <c r="Y480" s="29"/>
      <c r="Z480" s="30"/>
      <c r="AA480" s="30"/>
      <c r="AB480" s="30"/>
      <c r="AC480" s="30"/>
      <c r="AD480" s="30"/>
      <c r="AE480" s="30"/>
      <c r="AF480" s="30"/>
      <c r="AG480" s="30"/>
      <c r="AH480" s="30"/>
      <c r="AI480" s="30"/>
      <c r="AJ480" s="31"/>
      <c r="AK480" s="31"/>
      <c r="AL480" s="31"/>
      <c r="AM480" s="31"/>
      <c r="AN480" s="32" t="str">
        <f>+IF(AND('GRADING PACKING'!L$5=INWARDDATA!J480,'GRADING PACKING'!L$6=INWARDDATA!I480,AR480=0),"good","bad")</f>
        <v>bad</v>
      </c>
      <c r="AO480" s="33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86"/>
      <c r="BC480" s="86"/>
      <c r="BD480" s="97">
        <f>Table_15[[#This Row],[Wgt-Bag]]-Table_15[[#This Row],[Total Graded]]-Table_15[[#This Row],[UNDERSIZE]]+0.0011</f>
        <v>1.1000000000000001E-3</v>
      </c>
      <c r="BE480" s="86">
        <f>Table_15[[#This Row],[Total Graded]]-Table_15[[#This Row],[Packing Quantity]]+Table_15[[#This Row],[PACKING LOOSE]]</f>
        <v>0</v>
      </c>
      <c r="BF480" s="34">
        <f>IF(Table_15[[#This Row],[GRADED BAGS]]&gt;0,Table_15[[#This Row],[GRADED BAGS]],Table_15[[#This Row],[Bags]])</f>
        <v>0</v>
      </c>
    </row>
    <row r="481" spans="1:58" ht="15.75" hidden="1" customHeight="1" x14ac:dyDescent="0.35">
      <c r="A481" s="22">
        <v>479</v>
      </c>
      <c r="B481" s="22"/>
      <c r="C481" s="23"/>
      <c r="D481" s="23"/>
      <c r="E481" s="24"/>
      <c r="F481" s="23"/>
      <c r="G481" s="100"/>
      <c r="H481" s="101"/>
      <c r="I481" s="102"/>
      <c r="J481" s="102"/>
      <c r="K481" s="233"/>
      <c r="L481" s="22"/>
      <c r="M481" s="25">
        <f t="shared" si="36"/>
        <v>0</v>
      </c>
      <c r="N481" s="25">
        <f t="shared" si="37"/>
        <v>0</v>
      </c>
      <c r="O481" s="25">
        <f t="shared" si="38"/>
        <v>0</v>
      </c>
      <c r="P481" s="25">
        <f t="shared" si="39"/>
        <v>0</v>
      </c>
      <c r="Q481" s="22"/>
      <c r="R481" s="22"/>
      <c r="S481" s="22"/>
      <c r="T481" s="22"/>
      <c r="U481" s="26">
        <f t="shared" si="40"/>
        <v>0</v>
      </c>
      <c r="V481" s="27"/>
      <c r="W481" s="28"/>
      <c r="X481" s="25" t="str">
        <f>+IF(AND('GRADING PACKING'!L$5=INWARDDATA!J481,'GRADING PACKING'!L$6=INWARDDATA!I481,AB481=0),"TRUE","FALSE")</f>
        <v>FALSE</v>
      </c>
      <c r="Y481" s="29"/>
      <c r="Z481" s="30"/>
      <c r="AA481" s="30"/>
      <c r="AB481" s="30"/>
      <c r="AC481" s="30"/>
      <c r="AD481" s="30"/>
      <c r="AE481" s="30"/>
      <c r="AF481" s="30"/>
      <c r="AG481" s="30"/>
      <c r="AH481" s="30"/>
      <c r="AI481" s="30"/>
      <c r="AJ481" s="31"/>
      <c r="AK481" s="31"/>
      <c r="AL481" s="31"/>
      <c r="AM481" s="31"/>
      <c r="AN481" s="32" t="str">
        <f>+IF(AND('GRADING PACKING'!L$5=INWARDDATA!J481,'GRADING PACKING'!L$6=INWARDDATA!I481,AR481=0),"good","bad")</f>
        <v>bad</v>
      </c>
      <c r="AO481" s="33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86"/>
      <c r="BC481" s="86"/>
      <c r="BD481" s="97">
        <f>Table_15[[#This Row],[Wgt-Bag]]-Table_15[[#This Row],[Total Graded]]-Table_15[[#This Row],[UNDERSIZE]]+0.0011</f>
        <v>1.1000000000000001E-3</v>
      </c>
      <c r="BE481" s="86">
        <f>Table_15[[#This Row],[Total Graded]]-Table_15[[#This Row],[Packing Quantity]]+Table_15[[#This Row],[PACKING LOOSE]]</f>
        <v>0</v>
      </c>
      <c r="BF481" s="34">
        <f>IF(Table_15[[#This Row],[GRADED BAGS]]&gt;0,Table_15[[#This Row],[GRADED BAGS]],Table_15[[#This Row],[Bags]])</f>
        <v>0</v>
      </c>
    </row>
    <row r="482" spans="1:58" ht="15.75" hidden="1" customHeight="1" x14ac:dyDescent="0.35">
      <c r="A482" s="22">
        <v>480</v>
      </c>
      <c r="B482" s="22"/>
      <c r="C482" s="23"/>
      <c r="D482" s="23"/>
      <c r="E482" s="24"/>
      <c r="F482" s="23"/>
      <c r="G482" s="100"/>
      <c r="H482" s="101"/>
      <c r="I482" s="102"/>
      <c r="J482" s="102"/>
      <c r="K482" s="233"/>
      <c r="L482" s="22"/>
      <c r="M482" s="25">
        <f t="shared" si="36"/>
        <v>0</v>
      </c>
      <c r="N482" s="25">
        <f t="shared" si="37"/>
        <v>0</v>
      </c>
      <c r="O482" s="25">
        <f t="shared" si="38"/>
        <v>0</v>
      </c>
      <c r="P482" s="25">
        <f t="shared" si="39"/>
        <v>0</v>
      </c>
      <c r="Q482" s="22"/>
      <c r="R482" s="22"/>
      <c r="S482" s="22"/>
      <c r="T482" s="22"/>
      <c r="U482" s="26">
        <f t="shared" si="40"/>
        <v>0</v>
      </c>
      <c r="V482" s="27"/>
      <c r="W482" s="28"/>
      <c r="X482" s="25" t="str">
        <f>+IF(AND('GRADING PACKING'!L$5=INWARDDATA!J482,'GRADING PACKING'!L$6=INWARDDATA!I482,AB482=0),"TRUE","FALSE")</f>
        <v>FALSE</v>
      </c>
      <c r="Y482" s="29"/>
      <c r="Z482" s="30"/>
      <c r="AA482" s="30"/>
      <c r="AB482" s="30"/>
      <c r="AC482" s="30"/>
      <c r="AD482" s="30"/>
      <c r="AE482" s="30"/>
      <c r="AF482" s="30"/>
      <c r="AG482" s="30"/>
      <c r="AH482" s="30"/>
      <c r="AI482" s="30"/>
      <c r="AJ482" s="31"/>
      <c r="AK482" s="31"/>
      <c r="AL482" s="31"/>
      <c r="AM482" s="31"/>
      <c r="AN482" s="32" t="str">
        <f>+IF(AND('GRADING PACKING'!L$5=INWARDDATA!J482,'GRADING PACKING'!L$6=INWARDDATA!I482,AR482=0),"good","bad")</f>
        <v>bad</v>
      </c>
      <c r="AO482" s="33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86"/>
      <c r="BC482" s="86"/>
      <c r="BD482" s="97">
        <f>Table_15[[#This Row],[Wgt-Bag]]-Table_15[[#This Row],[Total Graded]]-Table_15[[#This Row],[UNDERSIZE]]+0.0011</f>
        <v>1.1000000000000001E-3</v>
      </c>
      <c r="BE482" s="86">
        <f>Table_15[[#This Row],[Total Graded]]-Table_15[[#This Row],[Packing Quantity]]+Table_15[[#This Row],[PACKING LOOSE]]</f>
        <v>0</v>
      </c>
      <c r="BF482" s="34">
        <f>IF(Table_15[[#This Row],[GRADED BAGS]]&gt;0,Table_15[[#This Row],[GRADED BAGS]],Table_15[[#This Row],[Bags]])</f>
        <v>0</v>
      </c>
    </row>
    <row r="483" spans="1:58" ht="15.75" hidden="1" customHeight="1" x14ac:dyDescent="0.35">
      <c r="A483" s="22">
        <v>481</v>
      </c>
      <c r="B483" s="22"/>
      <c r="C483" s="23"/>
      <c r="D483" s="23"/>
      <c r="E483" s="24"/>
      <c r="F483" s="23"/>
      <c r="G483" s="100"/>
      <c r="H483" s="101"/>
      <c r="I483" s="102"/>
      <c r="J483" s="102"/>
      <c r="K483" s="233"/>
      <c r="L483" s="22"/>
      <c r="M483" s="25">
        <f t="shared" si="36"/>
        <v>0</v>
      </c>
      <c r="N483" s="25">
        <f t="shared" si="37"/>
        <v>0</v>
      </c>
      <c r="O483" s="25">
        <f t="shared" si="38"/>
        <v>0</v>
      </c>
      <c r="P483" s="25">
        <f t="shared" si="39"/>
        <v>0</v>
      </c>
      <c r="Q483" s="22"/>
      <c r="R483" s="22"/>
      <c r="S483" s="22"/>
      <c r="T483" s="22"/>
      <c r="U483" s="26">
        <f t="shared" si="40"/>
        <v>0</v>
      </c>
      <c r="V483" s="27"/>
      <c r="W483" s="28"/>
      <c r="X483" s="25" t="str">
        <f>+IF(AND('GRADING PACKING'!L$5=INWARDDATA!J483,'GRADING PACKING'!L$6=INWARDDATA!I483,AB483=0),"TRUE","FALSE")</f>
        <v>FALSE</v>
      </c>
      <c r="Y483" s="29"/>
      <c r="Z483" s="30"/>
      <c r="AA483" s="30"/>
      <c r="AB483" s="30"/>
      <c r="AC483" s="30"/>
      <c r="AD483" s="30"/>
      <c r="AE483" s="30"/>
      <c r="AF483" s="30"/>
      <c r="AG483" s="30"/>
      <c r="AH483" s="30"/>
      <c r="AI483" s="30"/>
      <c r="AJ483" s="31"/>
      <c r="AK483" s="31"/>
      <c r="AL483" s="31"/>
      <c r="AM483" s="31"/>
      <c r="AN483" s="32" t="str">
        <f>+IF(AND('GRADING PACKING'!L$5=INWARDDATA!J483,'GRADING PACKING'!L$6=INWARDDATA!I483,AR483=0),"good","bad")</f>
        <v>bad</v>
      </c>
      <c r="AO483" s="33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86"/>
      <c r="BC483" s="86"/>
      <c r="BD483" s="97">
        <f>Table_15[[#This Row],[Wgt-Bag]]-Table_15[[#This Row],[Total Graded]]-Table_15[[#This Row],[UNDERSIZE]]+0.0011</f>
        <v>1.1000000000000001E-3</v>
      </c>
      <c r="BE483" s="86">
        <f>Table_15[[#This Row],[Total Graded]]-Table_15[[#This Row],[Packing Quantity]]+Table_15[[#This Row],[PACKING LOOSE]]</f>
        <v>0</v>
      </c>
      <c r="BF483" s="34">
        <f>IF(Table_15[[#This Row],[GRADED BAGS]]&gt;0,Table_15[[#This Row],[GRADED BAGS]],Table_15[[#This Row],[Bags]])</f>
        <v>0</v>
      </c>
    </row>
    <row r="484" spans="1:58" ht="15.75" hidden="1" customHeight="1" x14ac:dyDescent="0.35">
      <c r="A484" s="22">
        <v>482</v>
      </c>
      <c r="B484" s="22"/>
      <c r="C484" s="23"/>
      <c r="D484" s="23"/>
      <c r="E484" s="24"/>
      <c r="F484" s="23"/>
      <c r="G484" s="100"/>
      <c r="H484" s="101"/>
      <c r="I484" s="102"/>
      <c r="J484" s="102"/>
      <c r="K484" s="233"/>
      <c r="L484" s="22"/>
      <c r="M484" s="25">
        <f t="shared" si="36"/>
        <v>0</v>
      </c>
      <c r="N484" s="25">
        <f t="shared" si="37"/>
        <v>0</v>
      </c>
      <c r="O484" s="25">
        <f t="shared" si="38"/>
        <v>0</v>
      </c>
      <c r="P484" s="25">
        <f t="shared" si="39"/>
        <v>0</v>
      </c>
      <c r="Q484" s="22"/>
      <c r="R484" s="22"/>
      <c r="S484" s="22"/>
      <c r="T484" s="22"/>
      <c r="U484" s="26">
        <f t="shared" si="40"/>
        <v>0</v>
      </c>
      <c r="V484" s="27"/>
      <c r="W484" s="28"/>
      <c r="X484" s="25" t="str">
        <f>+IF(AND('GRADING PACKING'!L$5=INWARDDATA!J484,'GRADING PACKING'!L$6=INWARDDATA!I484,AB484=0),"TRUE","FALSE")</f>
        <v>FALSE</v>
      </c>
      <c r="Y484" s="29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1"/>
      <c r="AK484" s="31"/>
      <c r="AL484" s="31"/>
      <c r="AM484" s="31"/>
      <c r="AN484" s="32" t="str">
        <f>+IF(AND('GRADING PACKING'!L$5=INWARDDATA!J484,'GRADING PACKING'!L$6=INWARDDATA!I484,AR484=0),"good","bad")</f>
        <v>bad</v>
      </c>
      <c r="AO484" s="33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86"/>
      <c r="BC484" s="86"/>
      <c r="BD484" s="97">
        <f>Table_15[[#This Row],[Wgt-Bag]]-Table_15[[#This Row],[Total Graded]]-Table_15[[#This Row],[UNDERSIZE]]+0.0011</f>
        <v>1.1000000000000001E-3</v>
      </c>
      <c r="BE484" s="86">
        <f>Table_15[[#This Row],[Total Graded]]-Table_15[[#This Row],[Packing Quantity]]+Table_15[[#This Row],[PACKING LOOSE]]</f>
        <v>0</v>
      </c>
      <c r="BF484" s="34">
        <f>IF(Table_15[[#This Row],[GRADED BAGS]]&gt;0,Table_15[[#This Row],[GRADED BAGS]],Table_15[[#This Row],[Bags]])</f>
        <v>0</v>
      </c>
    </row>
    <row r="485" spans="1:58" ht="15.75" hidden="1" customHeight="1" x14ac:dyDescent="0.35">
      <c r="A485" s="22">
        <v>483</v>
      </c>
      <c r="B485" s="22"/>
      <c r="C485" s="23"/>
      <c r="D485" s="23"/>
      <c r="E485" s="24"/>
      <c r="F485" s="23"/>
      <c r="G485" s="100"/>
      <c r="H485" s="101"/>
      <c r="I485" s="102"/>
      <c r="J485" s="102"/>
      <c r="K485" s="233"/>
      <c r="L485" s="22"/>
      <c r="M485" s="25">
        <f t="shared" si="36"/>
        <v>0</v>
      </c>
      <c r="N485" s="25">
        <f t="shared" si="37"/>
        <v>0</v>
      </c>
      <c r="O485" s="25">
        <f t="shared" si="38"/>
        <v>0</v>
      </c>
      <c r="P485" s="25">
        <f t="shared" si="39"/>
        <v>0</v>
      </c>
      <c r="Q485" s="22"/>
      <c r="R485" s="22"/>
      <c r="S485" s="22"/>
      <c r="T485" s="22"/>
      <c r="U485" s="26">
        <f t="shared" si="40"/>
        <v>0</v>
      </c>
      <c r="V485" s="27"/>
      <c r="W485" s="28"/>
      <c r="X485" s="25" t="str">
        <f>+IF(AND('GRADING PACKING'!L$5=INWARDDATA!J485,'GRADING PACKING'!L$6=INWARDDATA!I485,AB485=0),"TRUE","FALSE")</f>
        <v>FALSE</v>
      </c>
      <c r="Y485" s="29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1"/>
      <c r="AK485" s="31"/>
      <c r="AL485" s="31"/>
      <c r="AM485" s="31"/>
      <c r="AN485" s="32" t="str">
        <f>+IF(AND('GRADING PACKING'!L$5=INWARDDATA!J485,'GRADING PACKING'!L$6=INWARDDATA!I485,AR485=0),"good","bad")</f>
        <v>bad</v>
      </c>
      <c r="AO485" s="33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86"/>
      <c r="BC485" s="86"/>
      <c r="BD485" s="97">
        <f>Table_15[[#This Row],[Wgt-Bag]]-Table_15[[#This Row],[Total Graded]]-Table_15[[#This Row],[UNDERSIZE]]+0.0011</f>
        <v>1.1000000000000001E-3</v>
      </c>
      <c r="BE485" s="86">
        <f>Table_15[[#This Row],[Total Graded]]-Table_15[[#This Row],[Packing Quantity]]+Table_15[[#This Row],[PACKING LOOSE]]</f>
        <v>0</v>
      </c>
      <c r="BF485" s="34">
        <f>IF(Table_15[[#This Row],[GRADED BAGS]]&gt;0,Table_15[[#This Row],[GRADED BAGS]],Table_15[[#This Row],[Bags]])</f>
        <v>0</v>
      </c>
    </row>
    <row r="486" spans="1:58" ht="15.75" hidden="1" customHeight="1" x14ac:dyDescent="0.35">
      <c r="A486" s="22">
        <v>484</v>
      </c>
      <c r="B486" s="22"/>
      <c r="C486" s="23"/>
      <c r="D486" s="23"/>
      <c r="E486" s="24"/>
      <c r="F486" s="23"/>
      <c r="G486" s="100"/>
      <c r="H486" s="101"/>
      <c r="I486" s="102"/>
      <c r="J486" s="102"/>
      <c r="K486" s="233"/>
      <c r="L486" s="22"/>
      <c r="M486" s="25">
        <f t="shared" si="36"/>
        <v>0</v>
      </c>
      <c r="N486" s="25">
        <f t="shared" si="37"/>
        <v>0</v>
      </c>
      <c r="O486" s="25">
        <f t="shared" si="38"/>
        <v>0</v>
      </c>
      <c r="P486" s="25">
        <f t="shared" si="39"/>
        <v>0</v>
      </c>
      <c r="Q486" s="22"/>
      <c r="R486" s="22"/>
      <c r="S486" s="22"/>
      <c r="T486" s="22"/>
      <c r="U486" s="26">
        <f t="shared" si="40"/>
        <v>0</v>
      </c>
      <c r="V486" s="27"/>
      <c r="W486" s="28"/>
      <c r="X486" s="25" t="str">
        <f>+IF(AND('GRADING PACKING'!L$5=INWARDDATA!J486,'GRADING PACKING'!L$6=INWARDDATA!I486,AB486=0),"TRUE","FALSE")</f>
        <v>FALSE</v>
      </c>
      <c r="Y486" s="29"/>
      <c r="Z486" s="30"/>
      <c r="AA486" s="30"/>
      <c r="AB486" s="30"/>
      <c r="AC486" s="30"/>
      <c r="AD486" s="30"/>
      <c r="AE486" s="30"/>
      <c r="AF486" s="30"/>
      <c r="AG486" s="30"/>
      <c r="AH486" s="30"/>
      <c r="AI486" s="30"/>
      <c r="AJ486" s="31"/>
      <c r="AK486" s="31"/>
      <c r="AL486" s="31"/>
      <c r="AM486" s="31"/>
      <c r="AN486" s="32" t="str">
        <f>+IF(AND('GRADING PACKING'!L$5=INWARDDATA!J486,'GRADING PACKING'!L$6=INWARDDATA!I486,AR486=0),"good","bad")</f>
        <v>bad</v>
      </c>
      <c r="AO486" s="33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86"/>
      <c r="BC486" s="86"/>
      <c r="BD486" s="97">
        <f>Table_15[[#This Row],[Wgt-Bag]]-Table_15[[#This Row],[Total Graded]]-Table_15[[#This Row],[UNDERSIZE]]+0.0011</f>
        <v>1.1000000000000001E-3</v>
      </c>
      <c r="BE486" s="86">
        <f>Table_15[[#This Row],[Total Graded]]-Table_15[[#This Row],[Packing Quantity]]+Table_15[[#This Row],[PACKING LOOSE]]</f>
        <v>0</v>
      </c>
      <c r="BF486" s="34">
        <f>IF(Table_15[[#This Row],[GRADED BAGS]]&gt;0,Table_15[[#This Row],[GRADED BAGS]],Table_15[[#This Row],[Bags]])</f>
        <v>0</v>
      </c>
    </row>
    <row r="487" spans="1:58" ht="15.75" hidden="1" customHeight="1" x14ac:dyDescent="0.35">
      <c r="A487" s="22">
        <v>485</v>
      </c>
      <c r="B487" s="22"/>
      <c r="C487" s="23"/>
      <c r="D487" s="23"/>
      <c r="E487" s="24"/>
      <c r="F487" s="23"/>
      <c r="G487" s="100"/>
      <c r="H487" s="101"/>
      <c r="I487" s="102"/>
      <c r="J487" s="102"/>
      <c r="K487" s="233"/>
      <c r="L487" s="22"/>
      <c r="M487" s="25">
        <f t="shared" si="36"/>
        <v>0</v>
      </c>
      <c r="N487" s="25">
        <f t="shared" si="37"/>
        <v>0</v>
      </c>
      <c r="O487" s="25">
        <f t="shared" si="38"/>
        <v>0</v>
      </c>
      <c r="P487" s="25">
        <f t="shared" si="39"/>
        <v>0</v>
      </c>
      <c r="Q487" s="22"/>
      <c r="R487" s="22"/>
      <c r="S487" s="22"/>
      <c r="T487" s="22"/>
      <c r="U487" s="26">
        <f t="shared" si="40"/>
        <v>0</v>
      </c>
      <c r="V487" s="27"/>
      <c r="W487" s="28"/>
      <c r="X487" s="25" t="str">
        <f>+IF(AND('GRADING PACKING'!L$5=INWARDDATA!J487,'GRADING PACKING'!L$6=INWARDDATA!I487,AB487=0),"TRUE","FALSE")</f>
        <v>FALSE</v>
      </c>
      <c r="Y487" s="29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1"/>
      <c r="AK487" s="31"/>
      <c r="AL487" s="31"/>
      <c r="AM487" s="31"/>
      <c r="AN487" s="32" t="str">
        <f>+IF(AND('GRADING PACKING'!L$5=INWARDDATA!J487,'GRADING PACKING'!L$6=INWARDDATA!I487,AR487=0),"good","bad")</f>
        <v>bad</v>
      </c>
      <c r="AO487" s="33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86"/>
      <c r="BC487" s="86"/>
      <c r="BD487" s="97">
        <f>Table_15[[#This Row],[Wgt-Bag]]-Table_15[[#This Row],[Total Graded]]-Table_15[[#This Row],[UNDERSIZE]]+0.0011</f>
        <v>1.1000000000000001E-3</v>
      </c>
      <c r="BE487" s="86">
        <f>Table_15[[#This Row],[Total Graded]]-Table_15[[#This Row],[Packing Quantity]]+Table_15[[#This Row],[PACKING LOOSE]]</f>
        <v>0</v>
      </c>
      <c r="BF487" s="34">
        <f>IF(Table_15[[#This Row],[GRADED BAGS]]&gt;0,Table_15[[#This Row],[GRADED BAGS]],Table_15[[#This Row],[Bags]])</f>
        <v>0</v>
      </c>
    </row>
    <row r="488" spans="1:58" ht="15.75" hidden="1" customHeight="1" x14ac:dyDescent="0.35">
      <c r="A488" s="22"/>
      <c r="B488" s="22"/>
      <c r="C488" s="23"/>
      <c r="D488" s="23"/>
      <c r="E488" s="24"/>
      <c r="F488" s="23"/>
      <c r="G488" s="100"/>
      <c r="H488" s="101"/>
      <c r="I488" s="102"/>
      <c r="J488" s="102"/>
      <c r="K488" s="233"/>
      <c r="L488" s="22"/>
      <c r="M488" s="25">
        <f t="shared" si="36"/>
        <v>0</v>
      </c>
      <c r="N488" s="25">
        <f t="shared" si="37"/>
        <v>0</v>
      </c>
      <c r="O488" s="25">
        <f t="shared" si="38"/>
        <v>0</v>
      </c>
      <c r="P488" s="25">
        <f t="shared" si="39"/>
        <v>0</v>
      </c>
      <c r="Q488" s="22"/>
      <c r="R488" s="22"/>
      <c r="S488" s="22"/>
      <c r="T488" s="22"/>
      <c r="U488" s="26">
        <f t="shared" si="40"/>
        <v>0</v>
      </c>
      <c r="V488" s="27"/>
      <c r="W488" s="28"/>
      <c r="X488" s="25" t="str">
        <f>+IF(AND('GRADING PACKING'!L$5=INWARDDATA!J488,'GRADING PACKING'!L$6=INWARDDATA!I488,AB488=0),"TRUE","FALSE")</f>
        <v>FALSE</v>
      </c>
      <c r="Y488" s="29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1"/>
      <c r="AK488" s="31"/>
      <c r="AL488" s="31"/>
      <c r="AM488" s="31"/>
      <c r="AN488" s="32" t="str">
        <f>+IF(AND('GRADING PACKING'!L$5=INWARDDATA!J488,'GRADING PACKING'!L$6=INWARDDATA!I488,AR488=0),"good","bad")</f>
        <v>bad</v>
      </c>
      <c r="AO488" s="33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86"/>
      <c r="BC488" s="86"/>
      <c r="BD488" s="97">
        <f>Table_15[[#This Row],[Wgt-Bag]]-Table_15[[#This Row],[Total Graded]]-Table_15[[#This Row],[UNDERSIZE]]+0.0011</f>
        <v>1.1000000000000001E-3</v>
      </c>
      <c r="BE488" s="86">
        <f>Table_15[[#This Row],[Total Graded]]-Table_15[[#This Row],[Packing Quantity]]+Table_15[[#This Row],[PACKING LOOSE]]</f>
        <v>0</v>
      </c>
      <c r="BF488" s="34">
        <f>IF(Table_15[[#This Row],[GRADED BAGS]]&gt;0,Table_15[[#This Row],[GRADED BAGS]],Table_15[[#This Row],[Bags]])</f>
        <v>0</v>
      </c>
    </row>
    <row r="489" spans="1:58" ht="15.75" hidden="1" customHeight="1" x14ac:dyDescent="0.35">
      <c r="A489" s="22"/>
      <c r="B489" s="22"/>
      <c r="C489" s="23"/>
      <c r="D489" s="23"/>
      <c r="E489" s="24"/>
      <c r="F489" s="23"/>
      <c r="G489" s="100"/>
      <c r="H489" s="101"/>
      <c r="I489" s="102"/>
      <c r="J489" s="102"/>
      <c r="K489" s="233"/>
      <c r="L489" s="22"/>
      <c r="M489" s="25">
        <f t="shared" si="36"/>
        <v>0</v>
      </c>
      <c r="N489" s="25">
        <f t="shared" si="37"/>
        <v>0</v>
      </c>
      <c r="O489" s="25">
        <f t="shared" si="38"/>
        <v>0</v>
      </c>
      <c r="P489" s="25">
        <f t="shared" si="39"/>
        <v>0</v>
      </c>
      <c r="Q489" s="22"/>
      <c r="R489" s="22"/>
      <c r="S489" s="22"/>
      <c r="T489" s="22"/>
      <c r="U489" s="26">
        <f t="shared" si="40"/>
        <v>0</v>
      </c>
      <c r="V489" s="27"/>
      <c r="W489" s="28"/>
      <c r="X489" s="25" t="str">
        <f>+IF(AND('GRADING PACKING'!L$5=INWARDDATA!J489,'GRADING PACKING'!L$6=INWARDDATA!I489,AB489=0),"TRUE","FALSE")</f>
        <v>FALSE</v>
      </c>
      <c r="Y489" s="29"/>
      <c r="Z489" s="30"/>
      <c r="AA489" s="30"/>
      <c r="AB489" s="30"/>
      <c r="AC489" s="30"/>
      <c r="AD489" s="30"/>
      <c r="AE489" s="30"/>
      <c r="AF489" s="30"/>
      <c r="AG489" s="30"/>
      <c r="AH489" s="30"/>
      <c r="AI489" s="30"/>
      <c r="AJ489" s="31"/>
      <c r="AK489" s="31"/>
      <c r="AL489" s="31"/>
      <c r="AM489" s="31"/>
      <c r="AN489" s="32" t="str">
        <f>+IF(AND('GRADING PACKING'!L$5=INWARDDATA!J489,'GRADING PACKING'!L$6=INWARDDATA!I489,AR489=0),"good","bad")</f>
        <v>bad</v>
      </c>
      <c r="AO489" s="33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86"/>
      <c r="BC489" s="86"/>
      <c r="BD489" s="97">
        <f>Table_15[[#This Row],[Wgt-Bag]]-Table_15[[#This Row],[Total Graded]]-Table_15[[#This Row],[UNDERSIZE]]+0.0011</f>
        <v>1.1000000000000001E-3</v>
      </c>
      <c r="BE489" s="86">
        <f>Table_15[[#This Row],[Total Graded]]-Table_15[[#This Row],[Packing Quantity]]+Table_15[[#This Row],[PACKING LOOSE]]</f>
        <v>0</v>
      </c>
      <c r="BF489" s="34">
        <f>IF(Table_15[[#This Row],[GRADED BAGS]]&gt;0,Table_15[[#This Row],[GRADED BAGS]],Table_15[[#This Row],[Bags]])</f>
        <v>0</v>
      </c>
    </row>
    <row r="490" spans="1:58" ht="15.75" hidden="1" customHeight="1" x14ac:dyDescent="0.35">
      <c r="A490" s="22"/>
      <c r="B490" s="22"/>
      <c r="C490" s="23"/>
      <c r="D490" s="23"/>
      <c r="E490" s="24"/>
      <c r="F490" s="23"/>
      <c r="G490" s="100"/>
      <c r="H490" s="101"/>
      <c r="I490" s="102"/>
      <c r="J490" s="102"/>
      <c r="K490" s="233"/>
      <c r="L490" s="22"/>
      <c r="M490" s="25">
        <f t="shared" si="36"/>
        <v>0</v>
      </c>
      <c r="N490" s="25">
        <f t="shared" si="37"/>
        <v>0</v>
      </c>
      <c r="O490" s="25">
        <f t="shared" si="38"/>
        <v>0</v>
      </c>
      <c r="P490" s="25">
        <f t="shared" si="39"/>
        <v>0</v>
      </c>
      <c r="Q490" s="22"/>
      <c r="R490" s="22"/>
      <c r="S490" s="22"/>
      <c r="T490" s="22"/>
      <c r="U490" s="26">
        <f t="shared" si="40"/>
        <v>0</v>
      </c>
      <c r="V490" s="27"/>
      <c r="W490" s="28"/>
      <c r="X490" s="25" t="str">
        <f>+IF(AND('GRADING PACKING'!L$5=INWARDDATA!J490,'GRADING PACKING'!L$6=INWARDDATA!I490,AB490=0),"TRUE","FALSE")</f>
        <v>FALSE</v>
      </c>
      <c r="Y490" s="29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1"/>
      <c r="AK490" s="31"/>
      <c r="AL490" s="31"/>
      <c r="AM490" s="31"/>
      <c r="AN490" s="32" t="str">
        <f>+IF(AND('GRADING PACKING'!L$5=INWARDDATA!J490,'GRADING PACKING'!L$6=INWARDDATA!I490,AR490=0),"good","bad")</f>
        <v>bad</v>
      </c>
      <c r="AO490" s="33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86"/>
      <c r="BC490" s="86"/>
      <c r="BD490" s="97">
        <f>Table_15[[#This Row],[Wgt-Bag]]-Table_15[[#This Row],[Total Graded]]-Table_15[[#This Row],[UNDERSIZE]]+0.0011</f>
        <v>1.1000000000000001E-3</v>
      </c>
      <c r="BE490" s="86">
        <f>Table_15[[#This Row],[Total Graded]]-Table_15[[#This Row],[Packing Quantity]]+Table_15[[#This Row],[PACKING LOOSE]]</f>
        <v>0</v>
      </c>
      <c r="BF490" s="34">
        <f>IF(Table_15[[#This Row],[GRADED BAGS]]&gt;0,Table_15[[#This Row],[GRADED BAGS]],Table_15[[#This Row],[Bags]])</f>
        <v>0</v>
      </c>
    </row>
    <row r="491" spans="1:58" ht="15.75" hidden="1" customHeight="1" x14ac:dyDescent="0.35">
      <c r="A491" s="22"/>
      <c r="B491" s="22"/>
      <c r="C491" s="23"/>
      <c r="D491" s="23"/>
      <c r="E491" s="24"/>
      <c r="F491" s="23"/>
      <c r="G491" s="100"/>
      <c r="H491" s="101"/>
      <c r="I491" s="102"/>
      <c r="J491" s="102"/>
      <c r="K491" s="233"/>
      <c r="L491" s="22"/>
      <c r="M491" s="25">
        <f t="shared" si="36"/>
        <v>0</v>
      </c>
      <c r="N491" s="25">
        <f t="shared" si="37"/>
        <v>0</v>
      </c>
      <c r="O491" s="25">
        <f t="shared" si="38"/>
        <v>0</v>
      </c>
      <c r="P491" s="25">
        <f t="shared" si="39"/>
        <v>0</v>
      </c>
      <c r="Q491" s="22"/>
      <c r="R491" s="22"/>
      <c r="S491" s="22"/>
      <c r="T491" s="22"/>
      <c r="U491" s="26">
        <f t="shared" si="40"/>
        <v>0</v>
      </c>
      <c r="V491" s="27"/>
      <c r="W491" s="28"/>
      <c r="X491" s="25" t="str">
        <f>+IF(AND('GRADING PACKING'!L$5=INWARDDATA!J491,'GRADING PACKING'!L$6=INWARDDATA!I491,AB491=0),"TRUE","FALSE")</f>
        <v>FALSE</v>
      </c>
      <c r="Y491" s="29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1"/>
      <c r="AK491" s="31"/>
      <c r="AL491" s="31"/>
      <c r="AM491" s="31"/>
      <c r="AN491" s="32" t="str">
        <f>+IF(AND('GRADING PACKING'!L$5=INWARDDATA!J491,'GRADING PACKING'!L$6=INWARDDATA!I491,AR491=0),"good","bad")</f>
        <v>bad</v>
      </c>
      <c r="AO491" s="33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86"/>
      <c r="BC491" s="86"/>
      <c r="BD491" s="97">
        <f>Table_15[[#This Row],[Wgt-Bag]]-Table_15[[#This Row],[Total Graded]]-Table_15[[#This Row],[UNDERSIZE]]+0.0011</f>
        <v>1.1000000000000001E-3</v>
      </c>
      <c r="BE491" s="86">
        <f>Table_15[[#This Row],[Total Graded]]-Table_15[[#This Row],[Packing Quantity]]+Table_15[[#This Row],[PACKING LOOSE]]</f>
        <v>0</v>
      </c>
      <c r="BF491" s="34">
        <f>IF(Table_15[[#This Row],[GRADED BAGS]]&gt;0,Table_15[[#This Row],[GRADED BAGS]],Table_15[[#This Row],[Bags]])</f>
        <v>0</v>
      </c>
    </row>
    <row r="492" spans="1:58" ht="15.75" hidden="1" customHeight="1" x14ac:dyDescent="0.35">
      <c r="A492" s="22"/>
      <c r="B492" s="22"/>
      <c r="C492" s="23"/>
      <c r="D492" s="23"/>
      <c r="E492" s="24"/>
      <c r="F492" s="23"/>
      <c r="G492" s="100"/>
      <c r="H492" s="101"/>
      <c r="I492" s="102"/>
      <c r="J492" s="102"/>
      <c r="K492" s="233"/>
      <c r="L492" s="22"/>
      <c r="M492" s="25">
        <f t="shared" si="36"/>
        <v>0</v>
      </c>
      <c r="N492" s="25">
        <f t="shared" si="37"/>
        <v>0</v>
      </c>
      <c r="O492" s="25">
        <f t="shared" si="38"/>
        <v>0</v>
      </c>
      <c r="P492" s="25">
        <f t="shared" si="39"/>
        <v>0</v>
      </c>
      <c r="Q492" s="22"/>
      <c r="R492" s="22"/>
      <c r="S492" s="22"/>
      <c r="T492" s="22"/>
      <c r="U492" s="26">
        <f t="shared" si="40"/>
        <v>0</v>
      </c>
      <c r="V492" s="27"/>
      <c r="W492" s="28"/>
      <c r="X492" s="25" t="str">
        <f>+IF(AND('GRADING PACKING'!L$5=INWARDDATA!J492,'GRADING PACKING'!L$6=INWARDDATA!I492,AB492=0),"TRUE","FALSE")</f>
        <v>FALSE</v>
      </c>
      <c r="Y492" s="29"/>
      <c r="Z492" s="30"/>
      <c r="AA492" s="30"/>
      <c r="AB492" s="30"/>
      <c r="AC492" s="30"/>
      <c r="AD492" s="30"/>
      <c r="AE492" s="30"/>
      <c r="AF492" s="30"/>
      <c r="AG492" s="30"/>
      <c r="AH492" s="30"/>
      <c r="AI492" s="30"/>
      <c r="AJ492" s="31"/>
      <c r="AK492" s="31"/>
      <c r="AL492" s="31"/>
      <c r="AM492" s="31"/>
      <c r="AN492" s="32" t="str">
        <f>+IF(AND('GRADING PACKING'!L$5=INWARDDATA!J492,'GRADING PACKING'!L$6=INWARDDATA!I492,AR492=0),"good","bad")</f>
        <v>bad</v>
      </c>
      <c r="AO492" s="33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86"/>
      <c r="BC492" s="86"/>
      <c r="BD492" s="97">
        <f>Table_15[[#This Row],[Wgt-Bag]]-Table_15[[#This Row],[Total Graded]]-Table_15[[#This Row],[UNDERSIZE]]+0.0011</f>
        <v>1.1000000000000001E-3</v>
      </c>
      <c r="BE492" s="86">
        <f>Table_15[[#This Row],[Total Graded]]-Table_15[[#This Row],[Packing Quantity]]+Table_15[[#This Row],[PACKING LOOSE]]</f>
        <v>0</v>
      </c>
      <c r="BF492" s="34">
        <f>IF(Table_15[[#This Row],[GRADED BAGS]]&gt;0,Table_15[[#This Row],[GRADED BAGS]],Table_15[[#This Row],[Bags]])</f>
        <v>0</v>
      </c>
    </row>
    <row r="493" spans="1:58" ht="15.75" hidden="1" customHeight="1" x14ac:dyDescent="0.35">
      <c r="A493" s="22"/>
      <c r="B493" s="22"/>
      <c r="C493" s="23"/>
      <c r="D493" s="23"/>
      <c r="E493" s="24"/>
      <c r="F493" s="23"/>
      <c r="G493" s="100"/>
      <c r="H493" s="101"/>
      <c r="I493" s="102"/>
      <c r="J493" s="102"/>
      <c r="K493" s="233"/>
      <c r="L493" s="22"/>
      <c r="M493" s="25">
        <f t="shared" si="36"/>
        <v>0</v>
      </c>
      <c r="N493" s="25">
        <f t="shared" si="37"/>
        <v>0</v>
      </c>
      <c r="O493" s="25">
        <f t="shared" si="38"/>
        <v>0</v>
      </c>
      <c r="P493" s="25">
        <f t="shared" si="39"/>
        <v>0</v>
      </c>
      <c r="Q493" s="22"/>
      <c r="R493" s="22"/>
      <c r="S493" s="22"/>
      <c r="T493" s="22"/>
      <c r="U493" s="26">
        <f t="shared" si="40"/>
        <v>0</v>
      </c>
      <c r="V493" s="27"/>
      <c r="W493" s="28"/>
      <c r="X493" s="25" t="str">
        <f>+IF(AND('GRADING PACKING'!L$5=INWARDDATA!J493,'GRADING PACKING'!L$6=INWARDDATA!I493,AB493=0),"TRUE","FALSE")</f>
        <v>FALSE</v>
      </c>
      <c r="Y493" s="29"/>
      <c r="Z493" s="30"/>
      <c r="AA493" s="30"/>
      <c r="AB493" s="30"/>
      <c r="AC493" s="30"/>
      <c r="AD493" s="30"/>
      <c r="AE493" s="30"/>
      <c r="AF493" s="30"/>
      <c r="AG493" s="30"/>
      <c r="AH493" s="30"/>
      <c r="AI493" s="30"/>
      <c r="AJ493" s="31"/>
      <c r="AK493" s="31"/>
      <c r="AL493" s="31"/>
      <c r="AM493" s="31"/>
      <c r="AN493" s="32" t="str">
        <f>+IF(AND('GRADING PACKING'!L$5=INWARDDATA!J493,'GRADING PACKING'!L$6=INWARDDATA!I493,AR493=0),"good","bad")</f>
        <v>bad</v>
      </c>
      <c r="AO493" s="33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86"/>
      <c r="BC493" s="86"/>
      <c r="BD493" s="97">
        <f>Table_15[[#This Row],[Wgt-Bag]]-Table_15[[#This Row],[Total Graded]]-Table_15[[#This Row],[UNDERSIZE]]+0.0011</f>
        <v>1.1000000000000001E-3</v>
      </c>
      <c r="BE493" s="86">
        <f>Table_15[[#This Row],[Total Graded]]-Table_15[[#This Row],[Packing Quantity]]+Table_15[[#This Row],[PACKING LOOSE]]</f>
        <v>0</v>
      </c>
      <c r="BF493" s="34">
        <f>IF(Table_15[[#This Row],[GRADED BAGS]]&gt;0,Table_15[[#This Row],[GRADED BAGS]],Table_15[[#This Row],[Bags]])</f>
        <v>0</v>
      </c>
    </row>
    <row r="494" spans="1:58" ht="15.75" hidden="1" customHeight="1" x14ac:dyDescent="0.35">
      <c r="A494" s="22"/>
      <c r="B494" s="22"/>
      <c r="C494" s="23"/>
      <c r="D494" s="23"/>
      <c r="E494" s="24"/>
      <c r="F494" s="23"/>
      <c r="G494" s="100"/>
      <c r="H494" s="101"/>
      <c r="I494" s="102"/>
      <c r="J494" s="102"/>
      <c r="K494" s="233"/>
      <c r="L494" s="22"/>
      <c r="M494" s="25">
        <f t="shared" si="36"/>
        <v>0</v>
      </c>
      <c r="N494" s="25">
        <f t="shared" si="37"/>
        <v>0</v>
      </c>
      <c r="O494" s="25">
        <f t="shared" si="38"/>
        <v>0</v>
      </c>
      <c r="P494" s="25">
        <f t="shared" si="39"/>
        <v>0</v>
      </c>
      <c r="Q494" s="22"/>
      <c r="R494" s="22"/>
      <c r="S494" s="22"/>
      <c r="T494" s="22"/>
      <c r="U494" s="26">
        <f t="shared" si="40"/>
        <v>0</v>
      </c>
      <c r="V494" s="27"/>
      <c r="W494" s="28"/>
      <c r="X494" s="25" t="str">
        <f>+IF(AND('GRADING PACKING'!L$5=INWARDDATA!J494,'GRADING PACKING'!L$6=INWARDDATA!I494,AB494=0),"TRUE","FALSE")</f>
        <v>FALSE</v>
      </c>
      <c r="Y494" s="29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1"/>
      <c r="AK494" s="31"/>
      <c r="AL494" s="31"/>
      <c r="AM494" s="31"/>
      <c r="AN494" s="32" t="str">
        <f>+IF(AND('GRADING PACKING'!L$5=INWARDDATA!J494,'GRADING PACKING'!L$6=INWARDDATA!I494,AR494=0),"good","bad")</f>
        <v>bad</v>
      </c>
      <c r="AO494" s="33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86"/>
      <c r="BC494" s="86"/>
      <c r="BD494" s="97">
        <f>Table_15[[#This Row],[Wgt-Bag]]-Table_15[[#This Row],[Total Graded]]-Table_15[[#This Row],[UNDERSIZE]]+0.0011</f>
        <v>1.1000000000000001E-3</v>
      </c>
      <c r="BE494" s="86">
        <f>Table_15[[#This Row],[Total Graded]]-Table_15[[#This Row],[Packing Quantity]]+Table_15[[#This Row],[PACKING LOOSE]]</f>
        <v>0</v>
      </c>
      <c r="BF494" s="34">
        <f>IF(Table_15[[#This Row],[GRADED BAGS]]&gt;0,Table_15[[#This Row],[GRADED BAGS]],Table_15[[#This Row],[Bags]])</f>
        <v>0</v>
      </c>
    </row>
    <row r="495" spans="1:58" ht="15.75" hidden="1" customHeight="1" x14ac:dyDescent="0.35">
      <c r="A495" s="22"/>
      <c r="B495" s="22"/>
      <c r="C495" s="23"/>
      <c r="D495" s="23"/>
      <c r="E495" s="24"/>
      <c r="F495" s="23"/>
      <c r="G495" s="100"/>
      <c r="H495" s="101"/>
      <c r="I495" s="102"/>
      <c r="J495" s="102"/>
      <c r="K495" s="233"/>
      <c r="L495" s="22"/>
      <c r="M495" s="25">
        <f t="shared" si="36"/>
        <v>0</v>
      </c>
      <c r="N495" s="25">
        <f t="shared" si="37"/>
        <v>0</v>
      </c>
      <c r="O495" s="25">
        <f t="shared" si="38"/>
        <v>0</v>
      </c>
      <c r="P495" s="25">
        <f t="shared" si="39"/>
        <v>0</v>
      </c>
      <c r="Q495" s="22"/>
      <c r="R495" s="22"/>
      <c r="S495" s="22"/>
      <c r="T495" s="22"/>
      <c r="U495" s="26">
        <f t="shared" si="40"/>
        <v>0</v>
      </c>
      <c r="V495" s="27"/>
      <c r="W495" s="28"/>
      <c r="X495" s="25" t="str">
        <f>+IF(AND('GRADING PACKING'!L$5=INWARDDATA!J495,'GRADING PACKING'!L$6=INWARDDATA!I495,AB495=0),"TRUE","FALSE")</f>
        <v>FALSE</v>
      </c>
      <c r="Y495" s="29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1"/>
      <c r="AK495" s="31"/>
      <c r="AL495" s="31"/>
      <c r="AM495" s="31"/>
      <c r="AN495" s="32" t="str">
        <f>+IF(AND('GRADING PACKING'!L$5=INWARDDATA!J495,'GRADING PACKING'!L$6=INWARDDATA!I495,AR495=0),"good","bad")</f>
        <v>bad</v>
      </c>
      <c r="AO495" s="33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86"/>
      <c r="BC495" s="86"/>
      <c r="BD495" s="97">
        <f>Table_15[[#This Row],[Wgt-Bag]]-Table_15[[#This Row],[Total Graded]]-Table_15[[#This Row],[UNDERSIZE]]+0.0011</f>
        <v>1.1000000000000001E-3</v>
      </c>
      <c r="BE495" s="86">
        <f>Table_15[[#This Row],[Total Graded]]-Table_15[[#This Row],[Packing Quantity]]+Table_15[[#This Row],[PACKING LOOSE]]</f>
        <v>0</v>
      </c>
      <c r="BF495" s="34">
        <f>IF(Table_15[[#This Row],[GRADED BAGS]]&gt;0,Table_15[[#This Row],[GRADED BAGS]],Table_15[[#This Row],[Bags]])</f>
        <v>0</v>
      </c>
    </row>
    <row r="496" spans="1:58" ht="15.75" hidden="1" customHeight="1" x14ac:dyDescent="0.35">
      <c r="A496" s="22"/>
      <c r="B496" s="22"/>
      <c r="C496" s="23"/>
      <c r="D496" s="23"/>
      <c r="E496" s="24"/>
      <c r="F496" s="23"/>
      <c r="G496" s="100"/>
      <c r="H496" s="101"/>
      <c r="I496" s="102"/>
      <c r="J496" s="102"/>
      <c r="K496" s="233"/>
      <c r="L496" s="22"/>
      <c r="M496" s="25">
        <f t="shared" si="36"/>
        <v>0</v>
      </c>
      <c r="N496" s="25">
        <f t="shared" si="37"/>
        <v>0</v>
      </c>
      <c r="O496" s="25">
        <f t="shared" si="38"/>
        <v>0</v>
      </c>
      <c r="P496" s="25">
        <f t="shared" si="39"/>
        <v>0</v>
      </c>
      <c r="Q496" s="22"/>
      <c r="R496" s="22"/>
      <c r="S496" s="22"/>
      <c r="T496" s="22"/>
      <c r="U496" s="26">
        <f t="shared" si="40"/>
        <v>0</v>
      </c>
      <c r="V496" s="27"/>
      <c r="W496" s="28"/>
      <c r="X496" s="25" t="str">
        <f>+IF(AND('GRADING PACKING'!L$5=INWARDDATA!J496,'GRADING PACKING'!L$6=INWARDDATA!I496,AB496=0),"TRUE","FALSE")</f>
        <v>FALSE</v>
      </c>
      <c r="Y496" s="29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1"/>
      <c r="AK496" s="31"/>
      <c r="AL496" s="31"/>
      <c r="AM496" s="31"/>
      <c r="AN496" s="32" t="str">
        <f>+IF(AND('GRADING PACKING'!L$5=INWARDDATA!J496,'GRADING PACKING'!L$6=INWARDDATA!I496,AR496=0),"good","bad")</f>
        <v>bad</v>
      </c>
      <c r="AO496" s="33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86"/>
      <c r="BC496" s="86"/>
      <c r="BD496" s="97">
        <f>Table_15[[#This Row],[Wgt-Bag]]-Table_15[[#This Row],[Total Graded]]-Table_15[[#This Row],[UNDERSIZE]]+0.0011</f>
        <v>1.1000000000000001E-3</v>
      </c>
      <c r="BE496" s="86">
        <f>Table_15[[#This Row],[Total Graded]]-Table_15[[#This Row],[Packing Quantity]]+Table_15[[#This Row],[PACKING LOOSE]]</f>
        <v>0</v>
      </c>
      <c r="BF496" s="34">
        <f>IF(Table_15[[#This Row],[GRADED BAGS]]&gt;0,Table_15[[#This Row],[GRADED BAGS]],Table_15[[#This Row],[Bags]])</f>
        <v>0</v>
      </c>
    </row>
    <row r="497" spans="1:58" ht="15.75" hidden="1" customHeight="1" x14ac:dyDescent="0.35">
      <c r="A497" s="22"/>
      <c r="B497" s="22"/>
      <c r="C497" s="23"/>
      <c r="D497" s="23"/>
      <c r="E497" s="24"/>
      <c r="F497" s="23"/>
      <c r="G497" s="100"/>
      <c r="H497" s="101"/>
      <c r="I497" s="102"/>
      <c r="J497" s="102"/>
      <c r="K497" s="233"/>
      <c r="L497" s="22"/>
      <c r="M497" s="25">
        <f t="shared" si="36"/>
        <v>0</v>
      </c>
      <c r="N497" s="25">
        <f t="shared" si="37"/>
        <v>0</v>
      </c>
      <c r="O497" s="25">
        <f t="shared" si="38"/>
        <v>0</v>
      </c>
      <c r="P497" s="25">
        <f t="shared" si="39"/>
        <v>0</v>
      </c>
      <c r="Q497" s="22"/>
      <c r="R497" s="22"/>
      <c r="S497" s="22"/>
      <c r="T497" s="22"/>
      <c r="U497" s="26">
        <f t="shared" si="40"/>
        <v>0</v>
      </c>
      <c r="V497" s="27"/>
      <c r="W497" s="28"/>
      <c r="X497" s="25" t="str">
        <f>+IF(AND('GRADING PACKING'!L$5=INWARDDATA!J497,'GRADING PACKING'!L$6=INWARDDATA!I497,AB497=0),"TRUE","FALSE")</f>
        <v>FALSE</v>
      </c>
      <c r="Y497" s="29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1"/>
      <c r="AK497" s="31"/>
      <c r="AL497" s="31"/>
      <c r="AM497" s="31"/>
      <c r="AN497" s="32" t="str">
        <f>+IF(AND('GRADING PACKING'!L$5=INWARDDATA!J497,'GRADING PACKING'!L$6=INWARDDATA!I497,AR497=0),"good","bad")</f>
        <v>bad</v>
      </c>
      <c r="AO497" s="33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86"/>
      <c r="BC497" s="86"/>
      <c r="BD497" s="97">
        <f>Table_15[[#This Row],[Wgt-Bag]]-Table_15[[#This Row],[Total Graded]]-Table_15[[#This Row],[UNDERSIZE]]+0.0011</f>
        <v>1.1000000000000001E-3</v>
      </c>
      <c r="BE497" s="86">
        <f>Table_15[[#This Row],[Total Graded]]-Table_15[[#This Row],[Packing Quantity]]+Table_15[[#This Row],[PACKING LOOSE]]</f>
        <v>0</v>
      </c>
      <c r="BF497" s="34">
        <f>IF(Table_15[[#This Row],[GRADED BAGS]]&gt;0,Table_15[[#This Row],[GRADED BAGS]],Table_15[[#This Row],[Bags]])</f>
        <v>0</v>
      </c>
    </row>
    <row r="498" spans="1:58" ht="15.75" hidden="1" customHeight="1" x14ac:dyDescent="0.35">
      <c r="A498" s="22"/>
      <c r="B498" s="22"/>
      <c r="C498" s="23"/>
      <c r="D498" s="23"/>
      <c r="E498" s="24"/>
      <c r="F498" s="23"/>
      <c r="G498" s="100"/>
      <c r="H498" s="101"/>
      <c r="I498" s="102"/>
      <c r="J498" s="102"/>
      <c r="K498" s="233"/>
      <c r="L498" s="22"/>
      <c r="M498" s="25">
        <f t="shared" si="36"/>
        <v>0</v>
      </c>
      <c r="N498" s="25">
        <f t="shared" si="37"/>
        <v>0</v>
      </c>
      <c r="O498" s="25">
        <f t="shared" si="38"/>
        <v>0</v>
      </c>
      <c r="P498" s="25">
        <f t="shared" si="39"/>
        <v>0</v>
      </c>
      <c r="Q498" s="22"/>
      <c r="R498" s="22"/>
      <c r="S498" s="22"/>
      <c r="T498" s="22"/>
      <c r="U498" s="26">
        <f t="shared" si="40"/>
        <v>0</v>
      </c>
      <c r="V498" s="27"/>
      <c r="W498" s="28"/>
      <c r="X498" s="25" t="str">
        <f>+IF(AND('GRADING PACKING'!L$5=INWARDDATA!J498,'GRADING PACKING'!L$6=INWARDDATA!I498,AB498=0),"TRUE","FALSE")</f>
        <v>FALSE</v>
      </c>
      <c r="Y498" s="29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1"/>
      <c r="AK498" s="31"/>
      <c r="AL498" s="31"/>
      <c r="AM498" s="31"/>
      <c r="AN498" s="32" t="str">
        <f>+IF(AND('GRADING PACKING'!L$5=INWARDDATA!J498,'GRADING PACKING'!L$6=INWARDDATA!I498,AR498=0),"good","bad")</f>
        <v>bad</v>
      </c>
      <c r="AO498" s="33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86"/>
      <c r="BC498" s="86"/>
      <c r="BD498" s="97">
        <f>Table_15[[#This Row],[Wgt-Bag]]-Table_15[[#This Row],[Total Graded]]-Table_15[[#This Row],[UNDERSIZE]]+0.0011</f>
        <v>1.1000000000000001E-3</v>
      </c>
      <c r="BE498" s="86">
        <f>Table_15[[#This Row],[Total Graded]]-Table_15[[#This Row],[Packing Quantity]]+Table_15[[#This Row],[PACKING LOOSE]]</f>
        <v>0</v>
      </c>
      <c r="BF498" s="34">
        <f>IF(Table_15[[#This Row],[GRADED BAGS]]&gt;0,Table_15[[#This Row],[GRADED BAGS]],Table_15[[#This Row],[Bags]])</f>
        <v>0</v>
      </c>
    </row>
    <row r="499" spans="1:58" ht="15.75" hidden="1" customHeight="1" x14ac:dyDescent="0.35">
      <c r="A499" s="22"/>
      <c r="B499" s="22"/>
      <c r="C499" s="23"/>
      <c r="D499" s="23"/>
      <c r="E499" s="24"/>
      <c r="F499" s="23"/>
      <c r="G499" s="100"/>
      <c r="H499" s="101"/>
      <c r="I499" s="102"/>
      <c r="J499" s="102"/>
      <c r="K499" s="233"/>
      <c r="L499" s="22"/>
      <c r="M499" s="25">
        <f t="shared" si="36"/>
        <v>0</v>
      </c>
      <c r="N499" s="25">
        <f t="shared" si="37"/>
        <v>0</v>
      </c>
      <c r="O499" s="25">
        <f t="shared" si="38"/>
        <v>0</v>
      </c>
      <c r="P499" s="25">
        <f t="shared" si="39"/>
        <v>0</v>
      </c>
      <c r="Q499" s="22"/>
      <c r="R499" s="22"/>
      <c r="S499" s="22"/>
      <c r="T499" s="22"/>
      <c r="U499" s="26">
        <f t="shared" si="40"/>
        <v>0</v>
      </c>
      <c r="V499" s="27"/>
      <c r="W499" s="28"/>
      <c r="X499" s="25" t="str">
        <f>+IF(AND('GRADING PACKING'!L$5=INWARDDATA!J499,'GRADING PACKING'!L$6=INWARDDATA!I499,AB499=0),"TRUE","FALSE")</f>
        <v>FALSE</v>
      </c>
      <c r="Y499" s="29"/>
      <c r="Z499" s="30"/>
      <c r="AA499" s="30"/>
      <c r="AB499" s="30"/>
      <c r="AC499" s="30"/>
      <c r="AD499" s="30"/>
      <c r="AE499" s="30"/>
      <c r="AF499" s="30"/>
      <c r="AG499" s="30"/>
      <c r="AH499" s="30"/>
      <c r="AI499" s="30"/>
      <c r="AJ499" s="31"/>
      <c r="AK499" s="31"/>
      <c r="AL499" s="31"/>
      <c r="AM499" s="31"/>
      <c r="AN499" s="32" t="str">
        <f>+IF(AND('GRADING PACKING'!L$5=INWARDDATA!J499,'GRADING PACKING'!L$6=INWARDDATA!I499,AR499=0),"good","bad")</f>
        <v>bad</v>
      </c>
      <c r="AO499" s="33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86"/>
      <c r="BC499" s="86"/>
      <c r="BD499" s="97">
        <f>Table_15[[#This Row],[Wgt-Bag]]-Table_15[[#This Row],[Total Graded]]-Table_15[[#This Row],[UNDERSIZE]]+0.0011</f>
        <v>1.1000000000000001E-3</v>
      </c>
      <c r="BE499" s="86">
        <f>Table_15[[#This Row],[Total Graded]]-Table_15[[#This Row],[Packing Quantity]]+Table_15[[#This Row],[PACKING LOOSE]]</f>
        <v>0</v>
      </c>
      <c r="BF499" s="34">
        <f>IF(Table_15[[#This Row],[GRADED BAGS]]&gt;0,Table_15[[#This Row],[GRADED BAGS]],Table_15[[#This Row],[Bags]])</f>
        <v>0</v>
      </c>
    </row>
    <row r="500" spans="1:58" ht="15.75" hidden="1" customHeight="1" x14ac:dyDescent="0.35">
      <c r="A500" s="22"/>
      <c r="B500" s="22"/>
      <c r="C500" s="23"/>
      <c r="D500" s="23"/>
      <c r="E500" s="24"/>
      <c r="F500" s="23"/>
      <c r="G500" s="100"/>
      <c r="H500" s="101"/>
      <c r="I500" s="102"/>
      <c r="J500" s="102"/>
      <c r="K500" s="233"/>
      <c r="L500" s="22"/>
      <c r="M500" s="25">
        <f t="shared" si="36"/>
        <v>0</v>
      </c>
      <c r="N500" s="25">
        <f t="shared" si="37"/>
        <v>0</v>
      </c>
      <c r="O500" s="25">
        <f t="shared" si="38"/>
        <v>0</v>
      </c>
      <c r="P500" s="25">
        <f t="shared" si="39"/>
        <v>0</v>
      </c>
      <c r="Q500" s="22"/>
      <c r="R500" s="22"/>
      <c r="S500" s="22"/>
      <c r="T500" s="22"/>
      <c r="U500" s="26">
        <f t="shared" si="40"/>
        <v>0</v>
      </c>
      <c r="V500" s="27"/>
      <c r="W500" s="28"/>
      <c r="X500" s="25" t="str">
        <f>+IF(AND('GRADING PACKING'!L$5=INWARDDATA!J500,'GRADING PACKING'!L$6=INWARDDATA!I500,AB500=0),"TRUE","FALSE")</f>
        <v>FALSE</v>
      </c>
      <c r="Y500" s="29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1"/>
      <c r="AK500" s="31"/>
      <c r="AL500" s="31"/>
      <c r="AM500" s="31"/>
      <c r="AN500" s="32" t="str">
        <f>+IF(AND('GRADING PACKING'!L$5=INWARDDATA!J500,'GRADING PACKING'!L$6=INWARDDATA!I500,AR500=0),"good","bad")</f>
        <v>bad</v>
      </c>
      <c r="AO500" s="33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86"/>
      <c r="BC500" s="86"/>
      <c r="BD500" s="97">
        <f>Table_15[[#This Row],[Wgt-Bag]]-Table_15[[#This Row],[Total Graded]]-Table_15[[#This Row],[UNDERSIZE]]+0.0011</f>
        <v>1.1000000000000001E-3</v>
      </c>
      <c r="BE500" s="86">
        <f>Table_15[[#This Row],[Total Graded]]-Table_15[[#This Row],[Packing Quantity]]+Table_15[[#This Row],[PACKING LOOSE]]</f>
        <v>0</v>
      </c>
      <c r="BF500" s="34">
        <f>IF(Table_15[[#This Row],[GRADED BAGS]]&gt;0,Table_15[[#This Row],[GRADED BAGS]],Table_15[[#This Row],[Bags]])</f>
        <v>0</v>
      </c>
    </row>
    <row r="501" spans="1:58" ht="15.75" hidden="1" customHeight="1" x14ac:dyDescent="0.35">
      <c r="A501" s="22"/>
      <c r="B501" s="22"/>
      <c r="C501" s="23"/>
      <c r="D501" s="23"/>
      <c r="E501" s="24"/>
      <c r="F501" s="23"/>
      <c r="G501" s="100"/>
      <c r="H501" s="101"/>
      <c r="I501" s="102"/>
      <c r="J501" s="102"/>
      <c r="K501" s="233"/>
      <c r="L501" s="22"/>
      <c r="M501" s="25">
        <f t="shared" si="36"/>
        <v>0</v>
      </c>
      <c r="N501" s="25">
        <f t="shared" si="37"/>
        <v>0</v>
      </c>
      <c r="O501" s="25">
        <f t="shared" si="38"/>
        <v>0</v>
      </c>
      <c r="P501" s="25">
        <f t="shared" si="39"/>
        <v>0</v>
      </c>
      <c r="Q501" s="22"/>
      <c r="R501" s="22"/>
      <c r="S501" s="22"/>
      <c r="T501" s="22"/>
      <c r="U501" s="26">
        <f t="shared" si="40"/>
        <v>0</v>
      </c>
      <c r="V501" s="27"/>
      <c r="W501" s="28"/>
      <c r="X501" s="25" t="str">
        <f>+IF(AND('GRADING PACKING'!L$5=INWARDDATA!J501,'GRADING PACKING'!L$6=INWARDDATA!I501,AB501=0),"TRUE","FALSE")</f>
        <v>FALSE</v>
      </c>
      <c r="Y501" s="29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1"/>
      <c r="AK501" s="31"/>
      <c r="AL501" s="31"/>
      <c r="AM501" s="31"/>
      <c r="AN501" s="32" t="str">
        <f>+IF(AND('GRADING PACKING'!L$5=INWARDDATA!J501,'GRADING PACKING'!L$6=INWARDDATA!I501,AR501=0),"good","bad")</f>
        <v>bad</v>
      </c>
      <c r="AO501" s="33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86"/>
      <c r="BC501" s="86"/>
      <c r="BD501" s="97">
        <f>Table_15[[#This Row],[Wgt-Bag]]-Table_15[[#This Row],[Total Graded]]-Table_15[[#This Row],[UNDERSIZE]]+0.0011</f>
        <v>1.1000000000000001E-3</v>
      </c>
      <c r="BE501" s="86">
        <f>Table_15[[#This Row],[Total Graded]]-Table_15[[#This Row],[Packing Quantity]]+Table_15[[#This Row],[PACKING LOOSE]]</f>
        <v>0</v>
      </c>
      <c r="BF501" s="34">
        <f>IF(Table_15[[#This Row],[GRADED BAGS]]&gt;0,Table_15[[#This Row],[GRADED BAGS]],Table_15[[#This Row],[Bags]])</f>
        <v>0</v>
      </c>
    </row>
    <row r="502" spans="1:58" ht="15.75" hidden="1" customHeight="1" x14ac:dyDescent="0.35">
      <c r="A502" s="22"/>
      <c r="B502" s="22"/>
      <c r="C502" s="23"/>
      <c r="D502" s="23"/>
      <c r="E502" s="24"/>
      <c r="F502" s="23"/>
      <c r="G502" s="100"/>
      <c r="H502" s="101"/>
      <c r="I502" s="102"/>
      <c r="J502" s="102"/>
      <c r="K502" s="233"/>
      <c r="L502" s="22"/>
      <c r="M502" s="25">
        <f t="shared" si="36"/>
        <v>0</v>
      </c>
      <c r="N502" s="25">
        <f t="shared" si="37"/>
        <v>0</v>
      </c>
      <c r="O502" s="25">
        <f t="shared" si="38"/>
        <v>0</v>
      </c>
      <c r="P502" s="25">
        <f t="shared" si="39"/>
        <v>0</v>
      </c>
      <c r="Q502" s="22"/>
      <c r="R502" s="22"/>
      <c r="S502" s="22"/>
      <c r="T502" s="22"/>
      <c r="U502" s="26">
        <f t="shared" si="40"/>
        <v>0</v>
      </c>
      <c r="V502" s="27"/>
      <c r="W502" s="28"/>
      <c r="X502" s="25" t="str">
        <f>+IF(AND('GRADING PACKING'!L$5=INWARDDATA!J502,'GRADING PACKING'!L$6=INWARDDATA!I502,AB502=0),"TRUE","FALSE")</f>
        <v>FALSE</v>
      </c>
      <c r="Y502" s="29"/>
      <c r="Z502" s="30"/>
      <c r="AA502" s="30"/>
      <c r="AB502" s="30"/>
      <c r="AC502" s="30"/>
      <c r="AD502" s="30"/>
      <c r="AE502" s="30"/>
      <c r="AF502" s="30"/>
      <c r="AG502" s="30"/>
      <c r="AH502" s="30"/>
      <c r="AI502" s="30"/>
      <c r="AJ502" s="31"/>
      <c r="AK502" s="31"/>
      <c r="AL502" s="31"/>
      <c r="AM502" s="31"/>
      <c r="AN502" s="32" t="str">
        <f>+IF(AND('GRADING PACKING'!L$5=INWARDDATA!J502,'GRADING PACKING'!L$6=INWARDDATA!I502,AR502=0),"good","bad")</f>
        <v>bad</v>
      </c>
      <c r="AO502" s="33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86"/>
      <c r="BC502" s="86"/>
      <c r="BD502" s="97">
        <f>Table_15[[#This Row],[Wgt-Bag]]-Table_15[[#This Row],[Total Graded]]-Table_15[[#This Row],[UNDERSIZE]]+0.0011</f>
        <v>1.1000000000000001E-3</v>
      </c>
      <c r="BE502" s="86">
        <f>Table_15[[#This Row],[Total Graded]]-Table_15[[#This Row],[Packing Quantity]]+Table_15[[#This Row],[PACKING LOOSE]]</f>
        <v>0</v>
      </c>
      <c r="BF502" s="34">
        <f>IF(Table_15[[#This Row],[GRADED BAGS]]&gt;0,Table_15[[#This Row],[GRADED BAGS]],Table_15[[#This Row],[Bags]])</f>
        <v>0</v>
      </c>
    </row>
    <row r="503" spans="1:58" ht="15.75" hidden="1" customHeight="1" x14ac:dyDescent="0.35">
      <c r="A503" s="22"/>
      <c r="B503" s="22"/>
      <c r="C503" s="23"/>
      <c r="D503" s="23"/>
      <c r="E503" s="24"/>
      <c r="F503" s="23"/>
      <c r="G503" s="100"/>
      <c r="H503" s="101"/>
      <c r="I503" s="102"/>
      <c r="J503" s="102"/>
      <c r="K503" s="233"/>
      <c r="L503" s="22"/>
      <c r="M503" s="25">
        <f t="shared" si="36"/>
        <v>0</v>
      </c>
      <c r="N503" s="25">
        <f t="shared" si="37"/>
        <v>0</v>
      </c>
      <c r="O503" s="25">
        <f t="shared" si="38"/>
        <v>0</v>
      </c>
      <c r="P503" s="25">
        <f t="shared" si="39"/>
        <v>0</v>
      </c>
      <c r="Q503" s="22"/>
      <c r="R503" s="22"/>
      <c r="S503" s="22"/>
      <c r="T503" s="22"/>
      <c r="U503" s="26">
        <f t="shared" si="40"/>
        <v>0</v>
      </c>
      <c r="V503" s="27"/>
      <c r="W503" s="28"/>
      <c r="X503" s="25" t="str">
        <f>+IF(AND('GRADING PACKING'!L$5=INWARDDATA!J503,'GRADING PACKING'!L$6=INWARDDATA!I503,AB503=0),"TRUE","FALSE")</f>
        <v>FALSE</v>
      </c>
      <c r="Y503" s="29"/>
      <c r="Z503" s="30"/>
      <c r="AA503" s="30"/>
      <c r="AB503" s="30"/>
      <c r="AC503" s="30"/>
      <c r="AD503" s="30"/>
      <c r="AE503" s="30"/>
      <c r="AF503" s="30"/>
      <c r="AG503" s="30"/>
      <c r="AH503" s="30"/>
      <c r="AI503" s="30"/>
      <c r="AJ503" s="31"/>
      <c r="AK503" s="31"/>
      <c r="AL503" s="31"/>
      <c r="AM503" s="31"/>
      <c r="AN503" s="32" t="str">
        <f>+IF(AND('GRADING PACKING'!L$5=INWARDDATA!J503,'GRADING PACKING'!L$6=INWARDDATA!I503,AR503=0),"good","bad")</f>
        <v>bad</v>
      </c>
      <c r="AO503" s="33"/>
      <c r="AP503" s="30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86"/>
      <c r="BC503" s="86"/>
      <c r="BD503" s="97">
        <f>Table_15[[#This Row],[Wgt-Bag]]-Table_15[[#This Row],[Total Graded]]-Table_15[[#This Row],[UNDERSIZE]]+0.0011</f>
        <v>1.1000000000000001E-3</v>
      </c>
      <c r="BE503" s="86">
        <f>Table_15[[#This Row],[Total Graded]]-Table_15[[#This Row],[Packing Quantity]]+Table_15[[#This Row],[PACKING LOOSE]]</f>
        <v>0</v>
      </c>
      <c r="BF503" s="34">
        <f>IF(Table_15[[#This Row],[GRADED BAGS]]&gt;0,Table_15[[#This Row],[GRADED BAGS]],Table_15[[#This Row],[Bags]])</f>
        <v>0</v>
      </c>
    </row>
    <row r="504" spans="1:58" ht="15.75" hidden="1" customHeight="1" x14ac:dyDescent="0.35">
      <c r="A504" s="22"/>
      <c r="B504" s="22"/>
      <c r="C504" s="23"/>
      <c r="D504" s="23"/>
      <c r="E504" s="24"/>
      <c r="F504" s="23"/>
      <c r="G504" s="100"/>
      <c r="H504" s="101"/>
      <c r="I504" s="102"/>
      <c r="J504" s="102"/>
      <c r="K504" s="233"/>
      <c r="L504" s="22"/>
      <c r="M504" s="25">
        <f t="shared" si="36"/>
        <v>0</v>
      </c>
      <c r="N504" s="25">
        <f t="shared" si="37"/>
        <v>0</v>
      </c>
      <c r="O504" s="25">
        <f t="shared" si="38"/>
        <v>0</v>
      </c>
      <c r="P504" s="25">
        <f t="shared" si="39"/>
        <v>0</v>
      </c>
      <c r="Q504" s="22"/>
      <c r="R504" s="22"/>
      <c r="S504" s="22"/>
      <c r="T504" s="22"/>
      <c r="U504" s="26">
        <f t="shared" si="40"/>
        <v>0</v>
      </c>
      <c r="V504" s="27"/>
      <c r="W504" s="28"/>
      <c r="X504" s="25" t="str">
        <f>+IF(AND('GRADING PACKING'!L$5=INWARDDATA!J504,'GRADING PACKING'!L$6=INWARDDATA!I504,AB504=0),"TRUE","FALSE")</f>
        <v>FALSE</v>
      </c>
      <c r="Y504" s="29"/>
      <c r="Z504" s="30"/>
      <c r="AA504" s="30"/>
      <c r="AB504" s="30"/>
      <c r="AC504" s="30"/>
      <c r="AD504" s="30"/>
      <c r="AE504" s="30"/>
      <c r="AF504" s="30"/>
      <c r="AG504" s="30"/>
      <c r="AH504" s="30"/>
      <c r="AI504" s="30"/>
      <c r="AJ504" s="31"/>
      <c r="AK504" s="31"/>
      <c r="AL504" s="31"/>
      <c r="AM504" s="31"/>
      <c r="AN504" s="32" t="str">
        <f>+IF(AND('GRADING PACKING'!L$5=INWARDDATA!J504,'GRADING PACKING'!L$6=INWARDDATA!I504,AR504=0),"good","bad")</f>
        <v>bad</v>
      </c>
      <c r="AO504" s="33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86"/>
      <c r="BC504" s="86"/>
      <c r="BD504" s="97">
        <f>Table_15[[#This Row],[Wgt-Bag]]-Table_15[[#This Row],[Total Graded]]-Table_15[[#This Row],[UNDERSIZE]]+0.0011</f>
        <v>1.1000000000000001E-3</v>
      </c>
      <c r="BE504" s="86">
        <f>Table_15[[#This Row],[Total Graded]]-Table_15[[#This Row],[Packing Quantity]]+Table_15[[#This Row],[PACKING LOOSE]]</f>
        <v>0</v>
      </c>
      <c r="BF504" s="34">
        <f>IF(Table_15[[#This Row],[GRADED BAGS]]&gt;0,Table_15[[#This Row],[GRADED BAGS]],Table_15[[#This Row],[Bags]])</f>
        <v>0</v>
      </c>
    </row>
    <row r="505" spans="1:58" ht="15.75" hidden="1" customHeight="1" x14ac:dyDescent="0.35">
      <c r="A505" s="22"/>
      <c r="B505" s="22"/>
      <c r="C505" s="23"/>
      <c r="D505" s="23"/>
      <c r="E505" s="24"/>
      <c r="F505" s="23"/>
      <c r="G505" s="100"/>
      <c r="H505" s="101"/>
      <c r="I505" s="102"/>
      <c r="J505" s="102"/>
      <c r="K505" s="233"/>
      <c r="L505" s="22"/>
      <c r="M505" s="25">
        <f t="shared" si="36"/>
        <v>0</v>
      </c>
      <c r="N505" s="25">
        <f t="shared" si="37"/>
        <v>0</v>
      </c>
      <c r="O505" s="25">
        <f t="shared" si="38"/>
        <v>0</v>
      </c>
      <c r="P505" s="25">
        <f t="shared" si="39"/>
        <v>0</v>
      </c>
      <c r="Q505" s="22"/>
      <c r="R505" s="22"/>
      <c r="S505" s="22"/>
      <c r="T505" s="22"/>
      <c r="U505" s="26">
        <f t="shared" si="40"/>
        <v>0</v>
      </c>
      <c r="V505" s="27"/>
      <c r="W505" s="28"/>
      <c r="X505" s="25" t="str">
        <f>+IF(AND('GRADING PACKING'!L$5=INWARDDATA!J505,'GRADING PACKING'!L$6=INWARDDATA!I505,AB505=0),"TRUE","FALSE")</f>
        <v>FALSE</v>
      </c>
      <c r="Y505" s="29"/>
      <c r="Z505" s="30"/>
      <c r="AA505" s="30"/>
      <c r="AB505" s="30"/>
      <c r="AC505" s="30"/>
      <c r="AD505" s="30"/>
      <c r="AE505" s="30"/>
      <c r="AF505" s="30"/>
      <c r="AG505" s="30"/>
      <c r="AH505" s="30"/>
      <c r="AI505" s="30"/>
      <c r="AJ505" s="31"/>
      <c r="AK505" s="31"/>
      <c r="AL505" s="31"/>
      <c r="AM505" s="31"/>
      <c r="AN505" s="32" t="str">
        <f>+IF(AND('GRADING PACKING'!L$5=INWARDDATA!J505,'GRADING PACKING'!L$6=INWARDDATA!I505,AR505=0),"good","bad")</f>
        <v>bad</v>
      </c>
      <c r="AO505" s="33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86"/>
      <c r="BC505" s="86"/>
      <c r="BD505" s="97">
        <f>Table_15[[#This Row],[Wgt-Bag]]-Table_15[[#This Row],[Total Graded]]-Table_15[[#This Row],[UNDERSIZE]]+0.0011</f>
        <v>1.1000000000000001E-3</v>
      </c>
      <c r="BE505" s="86">
        <f>Table_15[[#This Row],[Total Graded]]-Table_15[[#This Row],[Packing Quantity]]+Table_15[[#This Row],[PACKING LOOSE]]</f>
        <v>0</v>
      </c>
      <c r="BF505" s="34">
        <f>IF(Table_15[[#This Row],[GRADED BAGS]]&gt;0,Table_15[[#This Row],[GRADED BAGS]],Table_15[[#This Row],[Bags]])</f>
        <v>0</v>
      </c>
    </row>
    <row r="506" spans="1:58" ht="15.75" hidden="1" customHeight="1" x14ac:dyDescent="0.35">
      <c r="A506" s="22"/>
      <c r="B506" s="22"/>
      <c r="C506" s="23"/>
      <c r="D506" s="23"/>
      <c r="E506" s="24"/>
      <c r="F506" s="23"/>
      <c r="G506" s="100"/>
      <c r="H506" s="101"/>
      <c r="I506" s="102"/>
      <c r="J506" s="102"/>
      <c r="K506" s="233"/>
      <c r="L506" s="22"/>
      <c r="M506" s="25">
        <f t="shared" si="36"/>
        <v>0</v>
      </c>
      <c r="N506" s="25">
        <f t="shared" si="37"/>
        <v>0</v>
      </c>
      <c r="O506" s="25">
        <f t="shared" si="38"/>
        <v>0</v>
      </c>
      <c r="P506" s="25">
        <f t="shared" si="39"/>
        <v>0</v>
      </c>
      <c r="Q506" s="22"/>
      <c r="R506" s="22"/>
      <c r="S506" s="22"/>
      <c r="T506" s="22"/>
      <c r="U506" s="26">
        <f t="shared" si="40"/>
        <v>0</v>
      </c>
      <c r="V506" s="27"/>
      <c r="W506" s="28"/>
      <c r="X506" s="25" t="str">
        <f>+IF(AND('GRADING PACKING'!L$5=INWARDDATA!J506,'GRADING PACKING'!L$6=INWARDDATA!I506,AB506=0),"TRUE","FALSE")</f>
        <v>FALSE</v>
      </c>
      <c r="Y506" s="29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1"/>
      <c r="AK506" s="31"/>
      <c r="AL506" s="31"/>
      <c r="AM506" s="31"/>
      <c r="AN506" s="32" t="str">
        <f>+IF(AND('GRADING PACKING'!L$5=INWARDDATA!J506,'GRADING PACKING'!L$6=INWARDDATA!I506,AR506=0),"good","bad")</f>
        <v>bad</v>
      </c>
      <c r="AO506" s="33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86"/>
      <c r="BC506" s="86"/>
      <c r="BD506" s="97">
        <f>Table_15[[#This Row],[Wgt-Bag]]-Table_15[[#This Row],[Total Graded]]-Table_15[[#This Row],[UNDERSIZE]]+0.0011</f>
        <v>1.1000000000000001E-3</v>
      </c>
      <c r="BE506" s="86">
        <f>Table_15[[#This Row],[Total Graded]]-Table_15[[#This Row],[Packing Quantity]]+Table_15[[#This Row],[PACKING LOOSE]]</f>
        <v>0</v>
      </c>
      <c r="BF506" s="34">
        <f>IF(Table_15[[#This Row],[GRADED BAGS]]&gt;0,Table_15[[#This Row],[GRADED BAGS]],Table_15[[#This Row],[Bags]])</f>
        <v>0</v>
      </c>
    </row>
    <row r="507" spans="1:58" ht="15.75" hidden="1" customHeight="1" x14ac:dyDescent="0.35">
      <c r="A507" s="22"/>
      <c r="B507" s="22"/>
      <c r="C507" s="23"/>
      <c r="D507" s="23"/>
      <c r="E507" s="24"/>
      <c r="F507" s="23"/>
      <c r="G507" s="100"/>
      <c r="H507" s="101"/>
      <c r="I507" s="102"/>
      <c r="J507" s="102"/>
      <c r="K507" s="233"/>
      <c r="L507" s="22"/>
      <c r="M507" s="25">
        <f t="shared" si="36"/>
        <v>0</v>
      </c>
      <c r="N507" s="25">
        <f t="shared" si="37"/>
        <v>0</v>
      </c>
      <c r="O507" s="25">
        <f t="shared" si="38"/>
        <v>0</v>
      </c>
      <c r="P507" s="25">
        <f t="shared" si="39"/>
        <v>0</v>
      </c>
      <c r="Q507" s="22"/>
      <c r="R507" s="22"/>
      <c r="S507" s="22"/>
      <c r="T507" s="22"/>
      <c r="U507" s="26">
        <f t="shared" si="40"/>
        <v>0</v>
      </c>
      <c r="V507" s="27"/>
      <c r="W507" s="28"/>
      <c r="X507" s="25" t="str">
        <f>+IF(AND('GRADING PACKING'!L$5=INWARDDATA!J507,'GRADING PACKING'!L$6=INWARDDATA!I507,AB507=0),"TRUE","FALSE")</f>
        <v>FALSE</v>
      </c>
      <c r="Y507" s="29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1"/>
      <c r="AK507" s="31"/>
      <c r="AL507" s="31"/>
      <c r="AM507" s="31"/>
      <c r="AN507" s="32" t="str">
        <f>+IF(AND('GRADING PACKING'!L$5=INWARDDATA!J507,'GRADING PACKING'!L$6=INWARDDATA!I507,AR507=0),"good","bad")</f>
        <v>bad</v>
      </c>
      <c r="AO507" s="33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86"/>
      <c r="BC507" s="86"/>
      <c r="BD507" s="97">
        <f>Table_15[[#This Row],[Wgt-Bag]]-Table_15[[#This Row],[Total Graded]]-Table_15[[#This Row],[UNDERSIZE]]+0.0011</f>
        <v>1.1000000000000001E-3</v>
      </c>
      <c r="BE507" s="86">
        <f>Table_15[[#This Row],[Total Graded]]-Table_15[[#This Row],[Packing Quantity]]+Table_15[[#This Row],[PACKING LOOSE]]</f>
        <v>0</v>
      </c>
      <c r="BF507" s="34">
        <f>IF(Table_15[[#This Row],[GRADED BAGS]]&gt;0,Table_15[[#This Row],[GRADED BAGS]],Table_15[[#This Row],[Bags]])</f>
        <v>0</v>
      </c>
    </row>
    <row r="508" spans="1:58" ht="15.75" hidden="1" customHeight="1" x14ac:dyDescent="0.35">
      <c r="A508" s="22"/>
      <c r="B508" s="22"/>
      <c r="C508" s="23"/>
      <c r="D508" s="23"/>
      <c r="E508" s="24"/>
      <c r="F508" s="23"/>
      <c r="G508" s="100"/>
      <c r="H508" s="101"/>
      <c r="I508" s="102"/>
      <c r="J508" s="102"/>
      <c r="K508" s="233"/>
      <c r="L508" s="22"/>
      <c r="M508" s="25">
        <f t="shared" si="36"/>
        <v>0</v>
      </c>
      <c r="N508" s="25">
        <f t="shared" si="37"/>
        <v>0</v>
      </c>
      <c r="O508" s="25">
        <f t="shared" si="38"/>
        <v>0</v>
      </c>
      <c r="P508" s="25">
        <f t="shared" si="39"/>
        <v>0</v>
      </c>
      <c r="Q508" s="22"/>
      <c r="R508" s="22"/>
      <c r="S508" s="22"/>
      <c r="T508" s="22"/>
      <c r="U508" s="26">
        <f t="shared" si="40"/>
        <v>0</v>
      </c>
      <c r="V508" s="27"/>
      <c r="W508" s="28"/>
      <c r="X508" s="25" t="str">
        <f>+IF(AND('GRADING PACKING'!L$5=INWARDDATA!J508,'GRADING PACKING'!L$6=INWARDDATA!I508,AB508=0),"TRUE","FALSE")</f>
        <v>FALSE</v>
      </c>
      <c r="Y508" s="29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1"/>
      <c r="AK508" s="31"/>
      <c r="AL508" s="31"/>
      <c r="AM508" s="31"/>
      <c r="AN508" s="32" t="str">
        <f>+IF(AND('GRADING PACKING'!L$5=INWARDDATA!J508,'GRADING PACKING'!L$6=INWARDDATA!I508,AR508=0),"good","bad")</f>
        <v>bad</v>
      </c>
      <c r="AO508" s="33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86"/>
      <c r="BC508" s="86"/>
      <c r="BD508" s="97">
        <f>Table_15[[#This Row],[Wgt-Bag]]-Table_15[[#This Row],[Total Graded]]-Table_15[[#This Row],[UNDERSIZE]]+0.0011</f>
        <v>1.1000000000000001E-3</v>
      </c>
      <c r="BE508" s="86">
        <f>Table_15[[#This Row],[Total Graded]]-Table_15[[#This Row],[Packing Quantity]]+Table_15[[#This Row],[PACKING LOOSE]]</f>
        <v>0</v>
      </c>
      <c r="BF508" s="34">
        <f>IF(Table_15[[#This Row],[GRADED BAGS]]&gt;0,Table_15[[#This Row],[GRADED BAGS]],Table_15[[#This Row],[Bags]])</f>
        <v>0</v>
      </c>
    </row>
    <row r="509" spans="1:58" ht="15.75" hidden="1" customHeight="1" x14ac:dyDescent="0.35">
      <c r="A509" s="22"/>
      <c r="B509" s="22"/>
      <c r="C509" s="23"/>
      <c r="D509" s="23"/>
      <c r="E509" s="24"/>
      <c r="F509" s="23"/>
      <c r="G509" s="100"/>
      <c r="H509" s="101"/>
      <c r="I509" s="102"/>
      <c r="J509" s="102"/>
      <c r="K509" s="233"/>
      <c r="L509" s="22"/>
      <c r="M509" s="25">
        <f t="shared" si="36"/>
        <v>0</v>
      </c>
      <c r="N509" s="25">
        <f t="shared" si="37"/>
        <v>0</v>
      </c>
      <c r="O509" s="25">
        <f t="shared" si="38"/>
        <v>0</v>
      </c>
      <c r="P509" s="25">
        <f t="shared" si="39"/>
        <v>0</v>
      </c>
      <c r="Q509" s="22"/>
      <c r="R509" s="22"/>
      <c r="S509" s="22"/>
      <c r="T509" s="22"/>
      <c r="U509" s="26">
        <f t="shared" si="40"/>
        <v>0</v>
      </c>
      <c r="V509" s="27"/>
      <c r="W509" s="28"/>
      <c r="X509" s="25" t="str">
        <f>+IF(AND('GRADING PACKING'!L$5=INWARDDATA!J509,'GRADING PACKING'!L$6=INWARDDATA!I509,AB509=0),"TRUE","FALSE")</f>
        <v>FALSE</v>
      </c>
      <c r="Y509" s="29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1"/>
      <c r="AK509" s="31"/>
      <c r="AL509" s="31"/>
      <c r="AM509" s="31"/>
      <c r="AN509" s="32" t="str">
        <f>+IF(AND('GRADING PACKING'!L$5=INWARDDATA!J509,'GRADING PACKING'!L$6=INWARDDATA!I509,AR509=0),"good","bad")</f>
        <v>bad</v>
      </c>
      <c r="AO509" s="33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86"/>
      <c r="BC509" s="86"/>
      <c r="BD509" s="97">
        <f>Table_15[[#This Row],[Wgt-Bag]]-Table_15[[#This Row],[Total Graded]]-Table_15[[#This Row],[UNDERSIZE]]+0.0011</f>
        <v>1.1000000000000001E-3</v>
      </c>
      <c r="BE509" s="86">
        <f>Table_15[[#This Row],[Total Graded]]-Table_15[[#This Row],[Packing Quantity]]+Table_15[[#This Row],[PACKING LOOSE]]</f>
        <v>0</v>
      </c>
      <c r="BF509" s="34">
        <f>IF(Table_15[[#This Row],[GRADED BAGS]]&gt;0,Table_15[[#This Row],[GRADED BAGS]],Table_15[[#This Row],[Bags]])</f>
        <v>0</v>
      </c>
    </row>
    <row r="510" spans="1:58" ht="15.75" hidden="1" customHeight="1" x14ac:dyDescent="0.35">
      <c r="A510" s="22"/>
      <c r="B510" s="22"/>
      <c r="C510" s="23"/>
      <c r="D510" s="23"/>
      <c r="E510" s="24"/>
      <c r="F510" s="23"/>
      <c r="G510" s="100"/>
      <c r="H510" s="101"/>
      <c r="I510" s="102"/>
      <c r="J510" s="102"/>
      <c r="K510" s="233"/>
      <c r="L510" s="22"/>
      <c r="M510" s="25">
        <f t="shared" si="36"/>
        <v>0</v>
      </c>
      <c r="N510" s="25">
        <f t="shared" si="37"/>
        <v>0</v>
      </c>
      <c r="O510" s="25">
        <f t="shared" si="38"/>
        <v>0</v>
      </c>
      <c r="P510" s="25">
        <f t="shared" si="39"/>
        <v>0</v>
      </c>
      <c r="Q510" s="22"/>
      <c r="R510" s="22"/>
      <c r="S510" s="22"/>
      <c r="T510" s="22"/>
      <c r="U510" s="26">
        <f t="shared" si="40"/>
        <v>0</v>
      </c>
      <c r="V510" s="27"/>
      <c r="W510" s="28"/>
      <c r="X510" s="25" t="str">
        <f>+IF(AND('GRADING PACKING'!L$5=INWARDDATA!J510,'GRADING PACKING'!L$6=INWARDDATA!I510,AB510=0),"TRUE","FALSE")</f>
        <v>FALSE</v>
      </c>
      <c r="Y510" s="29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1"/>
      <c r="AK510" s="31"/>
      <c r="AL510" s="31"/>
      <c r="AM510" s="31"/>
      <c r="AN510" s="32" t="str">
        <f>+IF(AND('GRADING PACKING'!L$5=INWARDDATA!J510,'GRADING PACKING'!L$6=INWARDDATA!I510,AR510=0),"good","bad")</f>
        <v>bad</v>
      </c>
      <c r="AO510" s="33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86"/>
      <c r="BC510" s="86"/>
      <c r="BD510" s="97">
        <f>Table_15[[#This Row],[Wgt-Bag]]-Table_15[[#This Row],[Total Graded]]-Table_15[[#This Row],[UNDERSIZE]]+0.0011</f>
        <v>1.1000000000000001E-3</v>
      </c>
      <c r="BE510" s="86">
        <f>Table_15[[#This Row],[Total Graded]]-Table_15[[#This Row],[Packing Quantity]]+Table_15[[#This Row],[PACKING LOOSE]]</f>
        <v>0</v>
      </c>
      <c r="BF510" s="34">
        <f>IF(Table_15[[#This Row],[GRADED BAGS]]&gt;0,Table_15[[#This Row],[GRADED BAGS]],Table_15[[#This Row],[Bags]])</f>
        <v>0</v>
      </c>
    </row>
    <row r="511" spans="1:58" ht="15.75" hidden="1" customHeight="1" x14ac:dyDescent="0.35">
      <c r="A511" s="22"/>
      <c r="B511" s="22"/>
      <c r="C511" s="23"/>
      <c r="D511" s="23"/>
      <c r="E511" s="24"/>
      <c r="F511" s="23"/>
      <c r="G511" s="100"/>
      <c r="H511" s="101"/>
      <c r="I511" s="102"/>
      <c r="J511" s="102"/>
      <c r="K511" s="233"/>
      <c r="L511" s="22"/>
      <c r="M511" s="25">
        <f t="shared" si="36"/>
        <v>0</v>
      </c>
      <c r="N511" s="25">
        <f t="shared" si="37"/>
        <v>0</v>
      </c>
      <c r="O511" s="25">
        <f t="shared" si="38"/>
        <v>0</v>
      </c>
      <c r="P511" s="25">
        <f t="shared" si="39"/>
        <v>0</v>
      </c>
      <c r="Q511" s="22"/>
      <c r="R511" s="22"/>
      <c r="S511" s="22"/>
      <c r="T511" s="22"/>
      <c r="U511" s="26">
        <f t="shared" si="40"/>
        <v>0</v>
      </c>
      <c r="V511" s="27"/>
      <c r="W511" s="28"/>
      <c r="X511" s="25" t="str">
        <f>+IF(AND('GRADING PACKING'!L$5=INWARDDATA!J511,'GRADING PACKING'!L$6=INWARDDATA!I511,AB511=0),"TRUE","FALSE")</f>
        <v>FALSE</v>
      </c>
      <c r="Y511" s="29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1"/>
      <c r="AK511" s="31"/>
      <c r="AL511" s="31"/>
      <c r="AM511" s="31"/>
      <c r="AN511" s="32" t="str">
        <f>+IF(AND('GRADING PACKING'!L$5=INWARDDATA!J511,'GRADING PACKING'!L$6=INWARDDATA!I511,AR511=0),"good","bad")</f>
        <v>bad</v>
      </c>
      <c r="AO511" s="33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86"/>
      <c r="BC511" s="86"/>
      <c r="BD511" s="97">
        <f>Table_15[[#This Row],[Wgt-Bag]]-Table_15[[#This Row],[Total Graded]]-Table_15[[#This Row],[UNDERSIZE]]+0.0011</f>
        <v>1.1000000000000001E-3</v>
      </c>
      <c r="BE511" s="86">
        <f>Table_15[[#This Row],[Total Graded]]-Table_15[[#This Row],[Packing Quantity]]+Table_15[[#This Row],[PACKING LOOSE]]</f>
        <v>0</v>
      </c>
      <c r="BF511" s="34">
        <f>IF(Table_15[[#This Row],[GRADED BAGS]]&gt;0,Table_15[[#This Row],[GRADED BAGS]],Table_15[[#This Row],[Bags]])</f>
        <v>0</v>
      </c>
    </row>
    <row r="512" spans="1:58" ht="15.75" hidden="1" customHeight="1" x14ac:dyDescent="0.35">
      <c r="A512" s="22"/>
      <c r="B512" s="22"/>
      <c r="C512" s="23"/>
      <c r="D512" s="23"/>
      <c r="E512" s="24"/>
      <c r="F512" s="23"/>
      <c r="G512" s="100"/>
      <c r="H512" s="101"/>
      <c r="I512" s="102"/>
      <c r="J512" s="102"/>
      <c r="K512" s="233"/>
      <c r="L512" s="22"/>
      <c r="M512" s="25">
        <f t="shared" si="36"/>
        <v>0</v>
      </c>
      <c r="N512" s="25">
        <f t="shared" si="37"/>
        <v>0</v>
      </c>
      <c r="O512" s="25">
        <f t="shared" si="38"/>
        <v>0</v>
      </c>
      <c r="P512" s="25">
        <f t="shared" si="39"/>
        <v>0</v>
      </c>
      <c r="Q512" s="22"/>
      <c r="R512" s="22"/>
      <c r="S512" s="22"/>
      <c r="T512" s="22"/>
      <c r="U512" s="26">
        <f t="shared" si="40"/>
        <v>0</v>
      </c>
      <c r="V512" s="27"/>
      <c r="W512" s="28"/>
      <c r="X512" s="25" t="str">
        <f>+IF(AND('GRADING PACKING'!L$5=INWARDDATA!J512,'GRADING PACKING'!L$6=INWARDDATA!I512,AB512=0),"TRUE","FALSE")</f>
        <v>FALSE</v>
      </c>
      <c r="Y512" s="29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1"/>
      <c r="AK512" s="31"/>
      <c r="AL512" s="31"/>
      <c r="AM512" s="31"/>
      <c r="AN512" s="32" t="str">
        <f>+IF(AND('GRADING PACKING'!L$5=INWARDDATA!J512,'GRADING PACKING'!L$6=INWARDDATA!I512,AR512=0),"good","bad")</f>
        <v>bad</v>
      </c>
      <c r="AO512" s="33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86"/>
      <c r="BC512" s="86"/>
      <c r="BD512" s="97">
        <f>Table_15[[#This Row],[Wgt-Bag]]-Table_15[[#This Row],[Total Graded]]-Table_15[[#This Row],[UNDERSIZE]]+0.0011</f>
        <v>1.1000000000000001E-3</v>
      </c>
      <c r="BE512" s="86">
        <f>Table_15[[#This Row],[Total Graded]]-Table_15[[#This Row],[Packing Quantity]]+Table_15[[#This Row],[PACKING LOOSE]]</f>
        <v>0</v>
      </c>
      <c r="BF512" s="34">
        <f>IF(Table_15[[#This Row],[GRADED BAGS]]&gt;0,Table_15[[#This Row],[GRADED BAGS]],Table_15[[#This Row],[Bags]])</f>
        <v>0</v>
      </c>
    </row>
    <row r="513" spans="1:58" ht="15.75" hidden="1" customHeight="1" x14ac:dyDescent="0.35">
      <c r="A513" s="22"/>
      <c r="B513" s="22"/>
      <c r="C513" s="23"/>
      <c r="D513" s="23"/>
      <c r="E513" s="24"/>
      <c r="F513" s="23"/>
      <c r="G513" s="100"/>
      <c r="H513" s="101"/>
      <c r="I513" s="102"/>
      <c r="J513" s="102"/>
      <c r="K513" s="233"/>
      <c r="L513" s="22"/>
      <c r="M513" s="25">
        <f t="shared" si="36"/>
        <v>0</v>
      </c>
      <c r="N513" s="25">
        <f t="shared" si="37"/>
        <v>0</v>
      </c>
      <c r="O513" s="25">
        <f t="shared" si="38"/>
        <v>0</v>
      </c>
      <c r="P513" s="25">
        <f t="shared" si="39"/>
        <v>0</v>
      </c>
      <c r="Q513" s="22"/>
      <c r="R513" s="22"/>
      <c r="S513" s="22"/>
      <c r="T513" s="22"/>
      <c r="U513" s="26">
        <f t="shared" si="40"/>
        <v>0</v>
      </c>
      <c r="V513" s="27"/>
      <c r="W513" s="28"/>
      <c r="X513" s="25" t="str">
        <f>+IF(AND('GRADING PACKING'!L$5=INWARDDATA!J513,'GRADING PACKING'!L$6=INWARDDATA!I513,AB513=0),"TRUE","FALSE")</f>
        <v>FALSE</v>
      </c>
      <c r="Y513" s="29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1"/>
      <c r="AK513" s="31"/>
      <c r="AL513" s="31"/>
      <c r="AM513" s="31"/>
      <c r="AN513" s="32" t="str">
        <f>+IF(AND('GRADING PACKING'!L$5=INWARDDATA!J513,'GRADING PACKING'!L$6=INWARDDATA!I513,AR513=0),"good","bad")</f>
        <v>bad</v>
      </c>
      <c r="AO513" s="33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86"/>
      <c r="BC513" s="86"/>
      <c r="BD513" s="97">
        <f>Table_15[[#This Row],[Wgt-Bag]]-Table_15[[#This Row],[Total Graded]]-Table_15[[#This Row],[UNDERSIZE]]+0.0011</f>
        <v>1.1000000000000001E-3</v>
      </c>
      <c r="BE513" s="86">
        <f>Table_15[[#This Row],[Total Graded]]-Table_15[[#This Row],[Packing Quantity]]+Table_15[[#This Row],[PACKING LOOSE]]</f>
        <v>0</v>
      </c>
      <c r="BF513" s="34">
        <f>IF(Table_15[[#This Row],[GRADED BAGS]]&gt;0,Table_15[[#This Row],[GRADED BAGS]],Table_15[[#This Row],[Bags]])</f>
        <v>0</v>
      </c>
    </row>
    <row r="514" spans="1:58" ht="15.75" hidden="1" customHeight="1" x14ac:dyDescent="0.35">
      <c r="A514" s="22"/>
      <c r="B514" s="22"/>
      <c r="C514" s="23"/>
      <c r="D514" s="23"/>
      <c r="E514" s="24"/>
      <c r="F514" s="23"/>
      <c r="G514" s="100"/>
      <c r="H514" s="101"/>
      <c r="I514" s="102"/>
      <c r="J514" s="102"/>
      <c r="K514" s="233"/>
      <c r="L514" s="22"/>
      <c r="M514" s="25">
        <f t="shared" si="36"/>
        <v>0</v>
      </c>
      <c r="N514" s="25">
        <f t="shared" si="37"/>
        <v>0</v>
      </c>
      <c r="O514" s="25">
        <f t="shared" si="38"/>
        <v>0</v>
      </c>
      <c r="P514" s="25">
        <f t="shared" si="39"/>
        <v>0</v>
      </c>
      <c r="Q514" s="22"/>
      <c r="R514" s="22"/>
      <c r="S514" s="22"/>
      <c r="T514" s="22"/>
      <c r="U514" s="26">
        <f t="shared" si="40"/>
        <v>0</v>
      </c>
      <c r="V514" s="27"/>
      <c r="W514" s="28"/>
      <c r="X514" s="25" t="str">
        <f>+IF(AND('GRADING PACKING'!L$5=INWARDDATA!J514,'GRADING PACKING'!L$6=INWARDDATA!I514,AB514=0),"TRUE","FALSE")</f>
        <v>FALSE</v>
      </c>
      <c r="Y514" s="29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1"/>
      <c r="AK514" s="31"/>
      <c r="AL514" s="31"/>
      <c r="AM514" s="31"/>
      <c r="AN514" s="32" t="str">
        <f>+IF(AND('GRADING PACKING'!L$5=INWARDDATA!J514,'GRADING PACKING'!L$6=INWARDDATA!I514,AR514=0),"good","bad")</f>
        <v>bad</v>
      </c>
      <c r="AO514" s="33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86"/>
      <c r="BC514" s="86"/>
      <c r="BD514" s="97">
        <f>Table_15[[#This Row],[Wgt-Bag]]-Table_15[[#This Row],[Total Graded]]-Table_15[[#This Row],[UNDERSIZE]]+0.0011</f>
        <v>1.1000000000000001E-3</v>
      </c>
      <c r="BE514" s="86">
        <f>Table_15[[#This Row],[Total Graded]]-Table_15[[#This Row],[Packing Quantity]]+Table_15[[#This Row],[PACKING LOOSE]]</f>
        <v>0</v>
      </c>
      <c r="BF514" s="34">
        <f>IF(Table_15[[#This Row],[GRADED BAGS]]&gt;0,Table_15[[#This Row],[GRADED BAGS]],Table_15[[#This Row],[Bags]])</f>
        <v>0</v>
      </c>
    </row>
    <row r="515" spans="1:58" ht="15.75" hidden="1" customHeight="1" x14ac:dyDescent="0.35">
      <c r="A515" s="22"/>
      <c r="B515" s="22"/>
      <c r="C515" s="23"/>
      <c r="D515" s="23"/>
      <c r="E515" s="24"/>
      <c r="F515" s="23"/>
      <c r="G515" s="100"/>
      <c r="H515" s="101"/>
      <c r="I515" s="102"/>
      <c r="J515" s="102"/>
      <c r="K515" s="233"/>
      <c r="L515" s="22"/>
      <c r="M515" s="25">
        <f t="shared" ref="M515:M578" si="41">ROUNDUP((K515*L515),0)</f>
        <v>0</v>
      </c>
      <c r="N515" s="25">
        <f t="shared" ref="N515:N578" si="42">(H515-M515)/100</f>
        <v>0</v>
      </c>
      <c r="O515" s="25">
        <f t="shared" ref="O515:O578" si="43">ROUNDUP((H515/90)*0.003,2)</f>
        <v>0</v>
      </c>
      <c r="P515" s="25">
        <f t="shared" ref="P515:P578" si="44">(N515)-O515</f>
        <v>0</v>
      </c>
      <c r="Q515" s="22"/>
      <c r="R515" s="22"/>
      <c r="S515" s="22"/>
      <c r="T515" s="22"/>
      <c r="U515" s="26">
        <f t="shared" ref="U515:U578" si="45">T515*P515</f>
        <v>0</v>
      </c>
      <c r="V515" s="27"/>
      <c r="W515" s="28"/>
      <c r="X515" s="25" t="str">
        <f>+IF(AND('GRADING PACKING'!L$5=INWARDDATA!J515,'GRADING PACKING'!L$6=INWARDDATA!I515,AB515=0),"TRUE","FALSE")</f>
        <v>FALSE</v>
      </c>
      <c r="Y515" s="29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1"/>
      <c r="AK515" s="31"/>
      <c r="AL515" s="31"/>
      <c r="AM515" s="31"/>
      <c r="AN515" s="32" t="str">
        <f>+IF(AND('GRADING PACKING'!L$5=INWARDDATA!J515,'GRADING PACKING'!L$6=INWARDDATA!I515,AR515=0),"good","bad")</f>
        <v>bad</v>
      </c>
      <c r="AO515" s="33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86"/>
      <c r="BC515" s="86"/>
      <c r="BD515" s="97">
        <f>Table_15[[#This Row],[Wgt-Bag]]-Table_15[[#This Row],[Total Graded]]-Table_15[[#This Row],[UNDERSIZE]]+0.0011</f>
        <v>1.1000000000000001E-3</v>
      </c>
      <c r="BE515" s="86">
        <f>Table_15[[#This Row],[Total Graded]]-Table_15[[#This Row],[Packing Quantity]]+Table_15[[#This Row],[PACKING LOOSE]]</f>
        <v>0</v>
      </c>
      <c r="BF515" s="34">
        <f>IF(Table_15[[#This Row],[GRADED BAGS]]&gt;0,Table_15[[#This Row],[GRADED BAGS]],Table_15[[#This Row],[Bags]])</f>
        <v>0</v>
      </c>
    </row>
    <row r="516" spans="1:58" ht="15.75" hidden="1" customHeight="1" x14ac:dyDescent="0.35">
      <c r="A516" s="22"/>
      <c r="B516" s="22"/>
      <c r="C516" s="23"/>
      <c r="D516" s="23"/>
      <c r="E516" s="24"/>
      <c r="F516" s="23"/>
      <c r="G516" s="100"/>
      <c r="H516" s="101"/>
      <c r="I516" s="102"/>
      <c r="J516" s="102"/>
      <c r="K516" s="233"/>
      <c r="L516" s="22"/>
      <c r="M516" s="25">
        <f t="shared" si="41"/>
        <v>0</v>
      </c>
      <c r="N516" s="25">
        <f t="shared" si="42"/>
        <v>0</v>
      </c>
      <c r="O516" s="25">
        <f t="shared" si="43"/>
        <v>0</v>
      </c>
      <c r="P516" s="25">
        <f t="shared" si="44"/>
        <v>0</v>
      </c>
      <c r="Q516" s="22"/>
      <c r="R516" s="22"/>
      <c r="S516" s="22"/>
      <c r="T516" s="22"/>
      <c r="U516" s="26">
        <f t="shared" si="45"/>
        <v>0</v>
      </c>
      <c r="V516" s="27"/>
      <c r="W516" s="28"/>
      <c r="X516" s="25" t="str">
        <f>+IF(AND('GRADING PACKING'!L$5=INWARDDATA!J516,'GRADING PACKING'!L$6=INWARDDATA!I516,AB516=0),"TRUE","FALSE")</f>
        <v>FALSE</v>
      </c>
      <c r="Y516" s="29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1"/>
      <c r="AK516" s="31"/>
      <c r="AL516" s="31"/>
      <c r="AM516" s="31"/>
      <c r="AN516" s="32" t="str">
        <f>+IF(AND('GRADING PACKING'!L$5=INWARDDATA!J516,'GRADING PACKING'!L$6=INWARDDATA!I516,AR516=0),"good","bad")</f>
        <v>bad</v>
      </c>
      <c r="AO516" s="33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86"/>
      <c r="BC516" s="86"/>
      <c r="BD516" s="97">
        <f>Table_15[[#This Row],[Wgt-Bag]]-Table_15[[#This Row],[Total Graded]]-Table_15[[#This Row],[UNDERSIZE]]+0.0011</f>
        <v>1.1000000000000001E-3</v>
      </c>
      <c r="BE516" s="86">
        <f>Table_15[[#This Row],[Total Graded]]-Table_15[[#This Row],[Packing Quantity]]+Table_15[[#This Row],[PACKING LOOSE]]</f>
        <v>0</v>
      </c>
      <c r="BF516" s="34">
        <f>IF(Table_15[[#This Row],[GRADED BAGS]]&gt;0,Table_15[[#This Row],[GRADED BAGS]],Table_15[[#This Row],[Bags]])</f>
        <v>0</v>
      </c>
    </row>
    <row r="517" spans="1:58" ht="15.75" hidden="1" customHeight="1" x14ac:dyDescent="0.35">
      <c r="A517" s="22"/>
      <c r="B517" s="22"/>
      <c r="C517" s="23"/>
      <c r="D517" s="23"/>
      <c r="E517" s="24"/>
      <c r="F517" s="23"/>
      <c r="G517" s="100"/>
      <c r="H517" s="101"/>
      <c r="I517" s="102"/>
      <c r="J517" s="102"/>
      <c r="K517" s="233"/>
      <c r="L517" s="22"/>
      <c r="M517" s="25">
        <f t="shared" si="41"/>
        <v>0</v>
      </c>
      <c r="N517" s="25">
        <f t="shared" si="42"/>
        <v>0</v>
      </c>
      <c r="O517" s="25">
        <f t="shared" si="43"/>
        <v>0</v>
      </c>
      <c r="P517" s="25">
        <f t="shared" si="44"/>
        <v>0</v>
      </c>
      <c r="Q517" s="22"/>
      <c r="R517" s="22"/>
      <c r="S517" s="22"/>
      <c r="T517" s="22"/>
      <c r="U517" s="26">
        <f t="shared" si="45"/>
        <v>0</v>
      </c>
      <c r="V517" s="27"/>
      <c r="W517" s="28"/>
      <c r="X517" s="25" t="str">
        <f>+IF(AND('GRADING PACKING'!L$5=INWARDDATA!J517,'GRADING PACKING'!L$6=INWARDDATA!I517,AB517=0),"TRUE","FALSE")</f>
        <v>FALSE</v>
      </c>
      <c r="Y517" s="29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1"/>
      <c r="AK517" s="31"/>
      <c r="AL517" s="31"/>
      <c r="AM517" s="31"/>
      <c r="AN517" s="32" t="str">
        <f>+IF(AND('GRADING PACKING'!L$5=INWARDDATA!J517,'GRADING PACKING'!L$6=INWARDDATA!I517,AR517=0),"good","bad")</f>
        <v>bad</v>
      </c>
      <c r="AO517" s="33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86"/>
      <c r="BC517" s="86"/>
      <c r="BD517" s="97">
        <f>Table_15[[#This Row],[Wgt-Bag]]-Table_15[[#This Row],[Total Graded]]-Table_15[[#This Row],[UNDERSIZE]]+0.0011</f>
        <v>1.1000000000000001E-3</v>
      </c>
      <c r="BE517" s="86">
        <f>Table_15[[#This Row],[Total Graded]]-Table_15[[#This Row],[Packing Quantity]]+Table_15[[#This Row],[PACKING LOOSE]]</f>
        <v>0</v>
      </c>
      <c r="BF517" s="34">
        <f>IF(Table_15[[#This Row],[GRADED BAGS]]&gt;0,Table_15[[#This Row],[GRADED BAGS]],Table_15[[#This Row],[Bags]])</f>
        <v>0</v>
      </c>
    </row>
    <row r="518" spans="1:58" ht="15.75" hidden="1" customHeight="1" x14ac:dyDescent="0.35">
      <c r="A518" s="22"/>
      <c r="B518" s="22"/>
      <c r="C518" s="23"/>
      <c r="D518" s="23"/>
      <c r="E518" s="24"/>
      <c r="F518" s="23"/>
      <c r="G518" s="100"/>
      <c r="H518" s="101"/>
      <c r="I518" s="102"/>
      <c r="J518" s="102"/>
      <c r="K518" s="233"/>
      <c r="L518" s="22"/>
      <c r="M518" s="25">
        <f t="shared" si="41"/>
        <v>0</v>
      </c>
      <c r="N518" s="25">
        <f t="shared" si="42"/>
        <v>0</v>
      </c>
      <c r="O518" s="25">
        <f t="shared" si="43"/>
        <v>0</v>
      </c>
      <c r="P518" s="25">
        <f t="shared" si="44"/>
        <v>0</v>
      </c>
      <c r="Q518" s="22"/>
      <c r="R518" s="22"/>
      <c r="S518" s="22"/>
      <c r="T518" s="22"/>
      <c r="U518" s="26">
        <f t="shared" si="45"/>
        <v>0</v>
      </c>
      <c r="V518" s="27"/>
      <c r="W518" s="28"/>
      <c r="X518" s="25" t="str">
        <f>+IF(AND('GRADING PACKING'!L$5=INWARDDATA!J518,'GRADING PACKING'!L$6=INWARDDATA!I518,AB518=0),"TRUE","FALSE")</f>
        <v>FALSE</v>
      </c>
      <c r="Y518" s="29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1"/>
      <c r="AK518" s="31"/>
      <c r="AL518" s="31"/>
      <c r="AM518" s="31"/>
      <c r="AN518" s="32" t="str">
        <f>+IF(AND('GRADING PACKING'!L$5=INWARDDATA!J518,'GRADING PACKING'!L$6=INWARDDATA!I518,AR518=0),"good","bad")</f>
        <v>bad</v>
      </c>
      <c r="AO518" s="33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86"/>
      <c r="BC518" s="86"/>
      <c r="BD518" s="97">
        <f>Table_15[[#This Row],[Wgt-Bag]]-Table_15[[#This Row],[Total Graded]]-Table_15[[#This Row],[UNDERSIZE]]+0.0011</f>
        <v>1.1000000000000001E-3</v>
      </c>
      <c r="BE518" s="86">
        <f>Table_15[[#This Row],[Total Graded]]-Table_15[[#This Row],[Packing Quantity]]+Table_15[[#This Row],[PACKING LOOSE]]</f>
        <v>0</v>
      </c>
      <c r="BF518" s="34">
        <f>IF(Table_15[[#This Row],[GRADED BAGS]]&gt;0,Table_15[[#This Row],[GRADED BAGS]],Table_15[[#This Row],[Bags]])</f>
        <v>0</v>
      </c>
    </row>
    <row r="519" spans="1:58" ht="15.75" hidden="1" customHeight="1" x14ac:dyDescent="0.35">
      <c r="A519" s="22"/>
      <c r="B519" s="22"/>
      <c r="C519" s="23"/>
      <c r="D519" s="23"/>
      <c r="E519" s="24"/>
      <c r="F519" s="23"/>
      <c r="G519" s="100"/>
      <c r="H519" s="101"/>
      <c r="I519" s="102"/>
      <c r="J519" s="102"/>
      <c r="K519" s="233"/>
      <c r="L519" s="22"/>
      <c r="M519" s="25">
        <f t="shared" si="41"/>
        <v>0</v>
      </c>
      <c r="N519" s="25">
        <f t="shared" si="42"/>
        <v>0</v>
      </c>
      <c r="O519" s="25">
        <f t="shared" si="43"/>
        <v>0</v>
      </c>
      <c r="P519" s="25">
        <f t="shared" si="44"/>
        <v>0</v>
      </c>
      <c r="Q519" s="22"/>
      <c r="R519" s="22"/>
      <c r="S519" s="22"/>
      <c r="T519" s="22"/>
      <c r="U519" s="26">
        <f t="shared" si="45"/>
        <v>0</v>
      </c>
      <c r="V519" s="27"/>
      <c r="W519" s="28"/>
      <c r="X519" s="25" t="str">
        <f>+IF(AND('GRADING PACKING'!L$5=INWARDDATA!J519,'GRADING PACKING'!L$6=INWARDDATA!I519,AB519=0),"TRUE","FALSE")</f>
        <v>FALSE</v>
      </c>
      <c r="Y519" s="29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1"/>
      <c r="AK519" s="31"/>
      <c r="AL519" s="31"/>
      <c r="AM519" s="31"/>
      <c r="AN519" s="32" t="str">
        <f>+IF(AND('GRADING PACKING'!L$5=INWARDDATA!J519,'GRADING PACKING'!L$6=INWARDDATA!I519,AR519=0),"good","bad")</f>
        <v>bad</v>
      </c>
      <c r="AO519" s="33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86"/>
      <c r="BC519" s="86"/>
      <c r="BD519" s="97">
        <f>Table_15[[#This Row],[Wgt-Bag]]-Table_15[[#This Row],[Total Graded]]-Table_15[[#This Row],[UNDERSIZE]]+0.0011</f>
        <v>1.1000000000000001E-3</v>
      </c>
      <c r="BE519" s="86">
        <f>Table_15[[#This Row],[Total Graded]]-Table_15[[#This Row],[Packing Quantity]]+Table_15[[#This Row],[PACKING LOOSE]]</f>
        <v>0</v>
      </c>
      <c r="BF519" s="34">
        <f>IF(Table_15[[#This Row],[GRADED BAGS]]&gt;0,Table_15[[#This Row],[GRADED BAGS]],Table_15[[#This Row],[Bags]])</f>
        <v>0</v>
      </c>
    </row>
    <row r="520" spans="1:58" ht="15.75" hidden="1" customHeight="1" x14ac:dyDescent="0.35">
      <c r="A520" s="22"/>
      <c r="B520" s="22"/>
      <c r="C520" s="23"/>
      <c r="D520" s="23"/>
      <c r="E520" s="24"/>
      <c r="F520" s="23"/>
      <c r="G520" s="100"/>
      <c r="H520" s="101"/>
      <c r="I520" s="102"/>
      <c r="J520" s="102"/>
      <c r="K520" s="233"/>
      <c r="L520" s="22"/>
      <c r="M520" s="25">
        <f t="shared" si="41"/>
        <v>0</v>
      </c>
      <c r="N520" s="25">
        <f t="shared" si="42"/>
        <v>0</v>
      </c>
      <c r="O520" s="25">
        <f t="shared" si="43"/>
        <v>0</v>
      </c>
      <c r="P520" s="25">
        <f t="shared" si="44"/>
        <v>0</v>
      </c>
      <c r="Q520" s="22"/>
      <c r="R520" s="22"/>
      <c r="S520" s="22"/>
      <c r="T520" s="22"/>
      <c r="U520" s="26">
        <f t="shared" si="45"/>
        <v>0</v>
      </c>
      <c r="V520" s="27"/>
      <c r="W520" s="28"/>
      <c r="X520" s="25" t="str">
        <f>+IF(AND('GRADING PACKING'!L$5=INWARDDATA!J520,'GRADING PACKING'!L$6=INWARDDATA!I520,AB520=0),"TRUE","FALSE")</f>
        <v>FALSE</v>
      </c>
      <c r="Y520" s="29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1"/>
      <c r="AK520" s="31"/>
      <c r="AL520" s="31"/>
      <c r="AM520" s="31"/>
      <c r="AN520" s="32" t="str">
        <f>+IF(AND('GRADING PACKING'!L$5=INWARDDATA!J520,'GRADING PACKING'!L$6=INWARDDATA!I520,AR520=0),"good","bad")</f>
        <v>bad</v>
      </c>
      <c r="AO520" s="33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86"/>
      <c r="BC520" s="86"/>
      <c r="BD520" s="97">
        <f>Table_15[[#This Row],[Wgt-Bag]]-Table_15[[#This Row],[Total Graded]]-Table_15[[#This Row],[UNDERSIZE]]+0.0011</f>
        <v>1.1000000000000001E-3</v>
      </c>
      <c r="BE520" s="86">
        <f>Table_15[[#This Row],[Total Graded]]-Table_15[[#This Row],[Packing Quantity]]+Table_15[[#This Row],[PACKING LOOSE]]</f>
        <v>0</v>
      </c>
      <c r="BF520" s="34">
        <f>IF(Table_15[[#This Row],[GRADED BAGS]]&gt;0,Table_15[[#This Row],[GRADED BAGS]],Table_15[[#This Row],[Bags]])</f>
        <v>0</v>
      </c>
    </row>
    <row r="521" spans="1:58" ht="15.75" hidden="1" customHeight="1" x14ac:dyDescent="0.35">
      <c r="A521" s="22"/>
      <c r="B521" s="22"/>
      <c r="C521" s="23"/>
      <c r="D521" s="23"/>
      <c r="E521" s="24"/>
      <c r="F521" s="23"/>
      <c r="G521" s="100"/>
      <c r="H521" s="101"/>
      <c r="I521" s="102"/>
      <c r="J521" s="102"/>
      <c r="K521" s="233"/>
      <c r="L521" s="22"/>
      <c r="M521" s="25">
        <f t="shared" si="41"/>
        <v>0</v>
      </c>
      <c r="N521" s="25">
        <f t="shared" si="42"/>
        <v>0</v>
      </c>
      <c r="O521" s="25">
        <f t="shared" si="43"/>
        <v>0</v>
      </c>
      <c r="P521" s="25">
        <f t="shared" si="44"/>
        <v>0</v>
      </c>
      <c r="Q521" s="22"/>
      <c r="R521" s="22"/>
      <c r="S521" s="22"/>
      <c r="T521" s="22"/>
      <c r="U521" s="26">
        <f t="shared" si="45"/>
        <v>0</v>
      </c>
      <c r="V521" s="27"/>
      <c r="W521" s="28"/>
      <c r="X521" s="25" t="str">
        <f>+IF(AND('GRADING PACKING'!L$5=INWARDDATA!J521,'GRADING PACKING'!L$6=INWARDDATA!I521,AB521=0),"TRUE","FALSE")</f>
        <v>FALSE</v>
      </c>
      <c r="Y521" s="29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1"/>
      <c r="AK521" s="31"/>
      <c r="AL521" s="31"/>
      <c r="AM521" s="31"/>
      <c r="AN521" s="32" t="str">
        <f>+IF(AND('GRADING PACKING'!L$5=INWARDDATA!J521,'GRADING PACKING'!L$6=INWARDDATA!I521,AR521=0),"good","bad")</f>
        <v>bad</v>
      </c>
      <c r="AO521" s="33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86"/>
      <c r="BC521" s="86"/>
      <c r="BD521" s="97">
        <f>Table_15[[#This Row],[Wgt-Bag]]-Table_15[[#This Row],[Total Graded]]-Table_15[[#This Row],[UNDERSIZE]]+0.0011</f>
        <v>1.1000000000000001E-3</v>
      </c>
      <c r="BE521" s="86">
        <f>Table_15[[#This Row],[Total Graded]]-Table_15[[#This Row],[Packing Quantity]]+Table_15[[#This Row],[PACKING LOOSE]]</f>
        <v>0</v>
      </c>
      <c r="BF521" s="34">
        <f>IF(Table_15[[#This Row],[GRADED BAGS]]&gt;0,Table_15[[#This Row],[GRADED BAGS]],Table_15[[#This Row],[Bags]])</f>
        <v>0</v>
      </c>
    </row>
    <row r="522" spans="1:58" ht="15.75" hidden="1" customHeight="1" x14ac:dyDescent="0.35">
      <c r="A522" s="22"/>
      <c r="B522" s="22"/>
      <c r="C522" s="23"/>
      <c r="D522" s="23"/>
      <c r="E522" s="24"/>
      <c r="F522" s="23"/>
      <c r="G522" s="100"/>
      <c r="H522" s="101"/>
      <c r="I522" s="102"/>
      <c r="J522" s="102"/>
      <c r="K522" s="233"/>
      <c r="L522" s="22"/>
      <c r="M522" s="25">
        <f t="shared" si="41"/>
        <v>0</v>
      </c>
      <c r="N522" s="25">
        <f t="shared" si="42"/>
        <v>0</v>
      </c>
      <c r="O522" s="25">
        <f t="shared" si="43"/>
        <v>0</v>
      </c>
      <c r="P522" s="25">
        <f t="shared" si="44"/>
        <v>0</v>
      </c>
      <c r="Q522" s="22"/>
      <c r="R522" s="22"/>
      <c r="S522" s="22"/>
      <c r="T522" s="22"/>
      <c r="U522" s="26">
        <f t="shared" si="45"/>
        <v>0</v>
      </c>
      <c r="V522" s="27"/>
      <c r="W522" s="28"/>
      <c r="X522" s="25" t="str">
        <f>+IF(AND('GRADING PACKING'!L$5=INWARDDATA!J522,'GRADING PACKING'!L$6=INWARDDATA!I522,AB522=0),"TRUE","FALSE")</f>
        <v>FALSE</v>
      </c>
      <c r="Y522" s="29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1"/>
      <c r="AK522" s="31"/>
      <c r="AL522" s="31"/>
      <c r="AM522" s="31"/>
      <c r="AN522" s="32" t="str">
        <f>+IF(AND('GRADING PACKING'!L$5=INWARDDATA!J522,'GRADING PACKING'!L$6=INWARDDATA!I522,AR522=0),"good","bad")</f>
        <v>bad</v>
      </c>
      <c r="AO522" s="33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86"/>
      <c r="BC522" s="86"/>
      <c r="BD522" s="97">
        <f>Table_15[[#This Row],[Wgt-Bag]]-Table_15[[#This Row],[Total Graded]]-Table_15[[#This Row],[UNDERSIZE]]+0.0011</f>
        <v>1.1000000000000001E-3</v>
      </c>
      <c r="BE522" s="86">
        <f>Table_15[[#This Row],[Total Graded]]-Table_15[[#This Row],[Packing Quantity]]+Table_15[[#This Row],[PACKING LOOSE]]</f>
        <v>0</v>
      </c>
      <c r="BF522" s="34">
        <f>IF(Table_15[[#This Row],[GRADED BAGS]]&gt;0,Table_15[[#This Row],[GRADED BAGS]],Table_15[[#This Row],[Bags]])</f>
        <v>0</v>
      </c>
    </row>
    <row r="523" spans="1:58" ht="15.75" hidden="1" customHeight="1" x14ac:dyDescent="0.35">
      <c r="A523" s="22"/>
      <c r="B523" s="22"/>
      <c r="C523" s="23"/>
      <c r="D523" s="23"/>
      <c r="E523" s="24"/>
      <c r="F523" s="23"/>
      <c r="G523" s="100"/>
      <c r="H523" s="101"/>
      <c r="I523" s="102"/>
      <c r="J523" s="102"/>
      <c r="K523" s="233"/>
      <c r="L523" s="22"/>
      <c r="M523" s="25">
        <f t="shared" si="41"/>
        <v>0</v>
      </c>
      <c r="N523" s="25">
        <f t="shared" si="42"/>
        <v>0</v>
      </c>
      <c r="O523" s="25">
        <f t="shared" si="43"/>
        <v>0</v>
      </c>
      <c r="P523" s="25">
        <f t="shared" si="44"/>
        <v>0</v>
      </c>
      <c r="Q523" s="22"/>
      <c r="R523" s="22"/>
      <c r="S523" s="22"/>
      <c r="T523" s="22"/>
      <c r="U523" s="26">
        <f t="shared" si="45"/>
        <v>0</v>
      </c>
      <c r="V523" s="27"/>
      <c r="W523" s="28"/>
      <c r="X523" s="25" t="str">
        <f>+IF(AND('GRADING PACKING'!L$5=INWARDDATA!J523,'GRADING PACKING'!L$6=INWARDDATA!I523,AB523=0),"TRUE","FALSE")</f>
        <v>FALSE</v>
      </c>
      <c r="Y523" s="29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1"/>
      <c r="AK523" s="31"/>
      <c r="AL523" s="31"/>
      <c r="AM523" s="31"/>
      <c r="AN523" s="32" t="str">
        <f>+IF(AND('GRADING PACKING'!L$5=INWARDDATA!J523,'GRADING PACKING'!L$6=INWARDDATA!I523,AR523=0),"good","bad")</f>
        <v>bad</v>
      </c>
      <c r="AO523" s="33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86"/>
      <c r="BC523" s="86"/>
      <c r="BD523" s="97">
        <f>Table_15[[#This Row],[Wgt-Bag]]-Table_15[[#This Row],[Total Graded]]-Table_15[[#This Row],[UNDERSIZE]]+0.0011</f>
        <v>1.1000000000000001E-3</v>
      </c>
      <c r="BE523" s="86">
        <f>Table_15[[#This Row],[Total Graded]]-Table_15[[#This Row],[Packing Quantity]]+Table_15[[#This Row],[PACKING LOOSE]]</f>
        <v>0</v>
      </c>
      <c r="BF523" s="34">
        <f>IF(Table_15[[#This Row],[GRADED BAGS]]&gt;0,Table_15[[#This Row],[GRADED BAGS]],Table_15[[#This Row],[Bags]])</f>
        <v>0</v>
      </c>
    </row>
    <row r="524" spans="1:58" ht="15.75" hidden="1" customHeight="1" x14ac:dyDescent="0.35">
      <c r="A524" s="22"/>
      <c r="B524" s="22"/>
      <c r="C524" s="23"/>
      <c r="D524" s="23"/>
      <c r="E524" s="24"/>
      <c r="F524" s="23"/>
      <c r="G524" s="100"/>
      <c r="H524" s="101"/>
      <c r="I524" s="102"/>
      <c r="J524" s="102"/>
      <c r="K524" s="233"/>
      <c r="L524" s="22"/>
      <c r="M524" s="25">
        <f t="shared" si="41"/>
        <v>0</v>
      </c>
      <c r="N524" s="25">
        <f t="shared" si="42"/>
        <v>0</v>
      </c>
      <c r="O524" s="25">
        <f t="shared" si="43"/>
        <v>0</v>
      </c>
      <c r="P524" s="25">
        <f t="shared" si="44"/>
        <v>0</v>
      </c>
      <c r="Q524" s="22"/>
      <c r="R524" s="22"/>
      <c r="S524" s="22"/>
      <c r="T524" s="22"/>
      <c r="U524" s="26">
        <f t="shared" si="45"/>
        <v>0</v>
      </c>
      <c r="V524" s="27"/>
      <c r="W524" s="28"/>
      <c r="X524" s="25" t="str">
        <f>+IF(AND('GRADING PACKING'!L$5=INWARDDATA!J524,'GRADING PACKING'!L$6=INWARDDATA!I524,AB524=0),"TRUE","FALSE")</f>
        <v>FALSE</v>
      </c>
      <c r="Y524" s="29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1"/>
      <c r="AK524" s="31"/>
      <c r="AL524" s="31"/>
      <c r="AM524" s="31"/>
      <c r="AN524" s="32" t="str">
        <f>+IF(AND('GRADING PACKING'!L$5=INWARDDATA!J524,'GRADING PACKING'!L$6=INWARDDATA!I524,AR524=0),"good","bad")</f>
        <v>bad</v>
      </c>
      <c r="AO524" s="33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86"/>
      <c r="BC524" s="86"/>
      <c r="BD524" s="97">
        <f>Table_15[[#This Row],[Wgt-Bag]]-Table_15[[#This Row],[Total Graded]]-Table_15[[#This Row],[UNDERSIZE]]+0.0011</f>
        <v>1.1000000000000001E-3</v>
      </c>
      <c r="BE524" s="86">
        <f>Table_15[[#This Row],[Total Graded]]-Table_15[[#This Row],[Packing Quantity]]+Table_15[[#This Row],[PACKING LOOSE]]</f>
        <v>0</v>
      </c>
      <c r="BF524" s="34">
        <f>IF(Table_15[[#This Row],[GRADED BAGS]]&gt;0,Table_15[[#This Row],[GRADED BAGS]],Table_15[[#This Row],[Bags]])</f>
        <v>0</v>
      </c>
    </row>
    <row r="525" spans="1:58" ht="15.75" hidden="1" customHeight="1" x14ac:dyDescent="0.35">
      <c r="A525" s="22"/>
      <c r="B525" s="22"/>
      <c r="C525" s="23"/>
      <c r="D525" s="23"/>
      <c r="E525" s="24"/>
      <c r="F525" s="23"/>
      <c r="G525" s="100"/>
      <c r="H525" s="101"/>
      <c r="I525" s="102"/>
      <c r="J525" s="102"/>
      <c r="K525" s="233"/>
      <c r="L525" s="22"/>
      <c r="M525" s="25">
        <f t="shared" si="41"/>
        <v>0</v>
      </c>
      <c r="N525" s="25">
        <f t="shared" si="42"/>
        <v>0</v>
      </c>
      <c r="O525" s="25">
        <f t="shared" si="43"/>
        <v>0</v>
      </c>
      <c r="P525" s="25">
        <f t="shared" si="44"/>
        <v>0</v>
      </c>
      <c r="Q525" s="22"/>
      <c r="R525" s="22"/>
      <c r="S525" s="22"/>
      <c r="T525" s="22"/>
      <c r="U525" s="26">
        <f t="shared" si="45"/>
        <v>0</v>
      </c>
      <c r="V525" s="27"/>
      <c r="W525" s="28"/>
      <c r="X525" s="25" t="str">
        <f>+IF(AND('GRADING PACKING'!L$5=INWARDDATA!J525,'GRADING PACKING'!L$6=INWARDDATA!I525,AB525=0),"TRUE","FALSE")</f>
        <v>FALSE</v>
      </c>
      <c r="Y525" s="29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1"/>
      <c r="AK525" s="31"/>
      <c r="AL525" s="31"/>
      <c r="AM525" s="31"/>
      <c r="AN525" s="32" t="str">
        <f>+IF(AND('GRADING PACKING'!L$5=INWARDDATA!J525,'GRADING PACKING'!L$6=INWARDDATA!I525,AR525=0),"good","bad")</f>
        <v>bad</v>
      </c>
      <c r="AO525" s="33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86"/>
      <c r="BC525" s="86"/>
      <c r="BD525" s="97">
        <f>Table_15[[#This Row],[Wgt-Bag]]-Table_15[[#This Row],[Total Graded]]-Table_15[[#This Row],[UNDERSIZE]]+0.0011</f>
        <v>1.1000000000000001E-3</v>
      </c>
      <c r="BE525" s="86">
        <f>Table_15[[#This Row],[Total Graded]]-Table_15[[#This Row],[Packing Quantity]]+Table_15[[#This Row],[PACKING LOOSE]]</f>
        <v>0</v>
      </c>
      <c r="BF525" s="34">
        <f>IF(Table_15[[#This Row],[GRADED BAGS]]&gt;0,Table_15[[#This Row],[GRADED BAGS]],Table_15[[#This Row],[Bags]])</f>
        <v>0</v>
      </c>
    </row>
    <row r="526" spans="1:58" ht="15.75" hidden="1" customHeight="1" x14ac:dyDescent="0.35">
      <c r="A526" s="22"/>
      <c r="B526" s="22"/>
      <c r="C526" s="23"/>
      <c r="D526" s="23"/>
      <c r="E526" s="24"/>
      <c r="F526" s="23"/>
      <c r="G526" s="100"/>
      <c r="H526" s="101"/>
      <c r="I526" s="102"/>
      <c r="J526" s="102"/>
      <c r="K526" s="233"/>
      <c r="L526" s="22"/>
      <c r="M526" s="25">
        <f t="shared" si="41"/>
        <v>0</v>
      </c>
      <c r="N526" s="25">
        <f t="shared" si="42"/>
        <v>0</v>
      </c>
      <c r="O526" s="25">
        <f t="shared" si="43"/>
        <v>0</v>
      </c>
      <c r="P526" s="25">
        <f t="shared" si="44"/>
        <v>0</v>
      </c>
      <c r="Q526" s="22"/>
      <c r="R526" s="22"/>
      <c r="S526" s="22"/>
      <c r="T526" s="22"/>
      <c r="U526" s="26">
        <f t="shared" si="45"/>
        <v>0</v>
      </c>
      <c r="V526" s="27"/>
      <c r="W526" s="28"/>
      <c r="X526" s="25" t="str">
        <f>+IF(AND('GRADING PACKING'!L$5=INWARDDATA!J526,'GRADING PACKING'!L$6=INWARDDATA!I526,AB526=0),"TRUE","FALSE")</f>
        <v>FALSE</v>
      </c>
      <c r="Y526" s="29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1"/>
      <c r="AK526" s="31"/>
      <c r="AL526" s="31"/>
      <c r="AM526" s="31"/>
      <c r="AN526" s="32" t="str">
        <f>+IF(AND('GRADING PACKING'!L$5=INWARDDATA!J526,'GRADING PACKING'!L$6=INWARDDATA!I526,AR526=0),"good","bad")</f>
        <v>bad</v>
      </c>
      <c r="AO526" s="33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86"/>
      <c r="BC526" s="86"/>
      <c r="BD526" s="97">
        <f>Table_15[[#This Row],[Wgt-Bag]]-Table_15[[#This Row],[Total Graded]]-Table_15[[#This Row],[UNDERSIZE]]+0.0011</f>
        <v>1.1000000000000001E-3</v>
      </c>
      <c r="BE526" s="86">
        <f>Table_15[[#This Row],[Total Graded]]-Table_15[[#This Row],[Packing Quantity]]+Table_15[[#This Row],[PACKING LOOSE]]</f>
        <v>0</v>
      </c>
      <c r="BF526" s="34">
        <f>IF(Table_15[[#This Row],[GRADED BAGS]]&gt;0,Table_15[[#This Row],[GRADED BAGS]],Table_15[[#This Row],[Bags]])</f>
        <v>0</v>
      </c>
    </row>
    <row r="527" spans="1:58" ht="15.75" hidden="1" customHeight="1" x14ac:dyDescent="0.35">
      <c r="A527" s="22"/>
      <c r="B527" s="22"/>
      <c r="C527" s="23"/>
      <c r="D527" s="23"/>
      <c r="E527" s="24"/>
      <c r="F527" s="23"/>
      <c r="G527" s="100"/>
      <c r="H527" s="101"/>
      <c r="I527" s="102"/>
      <c r="J527" s="102"/>
      <c r="K527" s="233"/>
      <c r="L527" s="22"/>
      <c r="M527" s="25">
        <f t="shared" si="41"/>
        <v>0</v>
      </c>
      <c r="N527" s="25">
        <f t="shared" si="42"/>
        <v>0</v>
      </c>
      <c r="O527" s="25">
        <f t="shared" si="43"/>
        <v>0</v>
      </c>
      <c r="P527" s="25">
        <f t="shared" si="44"/>
        <v>0</v>
      </c>
      <c r="Q527" s="22"/>
      <c r="R527" s="22"/>
      <c r="S527" s="22"/>
      <c r="T527" s="22"/>
      <c r="U527" s="26">
        <f t="shared" si="45"/>
        <v>0</v>
      </c>
      <c r="V527" s="27"/>
      <c r="W527" s="28"/>
      <c r="X527" s="25" t="str">
        <f>+IF(AND('GRADING PACKING'!L$5=INWARDDATA!J527,'GRADING PACKING'!L$6=INWARDDATA!I527,AB527=0),"TRUE","FALSE")</f>
        <v>FALSE</v>
      </c>
      <c r="Y527" s="29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1"/>
      <c r="AK527" s="31"/>
      <c r="AL527" s="31"/>
      <c r="AM527" s="31"/>
      <c r="AN527" s="32" t="str">
        <f>+IF(AND('GRADING PACKING'!L$5=INWARDDATA!J527,'GRADING PACKING'!L$6=INWARDDATA!I527,AR527=0),"good","bad")</f>
        <v>bad</v>
      </c>
      <c r="AO527" s="33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86"/>
      <c r="BC527" s="86"/>
      <c r="BD527" s="97">
        <f>Table_15[[#This Row],[Wgt-Bag]]-Table_15[[#This Row],[Total Graded]]-Table_15[[#This Row],[UNDERSIZE]]+0.0011</f>
        <v>1.1000000000000001E-3</v>
      </c>
      <c r="BE527" s="86">
        <f>Table_15[[#This Row],[Total Graded]]-Table_15[[#This Row],[Packing Quantity]]+Table_15[[#This Row],[PACKING LOOSE]]</f>
        <v>0</v>
      </c>
      <c r="BF527" s="34">
        <f>IF(Table_15[[#This Row],[GRADED BAGS]]&gt;0,Table_15[[#This Row],[GRADED BAGS]],Table_15[[#This Row],[Bags]])</f>
        <v>0</v>
      </c>
    </row>
    <row r="528" spans="1:58" ht="15.75" hidden="1" customHeight="1" x14ac:dyDescent="0.35">
      <c r="A528" s="22"/>
      <c r="B528" s="22"/>
      <c r="C528" s="23"/>
      <c r="D528" s="23"/>
      <c r="E528" s="24"/>
      <c r="F528" s="23"/>
      <c r="G528" s="100"/>
      <c r="H528" s="101"/>
      <c r="I528" s="102"/>
      <c r="J528" s="102"/>
      <c r="K528" s="233"/>
      <c r="L528" s="22"/>
      <c r="M528" s="25">
        <f t="shared" si="41"/>
        <v>0</v>
      </c>
      <c r="N528" s="25">
        <f t="shared" si="42"/>
        <v>0</v>
      </c>
      <c r="O528" s="25">
        <f t="shared" si="43"/>
        <v>0</v>
      </c>
      <c r="P528" s="25">
        <f t="shared" si="44"/>
        <v>0</v>
      </c>
      <c r="Q528" s="22"/>
      <c r="R528" s="22"/>
      <c r="S528" s="22"/>
      <c r="T528" s="22"/>
      <c r="U528" s="26">
        <f t="shared" si="45"/>
        <v>0</v>
      </c>
      <c r="V528" s="27"/>
      <c r="W528" s="28"/>
      <c r="X528" s="25" t="str">
        <f>+IF(AND('GRADING PACKING'!L$5=INWARDDATA!J528,'GRADING PACKING'!L$6=INWARDDATA!I528,AB528=0),"TRUE","FALSE")</f>
        <v>FALSE</v>
      </c>
      <c r="Y528" s="29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1"/>
      <c r="AK528" s="31"/>
      <c r="AL528" s="31"/>
      <c r="AM528" s="31"/>
      <c r="AN528" s="32" t="str">
        <f>+IF(AND('GRADING PACKING'!L$5=INWARDDATA!J528,'GRADING PACKING'!L$6=INWARDDATA!I528,AR528=0),"good","bad")</f>
        <v>bad</v>
      </c>
      <c r="AO528" s="33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86"/>
      <c r="BC528" s="86"/>
      <c r="BD528" s="97">
        <f>Table_15[[#This Row],[Wgt-Bag]]-Table_15[[#This Row],[Total Graded]]-Table_15[[#This Row],[UNDERSIZE]]+0.0011</f>
        <v>1.1000000000000001E-3</v>
      </c>
      <c r="BE528" s="86">
        <f>Table_15[[#This Row],[Total Graded]]-Table_15[[#This Row],[Packing Quantity]]+Table_15[[#This Row],[PACKING LOOSE]]</f>
        <v>0</v>
      </c>
      <c r="BF528" s="34">
        <f>IF(Table_15[[#This Row],[GRADED BAGS]]&gt;0,Table_15[[#This Row],[GRADED BAGS]],Table_15[[#This Row],[Bags]])</f>
        <v>0</v>
      </c>
    </row>
    <row r="529" spans="1:58" ht="15.75" hidden="1" customHeight="1" x14ac:dyDescent="0.35">
      <c r="A529" s="22"/>
      <c r="B529" s="22"/>
      <c r="C529" s="23"/>
      <c r="D529" s="23"/>
      <c r="E529" s="24"/>
      <c r="F529" s="23"/>
      <c r="G529" s="100"/>
      <c r="H529" s="101"/>
      <c r="I529" s="102"/>
      <c r="J529" s="102"/>
      <c r="K529" s="233"/>
      <c r="L529" s="22"/>
      <c r="M529" s="25">
        <f t="shared" si="41"/>
        <v>0</v>
      </c>
      <c r="N529" s="25">
        <f t="shared" si="42"/>
        <v>0</v>
      </c>
      <c r="O529" s="25">
        <f t="shared" si="43"/>
        <v>0</v>
      </c>
      <c r="P529" s="25">
        <f t="shared" si="44"/>
        <v>0</v>
      </c>
      <c r="Q529" s="22"/>
      <c r="R529" s="22"/>
      <c r="S529" s="22"/>
      <c r="T529" s="22"/>
      <c r="U529" s="26">
        <f t="shared" si="45"/>
        <v>0</v>
      </c>
      <c r="V529" s="27"/>
      <c r="W529" s="28"/>
      <c r="X529" s="25" t="str">
        <f>+IF(AND('GRADING PACKING'!L$5=INWARDDATA!J529,'GRADING PACKING'!L$6=INWARDDATA!I529,AB529=0),"TRUE","FALSE")</f>
        <v>FALSE</v>
      </c>
      <c r="Y529" s="29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1"/>
      <c r="AK529" s="31"/>
      <c r="AL529" s="31"/>
      <c r="AM529" s="31"/>
      <c r="AN529" s="32" t="str">
        <f>+IF(AND('GRADING PACKING'!L$5=INWARDDATA!J529,'GRADING PACKING'!L$6=INWARDDATA!I529,AR529=0),"good","bad")</f>
        <v>bad</v>
      </c>
      <c r="AO529" s="33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86"/>
      <c r="BC529" s="86"/>
      <c r="BD529" s="97">
        <f>Table_15[[#This Row],[Wgt-Bag]]-Table_15[[#This Row],[Total Graded]]-Table_15[[#This Row],[UNDERSIZE]]+0.0011</f>
        <v>1.1000000000000001E-3</v>
      </c>
      <c r="BE529" s="86">
        <f>Table_15[[#This Row],[Total Graded]]-Table_15[[#This Row],[Packing Quantity]]+Table_15[[#This Row],[PACKING LOOSE]]</f>
        <v>0</v>
      </c>
      <c r="BF529" s="34">
        <f>IF(Table_15[[#This Row],[GRADED BAGS]]&gt;0,Table_15[[#This Row],[GRADED BAGS]],Table_15[[#This Row],[Bags]])</f>
        <v>0</v>
      </c>
    </row>
    <row r="530" spans="1:58" ht="15.75" hidden="1" customHeight="1" x14ac:dyDescent="0.35">
      <c r="A530" s="22"/>
      <c r="B530" s="22"/>
      <c r="C530" s="23"/>
      <c r="D530" s="23"/>
      <c r="E530" s="24"/>
      <c r="F530" s="23"/>
      <c r="G530" s="100"/>
      <c r="H530" s="101"/>
      <c r="I530" s="102"/>
      <c r="J530" s="102"/>
      <c r="K530" s="233"/>
      <c r="L530" s="22"/>
      <c r="M530" s="25">
        <f t="shared" si="41"/>
        <v>0</v>
      </c>
      <c r="N530" s="25">
        <f t="shared" si="42"/>
        <v>0</v>
      </c>
      <c r="O530" s="25">
        <f t="shared" si="43"/>
        <v>0</v>
      </c>
      <c r="P530" s="25">
        <f t="shared" si="44"/>
        <v>0</v>
      </c>
      <c r="Q530" s="22"/>
      <c r="R530" s="22"/>
      <c r="S530" s="22"/>
      <c r="T530" s="22"/>
      <c r="U530" s="26">
        <f t="shared" si="45"/>
        <v>0</v>
      </c>
      <c r="V530" s="27"/>
      <c r="W530" s="28"/>
      <c r="X530" s="25" t="str">
        <f>+IF(AND('GRADING PACKING'!L$5=INWARDDATA!J530,'GRADING PACKING'!L$6=INWARDDATA!I530,AB530=0),"TRUE","FALSE")</f>
        <v>FALSE</v>
      </c>
      <c r="Y530" s="29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1"/>
      <c r="AK530" s="31"/>
      <c r="AL530" s="31"/>
      <c r="AM530" s="31"/>
      <c r="AN530" s="32" t="str">
        <f>+IF(AND('GRADING PACKING'!L$5=INWARDDATA!J530,'GRADING PACKING'!L$6=INWARDDATA!I530,AR530=0),"good","bad")</f>
        <v>bad</v>
      </c>
      <c r="AO530" s="33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86"/>
      <c r="BC530" s="86"/>
      <c r="BD530" s="97">
        <f>Table_15[[#This Row],[Wgt-Bag]]-Table_15[[#This Row],[Total Graded]]-Table_15[[#This Row],[UNDERSIZE]]+0.0011</f>
        <v>1.1000000000000001E-3</v>
      </c>
      <c r="BE530" s="86">
        <f>Table_15[[#This Row],[Total Graded]]-Table_15[[#This Row],[Packing Quantity]]+Table_15[[#This Row],[PACKING LOOSE]]</f>
        <v>0</v>
      </c>
      <c r="BF530" s="34">
        <f>IF(Table_15[[#This Row],[GRADED BAGS]]&gt;0,Table_15[[#This Row],[GRADED BAGS]],Table_15[[#This Row],[Bags]])</f>
        <v>0</v>
      </c>
    </row>
    <row r="531" spans="1:58" ht="15.75" hidden="1" customHeight="1" x14ac:dyDescent="0.35">
      <c r="A531" s="22"/>
      <c r="B531" s="22"/>
      <c r="C531" s="23"/>
      <c r="D531" s="23"/>
      <c r="E531" s="24"/>
      <c r="F531" s="23"/>
      <c r="G531" s="100"/>
      <c r="H531" s="101"/>
      <c r="I531" s="102"/>
      <c r="J531" s="102"/>
      <c r="K531" s="233"/>
      <c r="L531" s="22"/>
      <c r="M531" s="25">
        <f t="shared" si="41"/>
        <v>0</v>
      </c>
      <c r="N531" s="25">
        <f t="shared" si="42"/>
        <v>0</v>
      </c>
      <c r="O531" s="25">
        <f t="shared" si="43"/>
        <v>0</v>
      </c>
      <c r="P531" s="25">
        <f t="shared" si="44"/>
        <v>0</v>
      </c>
      <c r="Q531" s="22"/>
      <c r="R531" s="22"/>
      <c r="S531" s="22"/>
      <c r="T531" s="22"/>
      <c r="U531" s="26">
        <f t="shared" si="45"/>
        <v>0</v>
      </c>
      <c r="V531" s="27"/>
      <c r="W531" s="28"/>
      <c r="X531" s="25" t="str">
        <f>+IF(AND('GRADING PACKING'!L$5=INWARDDATA!J531,'GRADING PACKING'!L$6=INWARDDATA!I531,AB531=0),"TRUE","FALSE")</f>
        <v>FALSE</v>
      </c>
      <c r="Y531" s="29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1"/>
      <c r="AK531" s="31"/>
      <c r="AL531" s="31"/>
      <c r="AM531" s="31"/>
      <c r="AN531" s="32" t="str">
        <f>+IF(AND('GRADING PACKING'!L$5=INWARDDATA!J531,'GRADING PACKING'!L$6=INWARDDATA!I531,AR531=0),"good","bad")</f>
        <v>bad</v>
      </c>
      <c r="AO531" s="33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86"/>
      <c r="BC531" s="86"/>
      <c r="BD531" s="97">
        <f>Table_15[[#This Row],[Wgt-Bag]]-Table_15[[#This Row],[Total Graded]]-Table_15[[#This Row],[UNDERSIZE]]+0.0011</f>
        <v>1.1000000000000001E-3</v>
      </c>
      <c r="BE531" s="86">
        <f>Table_15[[#This Row],[Total Graded]]-Table_15[[#This Row],[Packing Quantity]]+Table_15[[#This Row],[PACKING LOOSE]]</f>
        <v>0</v>
      </c>
      <c r="BF531" s="34">
        <f>IF(Table_15[[#This Row],[GRADED BAGS]]&gt;0,Table_15[[#This Row],[GRADED BAGS]],Table_15[[#This Row],[Bags]])</f>
        <v>0</v>
      </c>
    </row>
    <row r="532" spans="1:58" ht="15.75" hidden="1" customHeight="1" x14ac:dyDescent="0.35">
      <c r="A532" s="22"/>
      <c r="B532" s="22"/>
      <c r="C532" s="23"/>
      <c r="D532" s="23"/>
      <c r="E532" s="24"/>
      <c r="F532" s="23"/>
      <c r="G532" s="100"/>
      <c r="H532" s="101"/>
      <c r="I532" s="102"/>
      <c r="J532" s="102"/>
      <c r="K532" s="233"/>
      <c r="L532" s="22"/>
      <c r="M532" s="25">
        <f t="shared" si="41"/>
        <v>0</v>
      </c>
      <c r="N532" s="25">
        <f t="shared" si="42"/>
        <v>0</v>
      </c>
      <c r="O532" s="25">
        <f t="shared" si="43"/>
        <v>0</v>
      </c>
      <c r="P532" s="25">
        <f t="shared" si="44"/>
        <v>0</v>
      </c>
      <c r="Q532" s="22"/>
      <c r="R532" s="22"/>
      <c r="S532" s="22"/>
      <c r="T532" s="22"/>
      <c r="U532" s="26">
        <f t="shared" si="45"/>
        <v>0</v>
      </c>
      <c r="V532" s="27"/>
      <c r="W532" s="28"/>
      <c r="X532" s="25" t="str">
        <f>+IF(AND('GRADING PACKING'!L$5=INWARDDATA!J532,'GRADING PACKING'!L$6=INWARDDATA!I532,AB532=0),"TRUE","FALSE")</f>
        <v>FALSE</v>
      </c>
      <c r="Y532" s="29"/>
      <c r="Z532" s="22"/>
      <c r="AA532" s="22"/>
      <c r="AB532" s="30"/>
      <c r="AC532" s="30"/>
      <c r="AD532" s="30"/>
      <c r="AE532" s="30"/>
      <c r="AF532" s="30"/>
      <c r="AG532" s="30"/>
      <c r="AH532" s="30"/>
      <c r="AI532" s="30"/>
      <c r="AJ532" s="31"/>
      <c r="AK532" s="31"/>
      <c r="AL532" s="31"/>
      <c r="AM532" s="31"/>
      <c r="AN532" s="32" t="str">
        <f>+IF(AND('GRADING PACKING'!L$5=INWARDDATA!J532,'GRADING PACKING'!L$6=INWARDDATA!I532,AR532=0),"good","bad")</f>
        <v>bad</v>
      </c>
      <c r="AO532" s="33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86"/>
      <c r="BC532" s="86"/>
      <c r="BD532" s="97">
        <f>Table_15[[#This Row],[Wgt-Bag]]-Table_15[[#This Row],[Total Graded]]-Table_15[[#This Row],[UNDERSIZE]]+0.0011</f>
        <v>1.1000000000000001E-3</v>
      </c>
      <c r="BE532" s="86">
        <f>Table_15[[#This Row],[Total Graded]]-Table_15[[#This Row],[Packing Quantity]]+Table_15[[#This Row],[PACKING LOOSE]]</f>
        <v>0</v>
      </c>
      <c r="BF532" s="34">
        <f>IF(Table_15[[#This Row],[GRADED BAGS]]&gt;0,Table_15[[#This Row],[GRADED BAGS]],Table_15[[#This Row],[Bags]])</f>
        <v>0</v>
      </c>
    </row>
    <row r="533" spans="1:58" ht="15.75" hidden="1" customHeight="1" x14ac:dyDescent="0.35">
      <c r="A533" s="22"/>
      <c r="B533" s="22"/>
      <c r="C533" s="23"/>
      <c r="D533" s="23"/>
      <c r="E533" s="24"/>
      <c r="F533" s="23"/>
      <c r="G533" s="100"/>
      <c r="H533" s="101"/>
      <c r="I533" s="102"/>
      <c r="J533" s="102"/>
      <c r="K533" s="233"/>
      <c r="L533" s="22"/>
      <c r="M533" s="25">
        <f t="shared" si="41"/>
        <v>0</v>
      </c>
      <c r="N533" s="25">
        <f t="shared" si="42"/>
        <v>0</v>
      </c>
      <c r="O533" s="25">
        <f t="shared" si="43"/>
        <v>0</v>
      </c>
      <c r="P533" s="25">
        <f t="shared" si="44"/>
        <v>0</v>
      </c>
      <c r="Q533" s="22"/>
      <c r="R533" s="22"/>
      <c r="S533" s="22"/>
      <c r="T533" s="22"/>
      <c r="U533" s="26">
        <f t="shared" si="45"/>
        <v>0</v>
      </c>
      <c r="V533" s="27"/>
      <c r="W533" s="28"/>
      <c r="X533" s="25" t="str">
        <f>+IF(AND('GRADING PACKING'!L$5=INWARDDATA!J533,'GRADING PACKING'!L$6=INWARDDATA!I533,AB533=0),"TRUE","FALSE")</f>
        <v>FALSE</v>
      </c>
      <c r="Y533" s="29"/>
      <c r="Z533" s="22"/>
      <c r="AA533" s="22"/>
      <c r="AB533" s="30"/>
      <c r="AC533" s="30"/>
      <c r="AD533" s="30"/>
      <c r="AE533" s="30"/>
      <c r="AF533" s="30"/>
      <c r="AG533" s="30"/>
      <c r="AH533" s="30"/>
      <c r="AI533" s="30"/>
      <c r="AJ533" s="31"/>
      <c r="AK533" s="31"/>
      <c r="AL533" s="31"/>
      <c r="AM533" s="31"/>
      <c r="AN533" s="32" t="str">
        <f>+IF(AND('GRADING PACKING'!L$5=INWARDDATA!J533,'GRADING PACKING'!L$6=INWARDDATA!I533,AR533=0),"good","bad")</f>
        <v>bad</v>
      </c>
      <c r="AO533" s="33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86"/>
      <c r="BC533" s="86"/>
      <c r="BD533" s="97">
        <f>Table_15[[#This Row],[Wgt-Bag]]-Table_15[[#This Row],[Total Graded]]-Table_15[[#This Row],[UNDERSIZE]]+0.0011</f>
        <v>1.1000000000000001E-3</v>
      </c>
      <c r="BE533" s="86">
        <f>Table_15[[#This Row],[Total Graded]]-Table_15[[#This Row],[Packing Quantity]]+Table_15[[#This Row],[PACKING LOOSE]]</f>
        <v>0</v>
      </c>
      <c r="BF533" s="34">
        <f>IF(Table_15[[#This Row],[GRADED BAGS]]&gt;0,Table_15[[#This Row],[GRADED BAGS]],Table_15[[#This Row],[Bags]])</f>
        <v>0</v>
      </c>
    </row>
    <row r="534" spans="1:58" ht="15.75" hidden="1" customHeight="1" x14ac:dyDescent="0.35">
      <c r="A534" s="22"/>
      <c r="B534" s="22"/>
      <c r="C534" s="23"/>
      <c r="D534" s="23"/>
      <c r="E534" s="24"/>
      <c r="F534" s="23"/>
      <c r="G534" s="100"/>
      <c r="H534" s="101"/>
      <c r="I534" s="102"/>
      <c r="J534" s="102"/>
      <c r="K534" s="233"/>
      <c r="L534" s="22"/>
      <c r="M534" s="25">
        <f t="shared" si="41"/>
        <v>0</v>
      </c>
      <c r="N534" s="25">
        <f t="shared" si="42"/>
        <v>0</v>
      </c>
      <c r="O534" s="25">
        <f t="shared" si="43"/>
        <v>0</v>
      </c>
      <c r="P534" s="25">
        <f t="shared" si="44"/>
        <v>0</v>
      </c>
      <c r="Q534" s="22"/>
      <c r="R534" s="22"/>
      <c r="S534" s="22"/>
      <c r="T534" s="22"/>
      <c r="U534" s="26">
        <f t="shared" si="45"/>
        <v>0</v>
      </c>
      <c r="V534" s="27"/>
      <c r="W534" s="28"/>
      <c r="X534" s="25" t="str">
        <f>+IF(AND('GRADING PACKING'!L$5=INWARDDATA!J534,'GRADING PACKING'!L$6=INWARDDATA!I534,AB534=0),"TRUE","FALSE")</f>
        <v>FALSE</v>
      </c>
      <c r="Y534" s="29"/>
      <c r="Z534" s="22"/>
      <c r="AA534" s="22"/>
      <c r="AB534" s="30"/>
      <c r="AC534" s="30"/>
      <c r="AD534" s="30"/>
      <c r="AE534" s="30"/>
      <c r="AF534" s="30"/>
      <c r="AG534" s="30"/>
      <c r="AH534" s="30"/>
      <c r="AI534" s="30"/>
      <c r="AJ534" s="31"/>
      <c r="AK534" s="31"/>
      <c r="AL534" s="31"/>
      <c r="AM534" s="31"/>
      <c r="AN534" s="32" t="str">
        <f>+IF(AND('GRADING PACKING'!L$5=INWARDDATA!J534,'GRADING PACKING'!L$6=INWARDDATA!I534,AR534=0),"good","bad")</f>
        <v>bad</v>
      </c>
      <c r="AO534" s="33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86"/>
      <c r="BC534" s="86"/>
      <c r="BD534" s="97">
        <f>Table_15[[#This Row],[Wgt-Bag]]-Table_15[[#This Row],[Total Graded]]-Table_15[[#This Row],[UNDERSIZE]]+0.0011</f>
        <v>1.1000000000000001E-3</v>
      </c>
      <c r="BE534" s="86">
        <f>Table_15[[#This Row],[Total Graded]]-Table_15[[#This Row],[Packing Quantity]]+Table_15[[#This Row],[PACKING LOOSE]]</f>
        <v>0</v>
      </c>
      <c r="BF534" s="34">
        <f>IF(Table_15[[#This Row],[GRADED BAGS]]&gt;0,Table_15[[#This Row],[GRADED BAGS]],Table_15[[#This Row],[Bags]])</f>
        <v>0</v>
      </c>
    </row>
    <row r="535" spans="1:58" ht="15.75" hidden="1" customHeight="1" x14ac:dyDescent="0.35">
      <c r="A535" s="22"/>
      <c r="B535" s="22"/>
      <c r="C535" s="23"/>
      <c r="D535" s="23"/>
      <c r="E535" s="24"/>
      <c r="F535" s="23"/>
      <c r="G535" s="100"/>
      <c r="H535" s="101"/>
      <c r="I535" s="102"/>
      <c r="J535" s="102"/>
      <c r="K535" s="233"/>
      <c r="L535" s="22"/>
      <c r="M535" s="25">
        <f t="shared" si="41"/>
        <v>0</v>
      </c>
      <c r="N535" s="25">
        <f t="shared" si="42"/>
        <v>0</v>
      </c>
      <c r="O535" s="25">
        <f t="shared" si="43"/>
        <v>0</v>
      </c>
      <c r="P535" s="25">
        <f t="shared" si="44"/>
        <v>0</v>
      </c>
      <c r="Q535" s="22"/>
      <c r="R535" s="22"/>
      <c r="S535" s="22"/>
      <c r="T535" s="22"/>
      <c r="U535" s="26">
        <f t="shared" si="45"/>
        <v>0</v>
      </c>
      <c r="V535" s="27"/>
      <c r="W535" s="28"/>
      <c r="X535" s="25" t="str">
        <f>+IF(AND('GRADING PACKING'!L$5=INWARDDATA!J535,'GRADING PACKING'!L$6=INWARDDATA!I535,AB535=0),"TRUE","FALSE")</f>
        <v>FALSE</v>
      </c>
      <c r="Y535" s="29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1"/>
      <c r="AK535" s="31"/>
      <c r="AL535" s="31"/>
      <c r="AM535" s="31"/>
      <c r="AN535" s="32" t="str">
        <f>+IF(AND('GRADING PACKING'!L$5=INWARDDATA!J535,'GRADING PACKING'!L$6=INWARDDATA!I535,AR535=0),"good","bad")</f>
        <v>bad</v>
      </c>
      <c r="AO535" s="33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86"/>
      <c r="BC535" s="86"/>
      <c r="BD535" s="97">
        <f>Table_15[[#This Row],[Wgt-Bag]]-Table_15[[#This Row],[Total Graded]]-Table_15[[#This Row],[UNDERSIZE]]+0.0011</f>
        <v>1.1000000000000001E-3</v>
      </c>
      <c r="BE535" s="86">
        <f>Table_15[[#This Row],[Total Graded]]-Table_15[[#This Row],[Packing Quantity]]+Table_15[[#This Row],[PACKING LOOSE]]</f>
        <v>0</v>
      </c>
      <c r="BF535" s="34">
        <f>IF(Table_15[[#This Row],[GRADED BAGS]]&gt;0,Table_15[[#This Row],[GRADED BAGS]],Table_15[[#This Row],[Bags]])</f>
        <v>0</v>
      </c>
    </row>
    <row r="536" spans="1:58" ht="15.75" hidden="1" customHeight="1" x14ac:dyDescent="0.35">
      <c r="A536" s="22"/>
      <c r="B536" s="22"/>
      <c r="C536" s="23"/>
      <c r="D536" s="23"/>
      <c r="E536" s="24"/>
      <c r="F536" s="23"/>
      <c r="G536" s="100"/>
      <c r="H536" s="101"/>
      <c r="I536" s="102"/>
      <c r="J536" s="102"/>
      <c r="K536" s="233"/>
      <c r="L536" s="22"/>
      <c r="M536" s="25">
        <f t="shared" si="41"/>
        <v>0</v>
      </c>
      <c r="N536" s="25">
        <f t="shared" si="42"/>
        <v>0</v>
      </c>
      <c r="O536" s="25">
        <f t="shared" si="43"/>
        <v>0</v>
      </c>
      <c r="P536" s="25">
        <f t="shared" si="44"/>
        <v>0</v>
      </c>
      <c r="Q536" s="22"/>
      <c r="R536" s="22"/>
      <c r="S536" s="22"/>
      <c r="T536" s="22"/>
      <c r="U536" s="26">
        <f t="shared" si="45"/>
        <v>0</v>
      </c>
      <c r="V536" s="27"/>
      <c r="W536" s="28"/>
      <c r="X536" s="25" t="str">
        <f>+IF(AND('GRADING PACKING'!L$5=INWARDDATA!J536,'GRADING PACKING'!L$6=INWARDDATA!I536,AB536=0),"TRUE","FALSE")</f>
        <v>FALSE</v>
      </c>
      <c r="Y536" s="29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1"/>
      <c r="AK536" s="31"/>
      <c r="AL536" s="31"/>
      <c r="AM536" s="31"/>
      <c r="AN536" s="32" t="str">
        <f>+IF(AND('GRADING PACKING'!L$5=INWARDDATA!J536,'GRADING PACKING'!L$6=INWARDDATA!I536,AR536=0),"good","bad")</f>
        <v>bad</v>
      </c>
      <c r="AO536" s="33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86"/>
      <c r="BC536" s="86"/>
      <c r="BD536" s="97">
        <f>Table_15[[#This Row],[Wgt-Bag]]-Table_15[[#This Row],[Total Graded]]-Table_15[[#This Row],[UNDERSIZE]]+0.0011</f>
        <v>1.1000000000000001E-3</v>
      </c>
      <c r="BE536" s="86">
        <f>Table_15[[#This Row],[Total Graded]]-Table_15[[#This Row],[Packing Quantity]]+Table_15[[#This Row],[PACKING LOOSE]]</f>
        <v>0</v>
      </c>
      <c r="BF536" s="34">
        <f>IF(Table_15[[#This Row],[GRADED BAGS]]&gt;0,Table_15[[#This Row],[GRADED BAGS]],Table_15[[#This Row],[Bags]])</f>
        <v>0</v>
      </c>
    </row>
    <row r="537" spans="1:58" ht="15.75" hidden="1" customHeight="1" x14ac:dyDescent="0.35">
      <c r="A537" s="22"/>
      <c r="B537" s="22"/>
      <c r="C537" s="23"/>
      <c r="D537" s="23"/>
      <c r="E537" s="24"/>
      <c r="F537" s="23"/>
      <c r="G537" s="100"/>
      <c r="H537" s="101"/>
      <c r="I537" s="102"/>
      <c r="J537" s="102"/>
      <c r="K537" s="233"/>
      <c r="L537" s="22"/>
      <c r="M537" s="25">
        <f t="shared" si="41"/>
        <v>0</v>
      </c>
      <c r="N537" s="25">
        <f t="shared" si="42"/>
        <v>0</v>
      </c>
      <c r="O537" s="25">
        <f t="shared" si="43"/>
        <v>0</v>
      </c>
      <c r="P537" s="25">
        <f t="shared" si="44"/>
        <v>0</v>
      </c>
      <c r="Q537" s="22"/>
      <c r="R537" s="22"/>
      <c r="S537" s="22"/>
      <c r="T537" s="22"/>
      <c r="U537" s="26">
        <f t="shared" si="45"/>
        <v>0</v>
      </c>
      <c r="V537" s="27"/>
      <c r="W537" s="28"/>
      <c r="X537" s="25" t="str">
        <f>+IF(AND('GRADING PACKING'!L$5=INWARDDATA!J537,'GRADING PACKING'!L$6=INWARDDATA!I537,AB537=0),"TRUE","FALSE")</f>
        <v>FALSE</v>
      </c>
      <c r="Y537" s="29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1"/>
      <c r="AK537" s="31"/>
      <c r="AL537" s="31"/>
      <c r="AM537" s="31"/>
      <c r="AN537" s="32" t="str">
        <f>+IF(AND('GRADING PACKING'!L$5=INWARDDATA!J537,'GRADING PACKING'!L$6=INWARDDATA!I537,AR537=0),"good","bad")</f>
        <v>bad</v>
      </c>
      <c r="AO537" s="33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86"/>
      <c r="BC537" s="86"/>
      <c r="BD537" s="97">
        <f>Table_15[[#This Row],[Wgt-Bag]]-Table_15[[#This Row],[Total Graded]]-Table_15[[#This Row],[UNDERSIZE]]+0.0011</f>
        <v>1.1000000000000001E-3</v>
      </c>
      <c r="BE537" s="86">
        <f>Table_15[[#This Row],[Total Graded]]-Table_15[[#This Row],[Packing Quantity]]+Table_15[[#This Row],[PACKING LOOSE]]</f>
        <v>0</v>
      </c>
      <c r="BF537" s="34">
        <f>IF(Table_15[[#This Row],[GRADED BAGS]]&gt;0,Table_15[[#This Row],[GRADED BAGS]],Table_15[[#This Row],[Bags]])</f>
        <v>0</v>
      </c>
    </row>
    <row r="538" spans="1:58" ht="15.75" hidden="1" customHeight="1" x14ac:dyDescent="0.35">
      <c r="A538" s="22"/>
      <c r="B538" s="22"/>
      <c r="C538" s="23"/>
      <c r="D538" s="23"/>
      <c r="E538" s="24"/>
      <c r="F538" s="23"/>
      <c r="G538" s="100"/>
      <c r="H538" s="101"/>
      <c r="I538" s="102"/>
      <c r="J538" s="102"/>
      <c r="K538" s="233"/>
      <c r="L538" s="22"/>
      <c r="M538" s="25">
        <f t="shared" si="41"/>
        <v>0</v>
      </c>
      <c r="N538" s="25">
        <f t="shared" si="42"/>
        <v>0</v>
      </c>
      <c r="O538" s="25">
        <f t="shared" si="43"/>
        <v>0</v>
      </c>
      <c r="P538" s="25">
        <f t="shared" si="44"/>
        <v>0</v>
      </c>
      <c r="Q538" s="22"/>
      <c r="R538" s="22"/>
      <c r="S538" s="22"/>
      <c r="T538" s="22"/>
      <c r="U538" s="26">
        <f t="shared" si="45"/>
        <v>0</v>
      </c>
      <c r="V538" s="27"/>
      <c r="W538" s="28"/>
      <c r="X538" s="25" t="str">
        <f>+IF(AND('GRADING PACKING'!L$5=INWARDDATA!J538,'GRADING PACKING'!L$6=INWARDDATA!I538,AB538=0),"TRUE","FALSE")</f>
        <v>FALSE</v>
      </c>
      <c r="Y538" s="29"/>
      <c r="Z538" s="30"/>
      <c r="AA538" s="30"/>
      <c r="AB538" s="30"/>
      <c r="AC538" s="30"/>
      <c r="AD538" s="30"/>
      <c r="AE538" s="30"/>
      <c r="AF538" s="30"/>
      <c r="AG538" s="30"/>
      <c r="AH538" s="30"/>
      <c r="AI538" s="30"/>
      <c r="AJ538" s="31"/>
      <c r="AK538" s="31"/>
      <c r="AL538" s="31"/>
      <c r="AM538" s="31"/>
      <c r="AN538" s="32" t="str">
        <f>+IF(AND('GRADING PACKING'!L$5=INWARDDATA!J538,'GRADING PACKING'!L$6=INWARDDATA!I538,AR538=0),"good","bad")</f>
        <v>bad</v>
      </c>
      <c r="AO538" s="33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86"/>
      <c r="BC538" s="86"/>
      <c r="BD538" s="97">
        <f>Table_15[[#This Row],[Wgt-Bag]]-Table_15[[#This Row],[Total Graded]]-Table_15[[#This Row],[UNDERSIZE]]+0.0011</f>
        <v>1.1000000000000001E-3</v>
      </c>
      <c r="BE538" s="86">
        <f>Table_15[[#This Row],[Total Graded]]-Table_15[[#This Row],[Packing Quantity]]+Table_15[[#This Row],[PACKING LOOSE]]</f>
        <v>0</v>
      </c>
      <c r="BF538" s="34">
        <f>IF(Table_15[[#This Row],[GRADED BAGS]]&gt;0,Table_15[[#This Row],[GRADED BAGS]],Table_15[[#This Row],[Bags]])</f>
        <v>0</v>
      </c>
    </row>
    <row r="539" spans="1:58" ht="15.75" hidden="1" customHeight="1" x14ac:dyDescent="0.35">
      <c r="A539" s="22"/>
      <c r="B539" s="22"/>
      <c r="C539" s="23"/>
      <c r="D539" s="23"/>
      <c r="E539" s="24"/>
      <c r="F539" s="23"/>
      <c r="G539" s="100"/>
      <c r="H539" s="101"/>
      <c r="I539" s="102"/>
      <c r="J539" s="102"/>
      <c r="K539" s="233"/>
      <c r="L539" s="22"/>
      <c r="M539" s="25">
        <f t="shared" si="41"/>
        <v>0</v>
      </c>
      <c r="N539" s="25">
        <f t="shared" si="42"/>
        <v>0</v>
      </c>
      <c r="O539" s="25">
        <f t="shared" si="43"/>
        <v>0</v>
      </c>
      <c r="P539" s="25">
        <f t="shared" si="44"/>
        <v>0</v>
      </c>
      <c r="Q539" s="22"/>
      <c r="R539" s="22"/>
      <c r="S539" s="22"/>
      <c r="T539" s="22"/>
      <c r="U539" s="26">
        <f t="shared" si="45"/>
        <v>0</v>
      </c>
      <c r="V539" s="27"/>
      <c r="W539" s="28"/>
      <c r="X539" s="25" t="str">
        <f>+IF(AND('GRADING PACKING'!L$5=INWARDDATA!J539,'GRADING PACKING'!L$6=INWARDDATA!I539,AB539=0),"TRUE","FALSE")</f>
        <v>FALSE</v>
      </c>
      <c r="Y539" s="29"/>
      <c r="Z539" s="30"/>
      <c r="AA539" s="30"/>
      <c r="AB539" s="30"/>
      <c r="AC539" s="30"/>
      <c r="AD539" s="30"/>
      <c r="AE539" s="30"/>
      <c r="AF539" s="30"/>
      <c r="AG539" s="30"/>
      <c r="AH539" s="30"/>
      <c r="AI539" s="30"/>
      <c r="AJ539" s="31"/>
      <c r="AK539" s="31"/>
      <c r="AL539" s="31"/>
      <c r="AM539" s="31"/>
      <c r="AN539" s="32" t="str">
        <f>+IF(AND('GRADING PACKING'!L$5=INWARDDATA!J539,'GRADING PACKING'!L$6=INWARDDATA!I539,AR539=0),"good","bad")</f>
        <v>bad</v>
      </c>
      <c r="AO539" s="33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86"/>
      <c r="BC539" s="86"/>
      <c r="BD539" s="97">
        <f>Table_15[[#This Row],[Wgt-Bag]]-Table_15[[#This Row],[Total Graded]]-Table_15[[#This Row],[UNDERSIZE]]+0.0011</f>
        <v>1.1000000000000001E-3</v>
      </c>
      <c r="BE539" s="86">
        <f>Table_15[[#This Row],[Total Graded]]-Table_15[[#This Row],[Packing Quantity]]+Table_15[[#This Row],[PACKING LOOSE]]</f>
        <v>0</v>
      </c>
      <c r="BF539" s="34">
        <f>IF(Table_15[[#This Row],[GRADED BAGS]]&gt;0,Table_15[[#This Row],[GRADED BAGS]],Table_15[[#This Row],[Bags]])</f>
        <v>0</v>
      </c>
    </row>
    <row r="540" spans="1:58" ht="15.75" hidden="1" customHeight="1" x14ac:dyDescent="0.35">
      <c r="A540" s="22"/>
      <c r="B540" s="22"/>
      <c r="C540" s="23"/>
      <c r="D540" s="23"/>
      <c r="E540" s="24"/>
      <c r="F540" s="23"/>
      <c r="G540" s="100"/>
      <c r="H540" s="101"/>
      <c r="I540" s="102"/>
      <c r="J540" s="102"/>
      <c r="K540" s="233"/>
      <c r="L540" s="22"/>
      <c r="M540" s="25">
        <f t="shared" si="41"/>
        <v>0</v>
      </c>
      <c r="N540" s="25">
        <f t="shared" si="42"/>
        <v>0</v>
      </c>
      <c r="O540" s="25">
        <f t="shared" si="43"/>
        <v>0</v>
      </c>
      <c r="P540" s="25">
        <f t="shared" si="44"/>
        <v>0</v>
      </c>
      <c r="Q540" s="22"/>
      <c r="R540" s="22"/>
      <c r="S540" s="22"/>
      <c r="T540" s="22"/>
      <c r="U540" s="26">
        <f t="shared" si="45"/>
        <v>0</v>
      </c>
      <c r="V540" s="27"/>
      <c r="W540" s="28"/>
      <c r="X540" s="25" t="str">
        <f>+IF(AND('GRADING PACKING'!L$5=INWARDDATA!J540,'GRADING PACKING'!L$6=INWARDDATA!I540,AB540=0),"TRUE","FALSE")</f>
        <v>FALSE</v>
      </c>
      <c r="Y540" s="24"/>
      <c r="Z540" s="22"/>
      <c r="AA540" s="22"/>
      <c r="AB540" s="30"/>
      <c r="AC540" s="30"/>
      <c r="AD540" s="30"/>
      <c r="AE540" s="30"/>
      <c r="AF540" s="30"/>
      <c r="AG540" s="30"/>
      <c r="AH540" s="30"/>
      <c r="AI540" s="30"/>
      <c r="AJ540" s="31"/>
      <c r="AK540" s="31"/>
      <c r="AL540" s="31"/>
      <c r="AM540" s="31"/>
      <c r="AN540" s="32" t="str">
        <f>+IF(AND('GRADING PACKING'!L$5=INWARDDATA!J540,'GRADING PACKING'!L$6=INWARDDATA!I540,AR540=0),"good","bad")</f>
        <v>bad</v>
      </c>
      <c r="AO540" s="33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86"/>
      <c r="BC540" s="86"/>
      <c r="BD540" s="97">
        <f>Table_15[[#This Row],[Wgt-Bag]]-Table_15[[#This Row],[Total Graded]]-Table_15[[#This Row],[UNDERSIZE]]+0.0011</f>
        <v>1.1000000000000001E-3</v>
      </c>
      <c r="BE540" s="86">
        <f>Table_15[[#This Row],[Total Graded]]-Table_15[[#This Row],[Packing Quantity]]+Table_15[[#This Row],[PACKING LOOSE]]</f>
        <v>0</v>
      </c>
      <c r="BF540" s="34">
        <f>IF(Table_15[[#This Row],[GRADED BAGS]]&gt;0,Table_15[[#This Row],[GRADED BAGS]],Table_15[[#This Row],[Bags]])</f>
        <v>0</v>
      </c>
    </row>
    <row r="541" spans="1:58" ht="15.75" hidden="1" customHeight="1" x14ac:dyDescent="0.35">
      <c r="A541" s="22"/>
      <c r="B541" s="22"/>
      <c r="C541" s="23"/>
      <c r="D541" s="23"/>
      <c r="E541" s="24"/>
      <c r="F541" s="23"/>
      <c r="G541" s="100"/>
      <c r="H541" s="101"/>
      <c r="I541" s="102"/>
      <c r="J541" s="102"/>
      <c r="K541" s="233"/>
      <c r="L541" s="22"/>
      <c r="M541" s="25">
        <f t="shared" si="41"/>
        <v>0</v>
      </c>
      <c r="N541" s="25">
        <f t="shared" si="42"/>
        <v>0</v>
      </c>
      <c r="O541" s="25">
        <f t="shared" si="43"/>
        <v>0</v>
      </c>
      <c r="P541" s="25">
        <f t="shared" si="44"/>
        <v>0</v>
      </c>
      <c r="Q541" s="22"/>
      <c r="R541" s="22"/>
      <c r="S541" s="22"/>
      <c r="T541" s="22"/>
      <c r="U541" s="26">
        <f t="shared" si="45"/>
        <v>0</v>
      </c>
      <c r="V541" s="27"/>
      <c r="W541" s="28"/>
      <c r="X541" s="25" t="str">
        <f>+IF(AND('GRADING PACKING'!L$5=INWARDDATA!J541,'GRADING PACKING'!L$6=INWARDDATA!I541,AB541=0),"TRUE","FALSE")</f>
        <v>FALSE</v>
      </c>
      <c r="Y541" s="24"/>
      <c r="Z541" s="22"/>
      <c r="AA541" s="22"/>
      <c r="AB541" s="30"/>
      <c r="AC541" s="30"/>
      <c r="AD541" s="30"/>
      <c r="AE541" s="30"/>
      <c r="AF541" s="30"/>
      <c r="AG541" s="30"/>
      <c r="AH541" s="30"/>
      <c r="AI541" s="30"/>
      <c r="AJ541" s="31"/>
      <c r="AK541" s="31"/>
      <c r="AL541" s="31"/>
      <c r="AM541" s="31"/>
      <c r="AN541" s="32" t="str">
        <f>+IF(AND('GRADING PACKING'!L$5=INWARDDATA!J541,'GRADING PACKING'!L$6=INWARDDATA!I541,AR541=0),"good","bad")</f>
        <v>bad</v>
      </c>
      <c r="AO541" s="33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86"/>
      <c r="BC541" s="86"/>
      <c r="BD541" s="97">
        <f>Table_15[[#This Row],[Wgt-Bag]]-Table_15[[#This Row],[Total Graded]]-Table_15[[#This Row],[UNDERSIZE]]+0.0011</f>
        <v>1.1000000000000001E-3</v>
      </c>
      <c r="BE541" s="86">
        <f>Table_15[[#This Row],[Total Graded]]-Table_15[[#This Row],[Packing Quantity]]+Table_15[[#This Row],[PACKING LOOSE]]</f>
        <v>0</v>
      </c>
      <c r="BF541" s="34">
        <f>IF(Table_15[[#This Row],[GRADED BAGS]]&gt;0,Table_15[[#This Row],[GRADED BAGS]],Table_15[[#This Row],[Bags]])</f>
        <v>0</v>
      </c>
    </row>
    <row r="542" spans="1:58" ht="15.75" hidden="1" customHeight="1" x14ac:dyDescent="0.35">
      <c r="A542" s="22"/>
      <c r="B542" s="22"/>
      <c r="C542" s="23"/>
      <c r="D542" s="23"/>
      <c r="E542" s="24"/>
      <c r="F542" s="23"/>
      <c r="G542" s="100"/>
      <c r="H542" s="101"/>
      <c r="I542" s="102"/>
      <c r="J542" s="102"/>
      <c r="K542" s="233"/>
      <c r="L542" s="22"/>
      <c r="M542" s="25">
        <f t="shared" si="41"/>
        <v>0</v>
      </c>
      <c r="N542" s="25">
        <f t="shared" si="42"/>
        <v>0</v>
      </c>
      <c r="O542" s="25">
        <f t="shared" si="43"/>
        <v>0</v>
      </c>
      <c r="P542" s="25">
        <f t="shared" si="44"/>
        <v>0</v>
      </c>
      <c r="Q542" s="22"/>
      <c r="R542" s="22"/>
      <c r="S542" s="22"/>
      <c r="T542" s="22"/>
      <c r="U542" s="26">
        <f t="shared" si="45"/>
        <v>0</v>
      </c>
      <c r="V542" s="27"/>
      <c r="W542" s="28"/>
      <c r="X542" s="25" t="str">
        <f>+IF(AND('GRADING PACKING'!L$5=INWARDDATA!J542,'GRADING PACKING'!L$6=INWARDDATA!I542,AB542=0),"TRUE","FALSE")</f>
        <v>FALSE</v>
      </c>
      <c r="Y542" s="24"/>
      <c r="Z542" s="22"/>
      <c r="AA542" s="22"/>
      <c r="AB542" s="30"/>
      <c r="AC542" s="30"/>
      <c r="AD542" s="30"/>
      <c r="AE542" s="30"/>
      <c r="AF542" s="30"/>
      <c r="AG542" s="30"/>
      <c r="AH542" s="30"/>
      <c r="AI542" s="30"/>
      <c r="AJ542" s="31"/>
      <c r="AK542" s="31"/>
      <c r="AL542" s="31"/>
      <c r="AM542" s="31"/>
      <c r="AN542" s="32" t="str">
        <f>+IF(AND('GRADING PACKING'!L$5=INWARDDATA!J542,'GRADING PACKING'!L$6=INWARDDATA!I542,AR542=0),"good","bad")</f>
        <v>bad</v>
      </c>
      <c r="AO542" s="33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86"/>
      <c r="BC542" s="86"/>
      <c r="BD542" s="97">
        <f>Table_15[[#This Row],[Wgt-Bag]]-Table_15[[#This Row],[Total Graded]]-Table_15[[#This Row],[UNDERSIZE]]+0.0011</f>
        <v>1.1000000000000001E-3</v>
      </c>
      <c r="BE542" s="86">
        <f>Table_15[[#This Row],[Total Graded]]-Table_15[[#This Row],[Packing Quantity]]+Table_15[[#This Row],[PACKING LOOSE]]</f>
        <v>0</v>
      </c>
      <c r="BF542" s="34">
        <f>IF(Table_15[[#This Row],[GRADED BAGS]]&gt;0,Table_15[[#This Row],[GRADED BAGS]],Table_15[[#This Row],[Bags]])</f>
        <v>0</v>
      </c>
    </row>
    <row r="543" spans="1:58" ht="15.75" hidden="1" customHeight="1" x14ac:dyDescent="0.35">
      <c r="A543" s="22"/>
      <c r="B543" s="22"/>
      <c r="C543" s="23"/>
      <c r="D543" s="23"/>
      <c r="E543" s="24"/>
      <c r="F543" s="23"/>
      <c r="G543" s="100"/>
      <c r="H543" s="101"/>
      <c r="I543" s="102"/>
      <c r="J543" s="102"/>
      <c r="K543" s="233"/>
      <c r="L543" s="22"/>
      <c r="M543" s="25">
        <f t="shared" si="41"/>
        <v>0</v>
      </c>
      <c r="N543" s="25">
        <f t="shared" si="42"/>
        <v>0</v>
      </c>
      <c r="O543" s="25">
        <f t="shared" si="43"/>
        <v>0</v>
      </c>
      <c r="P543" s="25">
        <f t="shared" si="44"/>
        <v>0</v>
      </c>
      <c r="Q543" s="22"/>
      <c r="R543" s="22"/>
      <c r="S543" s="22"/>
      <c r="T543" s="22"/>
      <c r="U543" s="26">
        <f t="shared" si="45"/>
        <v>0</v>
      </c>
      <c r="V543" s="27"/>
      <c r="W543" s="28"/>
      <c r="X543" s="25" t="str">
        <f>+IF(AND('GRADING PACKING'!L$5=INWARDDATA!J543,'GRADING PACKING'!L$6=INWARDDATA!I543,AB543=0),"TRUE","FALSE")</f>
        <v>FALSE</v>
      </c>
      <c r="Y543" s="24"/>
      <c r="Z543" s="22"/>
      <c r="AA543" s="22"/>
      <c r="AB543" s="30"/>
      <c r="AC543" s="30"/>
      <c r="AD543" s="30"/>
      <c r="AE543" s="30"/>
      <c r="AF543" s="30"/>
      <c r="AG543" s="30"/>
      <c r="AH543" s="30"/>
      <c r="AI543" s="30"/>
      <c r="AJ543" s="31"/>
      <c r="AK543" s="31"/>
      <c r="AL543" s="31"/>
      <c r="AM543" s="31"/>
      <c r="AN543" s="32" t="str">
        <f>+IF(AND('GRADING PACKING'!L$5=INWARDDATA!J543,'GRADING PACKING'!L$6=INWARDDATA!I543,AR543=0),"good","bad")</f>
        <v>bad</v>
      </c>
      <c r="AO543" s="33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86"/>
      <c r="BC543" s="86"/>
      <c r="BD543" s="97">
        <f>Table_15[[#This Row],[Wgt-Bag]]-Table_15[[#This Row],[Total Graded]]-Table_15[[#This Row],[UNDERSIZE]]+0.0011</f>
        <v>1.1000000000000001E-3</v>
      </c>
      <c r="BE543" s="86">
        <f>Table_15[[#This Row],[Total Graded]]-Table_15[[#This Row],[Packing Quantity]]+Table_15[[#This Row],[PACKING LOOSE]]</f>
        <v>0</v>
      </c>
      <c r="BF543" s="34">
        <f>IF(Table_15[[#This Row],[GRADED BAGS]]&gt;0,Table_15[[#This Row],[GRADED BAGS]],Table_15[[#This Row],[Bags]])</f>
        <v>0</v>
      </c>
    </row>
    <row r="544" spans="1:58" ht="15.75" hidden="1" customHeight="1" x14ac:dyDescent="0.35">
      <c r="A544" s="22"/>
      <c r="B544" s="22"/>
      <c r="C544" s="23"/>
      <c r="D544" s="23"/>
      <c r="E544" s="24"/>
      <c r="F544" s="23"/>
      <c r="G544" s="100"/>
      <c r="H544" s="101"/>
      <c r="I544" s="102"/>
      <c r="J544" s="102"/>
      <c r="K544" s="233"/>
      <c r="L544" s="22"/>
      <c r="M544" s="25">
        <f t="shared" si="41"/>
        <v>0</v>
      </c>
      <c r="N544" s="25">
        <f t="shared" si="42"/>
        <v>0</v>
      </c>
      <c r="O544" s="25">
        <f t="shared" si="43"/>
        <v>0</v>
      </c>
      <c r="P544" s="25">
        <f t="shared" si="44"/>
        <v>0</v>
      </c>
      <c r="Q544" s="22"/>
      <c r="R544" s="22"/>
      <c r="S544" s="22"/>
      <c r="T544" s="22"/>
      <c r="U544" s="26">
        <f t="shared" si="45"/>
        <v>0</v>
      </c>
      <c r="V544" s="27"/>
      <c r="W544" s="28"/>
      <c r="X544" s="25" t="str">
        <f>+IF(AND('GRADING PACKING'!L$5=INWARDDATA!J544,'GRADING PACKING'!L$6=INWARDDATA!I544,AB544=0),"TRUE","FALSE")</f>
        <v>FALSE</v>
      </c>
      <c r="Y544" s="24"/>
      <c r="Z544" s="22"/>
      <c r="AA544" s="22"/>
      <c r="AB544" s="30"/>
      <c r="AC544" s="30"/>
      <c r="AD544" s="30"/>
      <c r="AE544" s="30"/>
      <c r="AF544" s="30"/>
      <c r="AG544" s="30"/>
      <c r="AH544" s="30"/>
      <c r="AI544" s="30"/>
      <c r="AJ544" s="31"/>
      <c r="AK544" s="31"/>
      <c r="AL544" s="31"/>
      <c r="AM544" s="31"/>
      <c r="AN544" s="32" t="str">
        <f>+IF(AND('GRADING PACKING'!L$5=INWARDDATA!J544,'GRADING PACKING'!L$6=INWARDDATA!I544,AR544=0),"good","bad")</f>
        <v>bad</v>
      </c>
      <c r="AO544" s="33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86"/>
      <c r="BC544" s="86"/>
      <c r="BD544" s="97">
        <f>Table_15[[#This Row],[Wgt-Bag]]-Table_15[[#This Row],[Total Graded]]-Table_15[[#This Row],[UNDERSIZE]]+0.0011</f>
        <v>1.1000000000000001E-3</v>
      </c>
      <c r="BE544" s="86">
        <f>Table_15[[#This Row],[Total Graded]]-Table_15[[#This Row],[Packing Quantity]]+Table_15[[#This Row],[PACKING LOOSE]]</f>
        <v>0</v>
      </c>
      <c r="BF544" s="34">
        <f>IF(Table_15[[#This Row],[GRADED BAGS]]&gt;0,Table_15[[#This Row],[GRADED BAGS]],Table_15[[#This Row],[Bags]])</f>
        <v>0</v>
      </c>
    </row>
    <row r="545" spans="1:58" ht="15.75" hidden="1" customHeight="1" x14ac:dyDescent="0.35">
      <c r="A545" s="22"/>
      <c r="B545" s="22"/>
      <c r="C545" s="23"/>
      <c r="D545" s="23"/>
      <c r="E545" s="24"/>
      <c r="F545" s="23"/>
      <c r="G545" s="100"/>
      <c r="H545" s="101"/>
      <c r="I545" s="102"/>
      <c r="J545" s="102"/>
      <c r="K545" s="233"/>
      <c r="L545" s="22"/>
      <c r="M545" s="25">
        <f t="shared" si="41"/>
        <v>0</v>
      </c>
      <c r="N545" s="25">
        <f t="shared" si="42"/>
        <v>0</v>
      </c>
      <c r="O545" s="25">
        <f t="shared" si="43"/>
        <v>0</v>
      </c>
      <c r="P545" s="25">
        <f t="shared" si="44"/>
        <v>0</v>
      </c>
      <c r="Q545" s="22"/>
      <c r="R545" s="22"/>
      <c r="S545" s="22"/>
      <c r="T545" s="22"/>
      <c r="U545" s="26">
        <f t="shared" si="45"/>
        <v>0</v>
      </c>
      <c r="V545" s="27"/>
      <c r="W545" s="28"/>
      <c r="X545" s="25" t="str">
        <f>+IF(AND('GRADING PACKING'!L$5=INWARDDATA!J545,'GRADING PACKING'!L$6=INWARDDATA!I545,AB545=0),"TRUE","FALSE")</f>
        <v>FALSE</v>
      </c>
      <c r="Y545" s="24"/>
      <c r="Z545" s="22"/>
      <c r="AA545" s="22"/>
      <c r="AB545" s="30"/>
      <c r="AC545" s="30"/>
      <c r="AD545" s="30"/>
      <c r="AE545" s="30"/>
      <c r="AF545" s="30"/>
      <c r="AG545" s="30"/>
      <c r="AH545" s="30"/>
      <c r="AI545" s="30"/>
      <c r="AJ545" s="31"/>
      <c r="AK545" s="31"/>
      <c r="AL545" s="31"/>
      <c r="AM545" s="31"/>
      <c r="AN545" s="32" t="str">
        <f>+IF(AND('GRADING PACKING'!L$5=INWARDDATA!J545,'GRADING PACKING'!L$6=INWARDDATA!I545,AR545=0),"good","bad")</f>
        <v>bad</v>
      </c>
      <c r="AO545" s="33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86"/>
      <c r="BC545" s="86"/>
      <c r="BD545" s="97">
        <f>Table_15[[#This Row],[Wgt-Bag]]-Table_15[[#This Row],[Total Graded]]-Table_15[[#This Row],[UNDERSIZE]]+0.0011</f>
        <v>1.1000000000000001E-3</v>
      </c>
      <c r="BE545" s="86">
        <f>Table_15[[#This Row],[Total Graded]]-Table_15[[#This Row],[Packing Quantity]]+Table_15[[#This Row],[PACKING LOOSE]]</f>
        <v>0</v>
      </c>
      <c r="BF545" s="34">
        <f>IF(Table_15[[#This Row],[GRADED BAGS]]&gt;0,Table_15[[#This Row],[GRADED BAGS]],Table_15[[#This Row],[Bags]])</f>
        <v>0</v>
      </c>
    </row>
    <row r="546" spans="1:58" ht="15.75" hidden="1" customHeight="1" x14ac:dyDescent="0.35">
      <c r="A546" s="22"/>
      <c r="B546" s="22"/>
      <c r="C546" s="23"/>
      <c r="D546" s="23"/>
      <c r="E546" s="24"/>
      <c r="F546" s="23"/>
      <c r="G546" s="100"/>
      <c r="H546" s="101"/>
      <c r="I546" s="102"/>
      <c r="J546" s="102"/>
      <c r="K546" s="233"/>
      <c r="L546" s="22"/>
      <c r="M546" s="25">
        <f t="shared" si="41"/>
        <v>0</v>
      </c>
      <c r="N546" s="25">
        <f t="shared" si="42"/>
        <v>0</v>
      </c>
      <c r="O546" s="25">
        <f t="shared" si="43"/>
        <v>0</v>
      </c>
      <c r="P546" s="25">
        <f t="shared" si="44"/>
        <v>0</v>
      </c>
      <c r="Q546" s="22"/>
      <c r="R546" s="22"/>
      <c r="S546" s="22"/>
      <c r="T546" s="22"/>
      <c r="U546" s="26">
        <f t="shared" si="45"/>
        <v>0</v>
      </c>
      <c r="V546" s="27"/>
      <c r="W546" s="28"/>
      <c r="X546" s="25" t="str">
        <f>+IF(AND('GRADING PACKING'!L$5=INWARDDATA!J546,'GRADING PACKING'!L$6=INWARDDATA!I546,AB546=0),"TRUE","FALSE")</f>
        <v>FALSE</v>
      </c>
      <c r="Y546" s="24"/>
      <c r="Z546" s="22"/>
      <c r="AA546" s="22"/>
      <c r="AB546" s="30"/>
      <c r="AC546" s="30"/>
      <c r="AD546" s="30"/>
      <c r="AE546" s="30"/>
      <c r="AF546" s="30"/>
      <c r="AG546" s="30"/>
      <c r="AH546" s="30"/>
      <c r="AI546" s="30"/>
      <c r="AJ546" s="31"/>
      <c r="AK546" s="31"/>
      <c r="AL546" s="31"/>
      <c r="AM546" s="31"/>
      <c r="AN546" s="32" t="str">
        <f>+IF(AND('GRADING PACKING'!L$5=INWARDDATA!J546,'GRADING PACKING'!L$6=INWARDDATA!I546,AR546=0),"good","bad")</f>
        <v>bad</v>
      </c>
      <c r="AO546" s="33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86"/>
      <c r="BC546" s="86"/>
      <c r="BD546" s="97">
        <f>Table_15[[#This Row],[Wgt-Bag]]-Table_15[[#This Row],[Total Graded]]-Table_15[[#This Row],[UNDERSIZE]]+0.0011</f>
        <v>1.1000000000000001E-3</v>
      </c>
      <c r="BE546" s="86">
        <f>Table_15[[#This Row],[Total Graded]]-Table_15[[#This Row],[Packing Quantity]]+Table_15[[#This Row],[PACKING LOOSE]]</f>
        <v>0</v>
      </c>
      <c r="BF546" s="34">
        <f>IF(Table_15[[#This Row],[GRADED BAGS]]&gt;0,Table_15[[#This Row],[GRADED BAGS]],Table_15[[#This Row],[Bags]])</f>
        <v>0</v>
      </c>
    </row>
    <row r="547" spans="1:58" ht="15.75" hidden="1" customHeight="1" x14ac:dyDescent="0.35">
      <c r="A547" s="22"/>
      <c r="B547" s="22"/>
      <c r="C547" s="23"/>
      <c r="D547" s="23"/>
      <c r="E547" s="24"/>
      <c r="F547" s="23"/>
      <c r="G547" s="100"/>
      <c r="H547" s="101"/>
      <c r="I547" s="102"/>
      <c r="J547" s="102"/>
      <c r="K547" s="233"/>
      <c r="L547" s="22"/>
      <c r="M547" s="25">
        <f t="shared" si="41"/>
        <v>0</v>
      </c>
      <c r="N547" s="25">
        <f t="shared" si="42"/>
        <v>0</v>
      </c>
      <c r="O547" s="25">
        <f t="shared" si="43"/>
        <v>0</v>
      </c>
      <c r="P547" s="25">
        <f t="shared" si="44"/>
        <v>0</v>
      </c>
      <c r="Q547" s="22"/>
      <c r="R547" s="22"/>
      <c r="S547" s="22"/>
      <c r="T547" s="22"/>
      <c r="U547" s="26">
        <f t="shared" si="45"/>
        <v>0</v>
      </c>
      <c r="V547" s="27"/>
      <c r="W547" s="28"/>
      <c r="X547" s="25" t="str">
        <f>+IF(AND('GRADING PACKING'!L$5=INWARDDATA!J547,'GRADING PACKING'!L$6=INWARDDATA!I547,AB547=0),"TRUE","FALSE")</f>
        <v>FALSE</v>
      </c>
      <c r="Y547" s="29"/>
      <c r="Z547" s="30"/>
      <c r="AA547" s="30"/>
      <c r="AB547" s="30"/>
      <c r="AC547" s="30"/>
      <c r="AD547" s="30"/>
      <c r="AE547" s="30"/>
      <c r="AF547" s="30"/>
      <c r="AG547" s="30"/>
      <c r="AH547" s="30"/>
      <c r="AI547" s="30"/>
      <c r="AJ547" s="31"/>
      <c r="AK547" s="31"/>
      <c r="AL547" s="31"/>
      <c r="AM547" s="31"/>
      <c r="AN547" s="32" t="str">
        <f>+IF(AND('GRADING PACKING'!L$5=INWARDDATA!J547,'GRADING PACKING'!L$6=INWARDDATA!I547,AR547=0),"good","bad")</f>
        <v>bad</v>
      </c>
      <c r="AO547" s="33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86"/>
      <c r="BC547" s="86"/>
      <c r="BD547" s="97">
        <f>Table_15[[#This Row],[Wgt-Bag]]-Table_15[[#This Row],[Total Graded]]-Table_15[[#This Row],[UNDERSIZE]]+0.0011</f>
        <v>1.1000000000000001E-3</v>
      </c>
      <c r="BE547" s="86">
        <f>Table_15[[#This Row],[Total Graded]]-Table_15[[#This Row],[Packing Quantity]]+Table_15[[#This Row],[PACKING LOOSE]]</f>
        <v>0</v>
      </c>
      <c r="BF547" s="34">
        <f>IF(Table_15[[#This Row],[GRADED BAGS]]&gt;0,Table_15[[#This Row],[GRADED BAGS]],Table_15[[#This Row],[Bags]])</f>
        <v>0</v>
      </c>
    </row>
    <row r="548" spans="1:58" ht="15.75" hidden="1" customHeight="1" x14ac:dyDescent="0.35">
      <c r="A548" s="22"/>
      <c r="B548" s="22"/>
      <c r="C548" s="23"/>
      <c r="D548" s="23"/>
      <c r="E548" s="24"/>
      <c r="F548" s="23"/>
      <c r="G548" s="100"/>
      <c r="H548" s="101"/>
      <c r="I548" s="102"/>
      <c r="J548" s="102"/>
      <c r="K548" s="233"/>
      <c r="L548" s="22"/>
      <c r="M548" s="25">
        <f t="shared" si="41"/>
        <v>0</v>
      </c>
      <c r="N548" s="25">
        <f t="shared" si="42"/>
        <v>0</v>
      </c>
      <c r="O548" s="25">
        <f t="shared" si="43"/>
        <v>0</v>
      </c>
      <c r="P548" s="25">
        <f t="shared" si="44"/>
        <v>0</v>
      </c>
      <c r="Q548" s="22"/>
      <c r="R548" s="22"/>
      <c r="S548" s="22"/>
      <c r="T548" s="22"/>
      <c r="U548" s="26">
        <f t="shared" si="45"/>
        <v>0</v>
      </c>
      <c r="V548" s="27"/>
      <c r="W548" s="28"/>
      <c r="X548" s="25" t="str">
        <f>+IF(AND('GRADING PACKING'!L$5=INWARDDATA!J548,'GRADING PACKING'!L$6=INWARDDATA!I548,AB548=0),"TRUE","FALSE")</f>
        <v>FALSE</v>
      </c>
      <c r="Y548" s="29"/>
      <c r="Z548" s="30"/>
      <c r="AA548" s="30"/>
      <c r="AB548" s="30"/>
      <c r="AC548" s="30"/>
      <c r="AD548" s="30"/>
      <c r="AE548" s="30"/>
      <c r="AF548" s="30"/>
      <c r="AG548" s="30"/>
      <c r="AH548" s="30"/>
      <c r="AI548" s="30"/>
      <c r="AJ548" s="31"/>
      <c r="AK548" s="31"/>
      <c r="AL548" s="31"/>
      <c r="AM548" s="31"/>
      <c r="AN548" s="32" t="str">
        <f>+IF(AND('GRADING PACKING'!L$5=INWARDDATA!J548,'GRADING PACKING'!L$6=INWARDDATA!I548,AR548=0),"good","bad")</f>
        <v>bad</v>
      </c>
      <c r="AO548" s="33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86"/>
      <c r="BC548" s="86"/>
      <c r="BD548" s="97">
        <f>Table_15[[#This Row],[Wgt-Bag]]-Table_15[[#This Row],[Total Graded]]-Table_15[[#This Row],[UNDERSIZE]]+0.0011</f>
        <v>1.1000000000000001E-3</v>
      </c>
      <c r="BE548" s="86">
        <f>Table_15[[#This Row],[Total Graded]]-Table_15[[#This Row],[Packing Quantity]]+Table_15[[#This Row],[PACKING LOOSE]]</f>
        <v>0</v>
      </c>
      <c r="BF548" s="34">
        <f>IF(Table_15[[#This Row],[GRADED BAGS]]&gt;0,Table_15[[#This Row],[GRADED BAGS]],Table_15[[#This Row],[Bags]])</f>
        <v>0</v>
      </c>
    </row>
    <row r="549" spans="1:58" ht="15.75" hidden="1" customHeight="1" x14ac:dyDescent="0.35">
      <c r="A549" s="22"/>
      <c r="B549" s="22"/>
      <c r="C549" s="23"/>
      <c r="D549" s="23"/>
      <c r="E549" s="24"/>
      <c r="F549" s="23"/>
      <c r="G549" s="100"/>
      <c r="H549" s="101"/>
      <c r="I549" s="102"/>
      <c r="J549" s="102"/>
      <c r="K549" s="233"/>
      <c r="L549" s="22"/>
      <c r="M549" s="25">
        <f t="shared" si="41"/>
        <v>0</v>
      </c>
      <c r="N549" s="25">
        <f t="shared" si="42"/>
        <v>0</v>
      </c>
      <c r="O549" s="25">
        <f t="shared" si="43"/>
        <v>0</v>
      </c>
      <c r="P549" s="25">
        <f t="shared" si="44"/>
        <v>0</v>
      </c>
      <c r="Q549" s="22"/>
      <c r="R549" s="22"/>
      <c r="S549" s="22"/>
      <c r="T549" s="22"/>
      <c r="U549" s="26">
        <f t="shared" si="45"/>
        <v>0</v>
      </c>
      <c r="V549" s="27"/>
      <c r="W549" s="28"/>
      <c r="X549" s="25" t="str">
        <f>+IF(AND('GRADING PACKING'!L$5=INWARDDATA!J549,'GRADING PACKING'!L$6=INWARDDATA!I549,AB549=0),"TRUE","FALSE")</f>
        <v>FALSE</v>
      </c>
      <c r="Y549" s="29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1"/>
      <c r="AK549" s="31"/>
      <c r="AL549" s="31"/>
      <c r="AM549" s="31"/>
      <c r="AN549" s="32" t="str">
        <f>+IF(AND('GRADING PACKING'!L$5=INWARDDATA!J549,'GRADING PACKING'!L$6=INWARDDATA!I549,AR549=0),"good","bad")</f>
        <v>bad</v>
      </c>
      <c r="AO549" s="33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86"/>
      <c r="BC549" s="86"/>
      <c r="BD549" s="97">
        <f>Table_15[[#This Row],[Wgt-Bag]]-Table_15[[#This Row],[Total Graded]]-Table_15[[#This Row],[UNDERSIZE]]+0.0011</f>
        <v>1.1000000000000001E-3</v>
      </c>
      <c r="BE549" s="86">
        <f>Table_15[[#This Row],[Total Graded]]-Table_15[[#This Row],[Packing Quantity]]+Table_15[[#This Row],[PACKING LOOSE]]</f>
        <v>0</v>
      </c>
      <c r="BF549" s="34">
        <f>IF(Table_15[[#This Row],[GRADED BAGS]]&gt;0,Table_15[[#This Row],[GRADED BAGS]],Table_15[[#This Row],[Bags]])</f>
        <v>0</v>
      </c>
    </row>
    <row r="550" spans="1:58" ht="15.75" hidden="1" customHeight="1" x14ac:dyDescent="0.35">
      <c r="A550" s="22"/>
      <c r="B550" s="22"/>
      <c r="C550" s="23"/>
      <c r="D550" s="23"/>
      <c r="E550" s="24"/>
      <c r="F550" s="23"/>
      <c r="G550" s="100"/>
      <c r="H550" s="101"/>
      <c r="I550" s="102"/>
      <c r="J550" s="102"/>
      <c r="K550" s="233"/>
      <c r="L550" s="22"/>
      <c r="M550" s="25">
        <f t="shared" si="41"/>
        <v>0</v>
      </c>
      <c r="N550" s="25">
        <f t="shared" si="42"/>
        <v>0</v>
      </c>
      <c r="O550" s="25">
        <f t="shared" si="43"/>
        <v>0</v>
      </c>
      <c r="P550" s="25">
        <f t="shared" si="44"/>
        <v>0</v>
      </c>
      <c r="Q550" s="22"/>
      <c r="R550" s="22"/>
      <c r="S550" s="22"/>
      <c r="T550" s="22"/>
      <c r="U550" s="26">
        <f t="shared" si="45"/>
        <v>0</v>
      </c>
      <c r="V550" s="27"/>
      <c r="W550" s="28"/>
      <c r="X550" s="25" t="str">
        <f>+IF(AND('GRADING PACKING'!L$5=INWARDDATA!J550,'GRADING PACKING'!L$6=INWARDDATA!I550,AB550=0),"TRUE","FALSE")</f>
        <v>FALSE</v>
      </c>
      <c r="Y550" s="29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1"/>
      <c r="AK550" s="31"/>
      <c r="AL550" s="31"/>
      <c r="AM550" s="31"/>
      <c r="AN550" s="32" t="str">
        <f>+IF(AND('GRADING PACKING'!L$5=INWARDDATA!J550,'GRADING PACKING'!L$6=INWARDDATA!I550,AR550=0),"good","bad")</f>
        <v>bad</v>
      </c>
      <c r="AO550" s="33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86"/>
      <c r="BC550" s="86"/>
      <c r="BD550" s="97">
        <f>Table_15[[#This Row],[Wgt-Bag]]-Table_15[[#This Row],[Total Graded]]-Table_15[[#This Row],[UNDERSIZE]]+0.0011</f>
        <v>1.1000000000000001E-3</v>
      </c>
      <c r="BE550" s="86">
        <f>Table_15[[#This Row],[Total Graded]]-Table_15[[#This Row],[Packing Quantity]]+Table_15[[#This Row],[PACKING LOOSE]]</f>
        <v>0</v>
      </c>
      <c r="BF550" s="34">
        <f>IF(Table_15[[#This Row],[GRADED BAGS]]&gt;0,Table_15[[#This Row],[GRADED BAGS]],Table_15[[#This Row],[Bags]])</f>
        <v>0</v>
      </c>
    </row>
    <row r="551" spans="1:58" ht="15.75" hidden="1" customHeight="1" x14ac:dyDescent="0.35">
      <c r="A551" s="22"/>
      <c r="B551" s="22"/>
      <c r="C551" s="23"/>
      <c r="D551" s="23"/>
      <c r="E551" s="24"/>
      <c r="F551" s="23"/>
      <c r="G551" s="100"/>
      <c r="H551" s="101"/>
      <c r="I551" s="102"/>
      <c r="J551" s="102"/>
      <c r="K551" s="233"/>
      <c r="L551" s="22"/>
      <c r="M551" s="25">
        <f t="shared" si="41"/>
        <v>0</v>
      </c>
      <c r="N551" s="25">
        <f t="shared" si="42"/>
        <v>0</v>
      </c>
      <c r="O551" s="25">
        <f t="shared" si="43"/>
        <v>0</v>
      </c>
      <c r="P551" s="25">
        <f t="shared" si="44"/>
        <v>0</v>
      </c>
      <c r="Q551" s="22"/>
      <c r="R551" s="22"/>
      <c r="S551" s="22"/>
      <c r="T551" s="22"/>
      <c r="U551" s="26">
        <f t="shared" si="45"/>
        <v>0</v>
      </c>
      <c r="V551" s="27"/>
      <c r="W551" s="28"/>
      <c r="X551" s="25" t="str">
        <f>+IF(AND('GRADING PACKING'!L$5=INWARDDATA!J551,'GRADING PACKING'!L$6=INWARDDATA!I551,AB551=0),"TRUE","FALSE")</f>
        <v>FALSE</v>
      </c>
      <c r="Y551" s="29"/>
      <c r="Z551" s="30"/>
      <c r="AA551" s="30"/>
      <c r="AB551" s="30"/>
      <c r="AC551" s="30"/>
      <c r="AD551" s="30"/>
      <c r="AE551" s="30"/>
      <c r="AF551" s="30"/>
      <c r="AG551" s="30"/>
      <c r="AH551" s="30"/>
      <c r="AI551" s="30"/>
      <c r="AJ551" s="31"/>
      <c r="AK551" s="31"/>
      <c r="AL551" s="31"/>
      <c r="AM551" s="31"/>
      <c r="AN551" s="32" t="str">
        <f>+IF(AND('GRADING PACKING'!L$5=INWARDDATA!J551,'GRADING PACKING'!L$6=INWARDDATA!I551,AR551=0),"good","bad")</f>
        <v>bad</v>
      </c>
      <c r="AO551" s="33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86"/>
      <c r="BC551" s="86"/>
      <c r="BD551" s="97">
        <f>Table_15[[#This Row],[Wgt-Bag]]-Table_15[[#This Row],[Total Graded]]-Table_15[[#This Row],[UNDERSIZE]]+0.0011</f>
        <v>1.1000000000000001E-3</v>
      </c>
      <c r="BE551" s="86">
        <f>Table_15[[#This Row],[Total Graded]]-Table_15[[#This Row],[Packing Quantity]]+Table_15[[#This Row],[PACKING LOOSE]]</f>
        <v>0</v>
      </c>
      <c r="BF551" s="34">
        <f>IF(Table_15[[#This Row],[GRADED BAGS]]&gt;0,Table_15[[#This Row],[GRADED BAGS]],Table_15[[#This Row],[Bags]])</f>
        <v>0</v>
      </c>
    </row>
    <row r="552" spans="1:58" ht="15.75" hidden="1" customHeight="1" x14ac:dyDescent="0.35">
      <c r="A552" s="22"/>
      <c r="B552" s="22"/>
      <c r="C552" s="23"/>
      <c r="D552" s="23"/>
      <c r="E552" s="24"/>
      <c r="F552" s="23"/>
      <c r="G552" s="100"/>
      <c r="H552" s="101"/>
      <c r="I552" s="102"/>
      <c r="J552" s="102"/>
      <c r="K552" s="233"/>
      <c r="L552" s="22"/>
      <c r="M552" s="25">
        <f t="shared" si="41"/>
        <v>0</v>
      </c>
      <c r="N552" s="25">
        <f t="shared" si="42"/>
        <v>0</v>
      </c>
      <c r="O552" s="25">
        <f t="shared" si="43"/>
        <v>0</v>
      </c>
      <c r="P552" s="25">
        <f t="shared" si="44"/>
        <v>0</v>
      </c>
      <c r="Q552" s="22"/>
      <c r="R552" s="22"/>
      <c r="S552" s="22"/>
      <c r="T552" s="22"/>
      <c r="U552" s="26">
        <f t="shared" si="45"/>
        <v>0</v>
      </c>
      <c r="V552" s="27"/>
      <c r="W552" s="28"/>
      <c r="X552" s="25" t="str">
        <f>+IF(AND('GRADING PACKING'!L$5=INWARDDATA!J552,'GRADING PACKING'!L$6=INWARDDATA!I552,AB552=0),"TRUE","FALSE")</f>
        <v>FALSE</v>
      </c>
      <c r="Y552" s="29"/>
      <c r="Z552" s="30"/>
      <c r="AA552" s="30"/>
      <c r="AB552" s="30"/>
      <c r="AC552" s="30"/>
      <c r="AD552" s="30"/>
      <c r="AE552" s="30"/>
      <c r="AF552" s="30"/>
      <c r="AG552" s="30"/>
      <c r="AH552" s="30"/>
      <c r="AI552" s="30"/>
      <c r="AJ552" s="31"/>
      <c r="AK552" s="31"/>
      <c r="AL552" s="31"/>
      <c r="AM552" s="31"/>
      <c r="AN552" s="32" t="str">
        <f>+IF(AND('GRADING PACKING'!L$5=INWARDDATA!J552,'GRADING PACKING'!L$6=INWARDDATA!I552,AR552=0),"good","bad")</f>
        <v>bad</v>
      </c>
      <c r="AO552" s="33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86"/>
      <c r="BC552" s="86"/>
      <c r="BD552" s="97">
        <f>Table_15[[#This Row],[Wgt-Bag]]-Table_15[[#This Row],[Total Graded]]-Table_15[[#This Row],[UNDERSIZE]]+0.0011</f>
        <v>1.1000000000000001E-3</v>
      </c>
      <c r="BE552" s="86">
        <f>Table_15[[#This Row],[Total Graded]]-Table_15[[#This Row],[Packing Quantity]]+Table_15[[#This Row],[PACKING LOOSE]]</f>
        <v>0</v>
      </c>
      <c r="BF552" s="34">
        <f>IF(Table_15[[#This Row],[GRADED BAGS]]&gt;0,Table_15[[#This Row],[GRADED BAGS]],Table_15[[#This Row],[Bags]])</f>
        <v>0</v>
      </c>
    </row>
    <row r="553" spans="1:58" ht="15.75" hidden="1" customHeight="1" x14ac:dyDescent="0.35">
      <c r="A553" s="22"/>
      <c r="B553" s="22"/>
      <c r="C553" s="23"/>
      <c r="D553" s="23"/>
      <c r="E553" s="24"/>
      <c r="F553" s="23"/>
      <c r="G553" s="100"/>
      <c r="H553" s="101"/>
      <c r="I553" s="102"/>
      <c r="J553" s="102"/>
      <c r="K553" s="233"/>
      <c r="L553" s="22"/>
      <c r="M553" s="25">
        <f t="shared" si="41"/>
        <v>0</v>
      </c>
      <c r="N553" s="25">
        <f t="shared" si="42"/>
        <v>0</v>
      </c>
      <c r="O553" s="25">
        <f t="shared" si="43"/>
        <v>0</v>
      </c>
      <c r="P553" s="25">
        <f t="shared" si="44"/>
        <v>0</v>
      </c>
      <c r="Q553" s="22"/>
      <c r="R553" s="22"/>
      <c r="S553" s="22"/>
      <c r="T553" s="22"/>
      <c r="U553" s="26">
        <f t="shared" si="45"/>
        <v>0</v>
      </c>
      <c r="V553" s="27"/>
      <c r="W553" s="28"/>
      <c r="X553" s="25" t="str">
        <f>+IF(AND('GRADING PACKING'!L$5=INWARDDATA!J553,'GRADING PACKING'!L$6=INWARDDATA!I553,AB553=0),"TRUE","FALSE")</f>
        <v>FALSE</v>
      </c>
      <c r="Y553" s="29"/>
      <c r="Z553" s="30"/>
      <c r="AA553" s="30"/>
      <c r="AB553" s="30"/>
      <c r="AC553" s="30"/>
      <c r="AD553" s="30"/>
      <c r="AE553" s="30"/>
      <c r="AF553" s="30"/>
      <c r="AG553" s="30"/>
      <c r="AH553" s="30"/>
      <c r="AI553" s="30"/>
      <c r="AJ553" s="31"/>
      <c r="AK553" s="31"/>
      <c r="AL553" s="31"/>
      <c r="AM553" s="31"/>
      <c r="AN553" s="32" t="str">
        <f>+IF(AND('GRADING PACKING'!L$5=INWARDDATA!J553,'GRADING PACKING'!L$6=INWARDDATA!I553,AR553=0),"good","bad")</f>
        <v>bad</v>
      </c>
      <c r="AO553" s="33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86"/>
      <c r="BC553" s="86"/>
      <c r="BD553" s="97">
        <f>Table_15[[#This Row],[Wgt-Bag]]-Table_15[[#This Row],[Total Graded]]-Table_15[[#This Row],[UNDERSIZE]]+0.0011</f>
        <v>1.1000000000000001E-3</v>
      </c>
      <c r="BE553" s="86">
        <f>Table_15[[#This Row],[Total Graded]]-Table_15[[#This Row],[Packing Quantity]]+Table_15[[#This Row],[PACKING LOOSE]]</f>
        <v>0</v>
      </c>
      <c r="BF553" s="34">
        <f>IF(Table_15[[#This Row],[GRADED BAGS]]&gt;0,Table_15[[#This Row],[GRADED BAGS]],Table_15[[#This Row],[Bags]])</f>
        <v>0</v>
      </c>
    </row>
    <row r="554" spans="1:58" ht="15.75" hidden="1" customHeight="1" x14ac:dyDescent="0.35">
      <c r="A554" s="22"/>
      <c r="B554" s="22"/>
      <c r="C554" s="23"/>
      <c r="D554" s="23"/>
      <c r="E554" s="24"/>
      <c r="F554" s="23"/>
      <c r="G554" s="100"/>
      <c r="H554" s="101"/>
      <c r="I554" s="102"/>
      <c r="J554" s="102"/>
      <c r="K554" s="233"/>
      <c r="L554" s="22"/>
      <c r="M554" s="25">
        <f t="shared" si="41"/>
        <v>0</v>
      </c>
      <c r="N554" s="25">
        <f t="shared" si="42"/>
        <v>0</v>
      </c>
      <c r="O554" s="25">
        <f t="shared" si="43"/>
        <v>0</v>
      </c>
      <c r="P554" s="25">
        <f t="shared" si="44"/>
        <v>0</v>
      </c>
      <c r="Q554" s="22"/>
      <c r="R554" s="22"/>
      <c r="S554" s="22"/>
      <c r="T554" s="22"/>
      <c r="U554" s="26">
        <f t="shared" si="45"/>
        <v>0</v>
      </c>
      <c r="V554" s="27"/>
      <c r="W554" s="28"/>
      <c r="X554" s="25" t="str">
        <f>+IF(AND('GRADING PACKING'!L$5=INWARDDATA!J554,'GRADING PACKING'!L$6=INWARDDATA!I554,AB554=0),"TRUE","FALSE")</f>
        <v>FALSE</v>
      </c>
      <c r="Y554" s="29"/>
      <c r="Z554" s="30"/>
      <c r="AA554" s="30"/>
      <c r="AB554" s="30"/>
      <c r="AC554" s="30"/>
      <c r="AD554" s="30"/>
      <c r="AE554" s="30"/>
      <c r="AF554" s="30"/>
      <c r="AG554" s="30"/>
      <c r="AH554" s="30"/>
      <c r="AI554" s="30"/>
      <c r="AJ554" s="31"/>
      <c r="AK554" s="31"/>
      <c r="AL554" s="31"/>
      <c r="AM554" s="31"/>
      <c r="AN554" s="32" t="str">
        <f>+IF(AND('GRADING PACKING'!L$5=INWARDDATA!J554,'GRADING PACKING'!L$6=INWARDDATA!I554,AR554=0),"good","bad")</f>
        <v>bad</v>
      </c>
      <c r="AO554" s="33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86"/>
      <c r="BC554" s="86"/>
      <c r="BD554" s="97">
        <f>Table_15[[#This Row],[Wgt-Bag]]-Table_15[[#This Row],[Total Graded]]-Table_15[[#This Row],[UNDERSIZE]]+0.0011</f>
        <v>1.1000000000000001E-3</v>
      </c>
      <c r="BE554" s="86">
        <f>Table_15[[#This Row],[Total Graded]]-Table_15[[#This Row],[Packing Quantity]]+Table_15[[#This Row],[PACKING LOOSE]]</f>
        <v>0</v>
      </c>
      <c r="BF554" s="34">
        <f>IF(Table_15[[#This Row],[GRADED BAGS]]&gt;0,Table_15[[#This Row],[GRADED BAGS]],Table_15[[#This Row],[Bags]])</f>
        <v>0</v>
      </c>
    </row>
    <row r="555" spans="1:58" ht="15.75" hidden="1" customHeight="1" x14ac:dyDescent="0.35">
      <c r="A555" s="22"/>
      <c r="B555" s="22"/>
      <c r="C555" s="23"/>
      <c r="D555" s="23"/>
      <c r="E555" s="24"/>
      <c r="F555" s="23"/>
      <c r="G555" s="100"/>
      <c r="H555" s="101"/>
      <c r="I555" s="102"/>
      <c r="J555" s="102"/>
      <c r="K555" s="233"/>
      <c r="L555" s="22"/>
      <c r="M555" s="25">
        <f t="shared" si="41"/>
        <v>0</v>
      </c>
      <c r="N555" s="25">
        <f t="shared" si="42"/>
        <v>0</v>
      </c>
      <c r="O555" s="25">
        <f t="shared" si="43"/>
        <v>0</v>
      </c>
      <c r="P555" s="25">
        <f t="shared" si="44"/>
        <v>0</v>
      </c>
      <c r="Q555" s="22"/>
      <c r="R555" s="22"/>
      <c r="S555" s="22"/>
      <c r="T555" s="22"/>
      <c r="U555" s="26">
        <f t="shared" si="45"/>
        <v>0</v>
      </c>
      <c r="V555" s="27"/>
      <c r="W555" s="28"/>
      <c r="X555" s="25" t="str">
        <f>+IF(AND('GRADING PACKING'!L$5=INWARDDATA!J555,'GRADING PACKING'!L$6=INWARDDATA!I555,AB555=0),"TRUE","FALSE")</f>
        <v>FALSE</v>
      </c>
      <c r="Y555" s="29"/>
      <c r="Z555" s="30"/>
      <c r="AA555" s="30"/>
      <c r="AB555" s="30"/>
      <c r="AC555" s="30"/>
      <c r="AD555" s="30"/>
      <c r="AE555" s="30"/>
      <c r="AF555" s="30"/>
      <c r="AG555" s="30"/>
      <c r="AH555" s="30"/>
      <c r="AI555" s="30"/>
      <c r="AJ555" s="31"/>
      <c r="AK555" s="31"/>
      <c r="AL555" s="31"/>
      <c r="AM555" s="31"/>
      <c r="AN555" s="32" t="str">
        <f>+IF(AND('GRADING PACKING'!L$5=INWARDDATA!J555,'GRADING PACKING'!L$6=INWARDDATA!I555,AR555=0),"good","bad")</f>
        <v>bad</v>
      </c>
      <c r="AO555" s="33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86"/>
      <c r="BC555" s="86"/>
      <c r="BD555" s="97">
        <f>Table_15[[#This Row],[Wgt-Bag]]-Table_15[[#This Row],[Total Graded]]-Table_15[[#This Row],[UNDERSIZE]]+0.0011</f>
        <v>1.1000000000000001E-3</v>
      </c>
      <c r="BE555" s="86">
        <f>Table_15[[#This Row],[Total Graded]]-Table_15[[#This Row],[Packing Quantity]]+Table_15[[#This Row],[PACKING LOOSE]]</f>
        <v>0</v>
      </c>
      <c r="BF555" s="34">
        <f>IF(Table_15[[#This Row],[GRADED BAGS]]&gt;0,Table_15[[#This Row],[GRADED BAGS]],Table_15[[#This Row],[Bags]])</f>
        <v>0</v>
      </c>
    </row>
    <row r="556" spans="1:58" ht="15.75" hidden="1" customHeight="1" x14ac:dyDescent="0.35">
      <c r="A556" s="22"/>
      <c r="B556" s="22"/>
      <c r="C556" s="23"/>
      <c r="D556" s="23"/>
      <c r="E556" s="24"/>
      <c r="F556" s="23"/>
      <c r="G556" s="100"/>
      <c r="H556" s="101"/>
      <c r="I556" s="102"/>
      <c r="J556" s="102"/>
      <c r="K556" s="233"/>
      <c r="L556" s="22"/>
      <c r="M556" s="25">
        <f t="shared" si="41"/>
        <v>0</v>
      </c>
      <c r="N556" s="25">
        <f t="shared" si="42"/>
        <v>0</v>
      </c>
      <c r="O556" s="25">
        <f t="shared" si="43"/>
        <v>0</v>
      </c>
      <c r="P556" s="25">
        <f t="shared" si="44"/>
        <v>0</v>
      </c>
      <c r="Q556" s="22"/>
      <c r="R556" s="22"/>
      <c r="S556" s="22"/>
      <c r="T556" s="22"/>
      <c r="U556" s="26">
        <f t="shared" si="45"/>
        <v>0</v>
      </c>
      <c r="V556" s="27"/>
      <c r="W556" s="28"/>
      <c r="X556" s="25" t="str">
        <f>+IF(AND('GRADING PACKING'!L$5=INWARDDATA!J556,'GRADING PACKING'!L$6=INWARDDATA!I556,AB556=0),"TRUE","FALSE")</f>
        <v>FALSE</v>
      </c>
      <c r="Y556" s="29"/>
      <c r="Z556" s="30"/>
      <c r="AA556" s="30"/>
      <c r="AB556" s="30"/>
      <c r="AC556" s="30"/>
      <c r="AD556" s="30"/>
      <c r="AE556" s="30"/>
      <c r="AF556" s="30"/>
      <c r="AG556" s="30"/>
      <c r="AH556" s="30"/>
      <c r="AI556" s="30"/>
      <c r="AJ556" s="31"/>
      <c r="AK556" s="31"/>
      <c r="AL556" s="31"/>
      <c r="AM556" s="31"/>
      <c r="AN556" s="32" t="str">
        <f>+IF(AND('GRADING PACKING'!L$5=INWARDDATA!J556,'GRADING PACKING'!L$6=INWARDDATA!I556,AR556=0),"good","bad")</f>
        <v>bad</v>
      </c>
      <c r="AO556" s="33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86"/>
      <c r="BC556" s="86"/>
      <c r="BD556" s="97">
        <f>Table_15[[#This Row],[Wgt-Bag]]-Table_15[[#This Row],[Total Graded]]-Table_15[[#This Row],[UNDERSIZE]]+0.0011</f>
        <v>1.1000000000000001E-3</v>
      </c>
      <c r="BE556" s="86">
        <f>Table_15[[#This Row],[Total Graded]]-Table_15[[#This Row],[Packing Quantity]]+Table_15[[#This Row],[PACKING LOOSE]]</f>
        <v>0</v>
      </c>
      <c r="BF556" s="34">
        <f>IF(Table_15[[#This Row],[GRADED BAGS]]&gt;0,Table_15[[#This Row],[GRADED BAGS]],Table_15[[#This Row],[Bags]])</f>
        <v>0</v>
      </c>
    </row>
    <row r="557" spans="1:58" ht="15.75" hidden="1" customHeight="1" x14ac:dyDescent="0.35">
      <c r="A557" s="22"/>
      <c r="B557" s="22"/>
      <c r="C557" s="23"/>
      <c r="D557" s="23"/>
      <c r="E557" s="24"/>
      <c r="F557" s="23"/>
      <c r="G557" s="100"/>
      <c r="H557" s="101"/>
      <c r="I557" s="102"/>
      <c r="J557" s="102"/>
      <c r="K557" s="233"/>
      <c r="L557" s="22"/>
      <c r="M557" s="25">
        <f t="shared" si="41"/>
        <v>0</v>
      </c>
      <c r="N557" s="25">
        <f t="shared" si="42"/>
        <v>0</v>
      </c>
      <c r="O557" s="25">
        <f t="shared" si="43"/>
        <v>0</v>
      </c>
      <c r="P557" s="25">
        <f t="shared" si="44"/>
        <v>0</v>
      </c>
      <c r="Q557" s="22"/>
      <c r="R557" s="22"/>
      <c r="S557" s="22"/>
      <c r="T557" s="22"/>
      <c r="U557" s="26">
        <f t="shared" si="45"/>
        <v>0</v>
      </c>
      <c r="V557" s="27"/>
      <c r="W557" s="28"/>
      <c r="X557" s="25" t="str">
        <f>+IF(AND('GRADING PACKING'!L$5=INWARDDATA!J557,'GRADING PACKING'!L$6=INWARDDATA!I557,AB557=0),"TRUE","FALSE")</f>
        <v>FALSE</v>
      </c>
      <c r="Y557" s="29"/>
      <c r="Z557" s="30"/>
      <c r="AA557" s="30"/>
      <c r="AB557" s="30"/>
      <c r="AC557" s="30"/>
      <c r="AD557" s="30"/>
      <c r="AE557" s="30"/>
      <c r="AF557" s="30"/>
      <c r="AG557" s="30"/>
      <c r="AH557" s="30"/>
      <c r="AI557" s="30"/>
      <c r="AJ557" s="31"/>
      <c r="AK557" s="31"/>
      <c r="AL557" s="31"/>
      <c r="AM557" s="31"/>
      <c r="AN557" s="32" t="str">
        <f>+IF(AND('GRADING PACKING'!L$5=INWARDDATA!J557,'GRADING PACKING'!L$6=INWARDDATA!I557,AR557=0),"good","bad")</f>
        <v>bad</v>
      </c>
      <c r="AO557" s="33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86"/>
      <c r="BC557" s="86"/>
      <c r="BD557" s="97">
        <f>Table_15[[#This Row],[Wgt-Bag]]-Table_15[[#This Row],[Total Graded]]-Table_15[[#This Row],[UNDERSIZE]]+0.0011</f>
        <v>1.1000000000000001E-3</v>
      </c>
      <c r="BE557" s="86">
        <f>Table_15[[#This Row],[Total Graded]]-Table_15[[#This Row],[Packing Quantity]]+Table_15[[#This Row],[PACKING LOOSE]]</f>
        <v>0</v>
      </c>
      <c r="BF557" s="34">
        <f>IF(Table_15[[#This Row],[GRADED BAGS]]&gt;0,Table_15[[#This Row],[GRADED BAGS]],Table_15[[#This Row],[Bags]])</f>
        <v>0</v>
      </c>
    </row>
    <row r="558" spans="1:58" ht="15.75" hidden="1" customHeight="1" x14ac:dyDescent="0.35">
      <c r="A558" s="22"/>
      <c r="B558" s="22"/>
      <c r="C558" s="23"/>
      <c r="D558" s="23"/>
      <c r="E558" s="24"/>
      <c r="F558" s="23"/>
      <c r="G558" s="100"/>
      <c r="H558" s="101"/>
      <c r="I558" s="102"/>
      <c r="J558" s="102"/>
      <c r="K558" s="233"/>
      <c r="L558" s="22"/>
      <c r="M558" s="25">
        <f t="shared" si="41"/>
        <v>0</v>
      </c>
      <c r="N558" s="25">
        <f t="shared" si="42"/>
        <v>0</v>
      </c>
      <c r="O558" s="25">
        <f t="shared" si="43"/>
        <v>0</v>
      </c>
      <c r="P558" s="25">
        <f t="shared" si="44"/>
        <v>0</v>
      </c>
      <c r="Q558" s="22"/>
      <c r="R558" s="22"/>
      <c r="S558" s="22"/>
      <c r="T558" s="22"/>
      <c r="U558" s="26">
        <f t="shared" si="45"/>
        <v>0</v>
      </c>
      <c r="V558" s="27"/>
      <c r="W558" s="28"/>
      <c r="X558" s="25" t="str">
        <f>+IF(AND('GRADING PACKING'!L$5=INWARDDATA!J558,'GRADING PACKING'!L$6=INWARDDATA!I558,AB558=0),"TRUE","FALSE")</f>
        <v>FALSE</v>
      </c>
      <c r="Y558" s="29"/>
      <c r="Z558" s="30"/>
      <c r="AA558" s="30"/>
      <c r="AB558" s="30"/>
      <c r="AC558" s="30"/>
      <c r="AD558" s="30"/>
      <c r="AE558" s="30"/>
      <c r="AF558" s="30"/>
      <c r="AG558" s="30"/>
      <c r="AH558" s="30"/>
      <c r="AI558" s="30"/>
      <c r="AJ558" s="31"/>
      <c r="AK558" s="31"/>
      <c r="AL558" s="31"/>
      <c r="AM558" s="31"/>
      <c r="AN558" s="32" t="str">
        <f>+IF(AND('GRADING PACKING'!L$5=INWARDDATA!J558,'GRADING PACKING'!L$6=INWARDDATA!I558,AR558=0),"good","bad")</f>
        <v>bad</v>
      </c>
      <c r="AO558" s="33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86"/>
      <c r="BC558" s="86"/>
      <c r="BD558" s="97">
        <f>Table_15[[#This Row],[Wgt-Bag]]-Table_15[[#This Row],[Total Graded]]-Table_15[[#This Row],[UNDERSIZE]]+0.0011</f>
        <v>1.1000000000000001E-3</v>
      </c>
      <c r="BE558" s="86">
        <f>Table_15[[#This Row],[Total Graded]]-Table_15[[#This Row],[Packing Quantity]]+Table_15[[#This Row],[PACKING LOOSE]]</f>
        <v>0</v>
      </c>
      <c r="BF558" s="34">
        <f>IF(Table_15[[#This Row],[GRADED BAGS]]&gt;0,Table_15[[#This Row],[GRADED BAGS]],Table_15[[#This Row],[Bags]])</f>
        <v>0</v>
      </c>
    </row>
    <row r="559" spans="1:58" ht="15.75" hidden="1" customHeight="1" x14ac:dyDescent="0.35">
      <c r="A559" s="22"/>
      <c r="B559" s="22"/>
      <c r="C559" s="23"/>
      <c r="D559" s="23"/>
      <c r="E559" s="24"/>
      <c r="F559" s="23"/>
      <c r="G559" s="100"/>
      <c r="H559" s="101"/>
      <c r="I559" s="102"/>
      <c r="J559" s="102"/>
      <c r="K559" s="233"/>
      <c r="L559" s="22"/>
      <c r="M559" s="25">
        <f t="shared" si="41"/>
        <v>0</v>
      </c>
      <c r="N559" s="25">
        <f t="shared" si="42"/>
        <v>0</v>
      </c>
      <c r="O559" s="25">
        <f t="shared" si="43"/>
        <v>0</v>
      </c>
      <c r="P559" s="25">
        <f t="shared" si="44"/>
        <v>0</v>
      </c>
      <c r="Q559" s="22"/>
      <c r="R559" s="22"/>
      <c r="S559" s="22"/>
      <c r="T559" s="22"/>
      <c r="U559" s="26">
        <f t="shared" si="45"/>
        <v>0</v>
      </c>
      <c r="V559" s="27"/>
      <c r="W559" s="28"/>
      <c r="X559" s="25" t="str">
        <f>+IF(AND('GRADING PACKING'!L$5=INWARDDATA!J559,'GRADING PACKING'!L$6=INWARDDATA!I559,AB559=0),"TRUE","FALSE")</f>
        <v>FALSE</v>
      </c>
      <c r="Y559" s="29"/>
      <c r="Z559" s="30"/>
      <c r="AA559" s="30"/>
      <c r="AB559" s="30"/>
      <c r="AC559" s="30"/>
      <c r="AD559" s="30"/>
      <c r="AE559" s="30"/>
      <c r="AF559" s="30"/>
      <c r="AG559" s="30"/>
      <c r="AH559" s="30"/>
      <c r="AI559" s="30"/>
      <c r="AJ559" s="31"/>
      <c r="AK559" s="31"/>
      <c r="AL559" s="31"/>
      <c r="AM559" s="31"/>
      <c r="AN559" s="32" t="str">
        <f>+IF(AND('GRADING PACKING'!L$5=INWARDDATA!J559,'GRADING PACKING'!L$6=INWARDDATA!I559,AR559=0),"good","bad")</f>
        <v>bad</v>
      </c>
      <c r="AO559" s="33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86"/>
      <c r="BC559" s="86"/>
      <c r="BD559" s="97">
        <f>Table_15[[#This Row],[Wgt-Bag]]-Table_15[[#This Row],[Total Graded]]-Table_15[[#This Row],[UNDERSIZE]]+0.0011</f>
        <v>1.1000000000000001E-3</v>
      </c>
      <c r="BE559" s="86">
        <f>Table_15[[#This Row],[Total Graded]]-Table_15[[#This Row],[Packing Quantity]]+Table_15[[#This Row],[PACKING LOOSE]]</f>
        <v>0</v>
      </c>
      <c r="BF559" s="34">
        <f>IF(Table_15[[#This Row],[GRADED BAGS]]&gt;0,Table_15[[#This Row],[GRADED BAGS]],Table_15[[#This Row],[Bags]])</f>
        <v>0</v>
      </c>
    </row>
    <row r="560" spans="1:58" ht="15.75" hidden="1" customHeight="1" x14ac:dyDescent="0.35">
      <c r="A560" s="22"/>
      <c r="B560" s="22"/>
      <c r="C560" s="23"/>
      <c r="D560" s="23"/>
      <c r="E560" s="24"/>
      <c r="F560" s="23"/>
      <c r="G560" s="100"/>
      <c r="H560" s="101"/>
      <c r="I560" s="102"/>
      <c r="J560" s="102"/>
      <c r="K560" s="233"/>
      <c r="L560" s="22"/>
      <c r="M560" s="25">
        <f t="shared" si="41"/>
        <v>0</v>
      </c>
      <c r="N560" s="25">
        <f t="shared" si="42"/>
        <v>0</v>
      </c>
      <c r="O560" s="25">
        <f t="shared" si="43"/>
        <v>0</v>
      </c>
      <c r="P560" s="25">
        <f t="shared" si="44"/>
        <v>0</v>
      </c>
      <c r="Q560" s="22"/>
      <c r="R560" s="22"/>
      <c r="S560" s="22"/>
      <c r="T560" s="22"/>
      <c r="U560" s="26">
        <f t="shared" si="45"/>
        <v>0</v>
      </c>
      <c r="V560" s="27"/>
      <c r="W560" s="28"/>
      <c r="X560" s="25" t="str">
        <f>+IF(AND('GRADING PACKING'!L$5=INWARDDATA!J560,'GRADING PACKING'!L$6=INWARDDATA!I560,AB560=0),"TRUE","FALSE")</f>
        <v>FALSE</v>
      </c>
      <c r="Y560" s="29"/>
      <c r="Z560" s="30"/>
      <c r="AA560" s="30"/>
      <c r="AB560" s="30"/>
      <c r="AC560" s="30"/>
      <c r="AD560" s="30"/>
      <c r="AE560" s="30"/>
      <c r="AF560" s="30"/>
      <c r="AG560" s="30"/>
      <c r="AH560" s="30"/>
      <c r="AI560" s="30"/>
      <c r="AJ560" s="31"/>
      <c r="AK560" s="31"/>
      <c r="AL560" s="31"/>
      <c r="AM560" s="31"/>
      <c r="AN560" s="32" t="str">
        <f>+IF(AND('GRADING PACKING'!L$5=INWARDDATA!J560,'GRADING PACKING'!L$6=INWARDDATA!I560,AR560=0),"good","bad")</f>
        <v>bad</v>
      </c>
      <c r="AO560" s="33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86"/>
      <c r="BC560" s="86"/>
      <c r="BD560" s="97">
        <f>Table_15[[#This Row],[Wgt-Bag]]-Table_15[[#This Row],[Total Graded]]-Table_15[[#This Row],[UNDERSIZE]]+0.0011</f>
        <v>1.1000000000000001E-3</v>
      </c>
      <c r="BE560" s="86">
        <f>Table_15[[#This Row],[Total Graded]]-Table_15[[#This Row],[Packing Quantity]]+Table_15[[#This Row],[PACKING LOOSE]]</f>
        <v>0</v>
      </c>
      <c r="BF560" s="34">
        <f>IF(Table_15[[#This Row],[GRADED BAGS]]&gt;0,Table_15[[#This Row],[GRADED BAGS]],Table_15[[#This Row],[Bags]])</f>
        <v>0</v>
      </c>
    </row>
    <row r="561" spans="1:58" ht="15.75" hidden="1" customHeight="1" x14ac:dyDescent="0.35">
      <c r="A561" s="22"/>
      <c r="B561" s="22"/>
      <c r="C561" s="23"/>
      <c r="D561" s="23"/>
      <c r="E561" s="24"/>
      <c r="F561" s="23"/>
      <c r="G561" s="100"/>
      <c r="H561" s="101"/>
      <c r="I561" s="102"/>
      <c r="J561" s="102"/>
      <c r="K561" s="233"/>
      <c r="L561" s="22"/>
      <c r="M561" s="25">
        <f t="shared" si="41"/>
        <v>0</v>
      </c>
      <c r="N561" s="25">
        <f t="shared" si="42"/>
        <v>0</v>
      </c>
      <c r="O561" s="25">
        <f t="shared" si="43"/>
        <v>0</v>
      </c>
      <c r="P561" s="25">
        <f t="shared" si="44"/>
        <v>0</v>
      </c>
      <c r="Q561" s="22"/>
      <c r="R561" s="22"/>
      <c r="S561" s="22"/>
      <c r="T561" s="22"/>
      <c r="U561" s="26">
        <f t="shared" si="45"/>
        <v>0</v>
      </c>
      <c r="V561" s="27"/>
      <c r="W561" s="28"/>
      <c r="X561" s="25" t="str">
        <f>+IF(AND('GRADING PACKING'!L$5=INWARDDATA!J561,'GRADING PACKING'!L$6=INWARDDATA!I561,AB561=0),"TRUE","FALSE")</f>
        <v>FALSE</v>
      </c>
      <c r="Y561" s="29"/>
      <c r="Z561" s="30"/>
      <c r="AA561" s="30"/>
      <c r="AB561" s="30"/>
      <c r="AC561" s="30"/>
      <c r="AD561" s="30"/>
      <c r="AE561" s="30"/>
      <c r="AF561" s="30"/>
      <c r="AG561" s="30"/>
      <c r="AH561" s="30"/>
      <c r="AI561" s="30"/>
      <c r="AJ561" s="31"/>
      <c r="AK561" s="31"/>
      <c r="AL561" s="31"/>
      <c r="AM561" s="31"/>
      <c r="AN561" s="32" t="str">
        <f>+IF(AND('GRADING PACKING'!L$5=INWARDDATA!J561,'GRADING PACKING'!L$6=INWARDDATA!I561,AR561=0),"good","bad")</f>
        <v>bad</v>
      </c>
      <c r="AO561" s="33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86"/>
      <c r="BC561" s="86"/>
      <c r="BD561" s="97">
        <f>Table_15[[#This Row],[Wgt-Bag]]-Table_15[[#This Row],[Total Graded]]-Table_15[[#This Row],[UNDERSIZE]]+0.0011</f>
        <v>1.1000000000000001E-3</v>
      </c>
      <c r="BE561" s="86">
        <f>Table_15[[#This Row],[Total Graded]]-Table_15[[#This Row],[Packing Quantity]]+Table_15[[#This Row],[PACKING LOOSE]]</f>
        <v>0</v>
      </c>
      <c r="BF561" s="34">
        <f>IF(Table_15[[#This Row],[GRADED BAGS]]&gt;0,Table_15[[#This Row],[GRADED BAGS]],Table_15[[#This Row],[Bags]])</f>
        <v>0</v>
      </c>
    </row>
    <row r="562" spans="1:58" ht="15.75" hidden="1" customHeight="1" x14ac:dyDescent="0.35">
      <c r="A562" s="22"/>
      <c r="B562" s="22"/>
      <c r="C562" s="23"/>
      <c r="D562" s="23"/>
      <c r="E562" s="24"/>
      <c r="F562" s="23"/>
      <c r="G562" s="100"/>
      <c r="H562" s="101"/>
      <c r="I562" s="102"/>
      <c r="J562" s="102"/>
      <c r="K562" s="233"/>
      <c r="L562" s="22"/>
      <c r="M562" s="25">
        <f t="shared" si="41"/>
        <v>0</v>
      </c>
      <c r="N562" s="25">
        <f t="shared" si="42"/>
        <v>0</v>
      </c>
      <c r="O562" s="25">
        <f t="shared" si="43"/>
        <v>0</v>
      </c>
      <c r="P562" s="25">
        <f t="shared" si="44"/>
        <v>0</v>
      </c>
      <c r="Q562" s="22"/>
      <c r="R562" s="22"/>
      <c r="S562" s="22"/>
      <c r="T562" s="22"/>
      <c r="U562" s="26">
        <f t="shared" si="45"/>
        <v>0</v>
      </c>
      <c r="V562" s="27"/>
      <c r="W562" s="28"/>
      <c r="X562" s="25" t="str">
        <f>+IF(AND('GRADING PACKING'!L$5=INWARDDATA!J562,'GRADING PACKING'!L$6=INWARDDATA!I562,AB562=0),"TRUE","FALSE")</f>
        <v>FALSE</v>
      </c>
      <c r="Y562" s="29"/>
      <c r="Z562" s="30"/>
      <c r="AA562" s="30"/>
      <c r="AB562" s="30"/>
      <c r="AC562" s="30"/>
      <c r="AD562" s="30"/>
      <c r="AE562" s="30"/>
      <c r="AF562" s="30"/>
      <c r="AG562" s="30"/>
      <c r="AH562" s="30"/>
      <c r="AI562" s="30"/>
      <c r="AJ562" s="31"/>
      <c r="AK562" s="31"/>
      <c r="AL562" s="31"/>
      <c r="AM562" s="31"/>
      <c r="AN562" s="32" t="str">
        <f>+IF(AND('GRADING PACKING'!L$5=INWARDDATA!J562,'GRADING PACKING'!L$6=INWARDDATA!I562,AR562=0),"good","bad")</f>
        <v>bad</v>
      </c>
      <c r="AO562" s="33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86"/>
      <c r="BC562" s="86"/>
      <c r="BD562" s="97">
        <f>Table_15[[#This Row],[Wgt-Bag]]-Table_15[[#This Row],[Total Graded]]-Table_15[[#This Row],[UNDERSIZE]]+0.0011</f>
        <v>1.1000000000000001E-3</v>
      </c>
      <c r="BE562" s="86">
        <f>Table_15[[#This Row],[Total Graded]]-Table_15[[#This Row],[Packing Quantity]]+Table_15[[#This Row],[PACKING LOOSE]]</f>
        <v>0</v>
      </c>
      <c r="BF562" s="34">
        <f>IF(Table_15[[#This Row],[GRADED BAGS]]&gt;0,Table_15[[#This Row],[GRADED BAGS]],Table_15[[#This Row],[Bags]])</f>
        <v>0</v>
      </c>
    </row>
    <row r="563" spans="1:58" ht="15.75" hidden="1" customHeight="1" x14ac:dyDescent="0.35">
      <c r="A563" s="22"/>
      <c r="B563" s="22"/>
      <c r="C563" s="23"/>
      <c r="D563" s="23"/>
      <c r="E563" s="24"/>
      <c r="F563" s="23"/>
      <c r="G563" s="100"/>
      <c r="H563" s="101"/>
      <c r="I563" s="102"/>
      <c r="J563" s="102"/>
      <c r="K563" s="233"/>
      <c r="L563" s="22"/>
      <c r="M563" s="25">
        <f t="shared" si="41"/>
        <v>0</v>
      </c>
      <c r="N563" s="25">
        <f t="shared" si="42"/>
        <v>0</v>
      </c>
      <c r="O563" s="25">
        <f t="shared" si="43"/>
        <v>0</v>
      </c>
      <c r="P563" s="25">
        <f t="shared" si="44"/>
        <v>0</v>
      </c>
      <c r="Q563" s="22"/>
      <c r="R563" s="22"/>
      <c r="S563" s="22"/>
      <c r="T563" s="22"/>
      <c r="U563" s="26">
        <f t="shared" si="45"/>
        <v>0</v>
      </c>
      <c r="V563" s="27"/>
      <c r="W563" s="28"/>
      <c r="X563" s="25" t="str">
        <f>+IF(AND('GRADING PACKING'!L$5=INWARDDATA!J563,'GRADING PACKING'!L$6=INWARDDATA!I563,AB563=0),"TRUE","FALSE")</f>
        <v>FALSE</v>
      </c>
      <c r="Y563" s="29"/>
      <c r="Z563" s="30"/>
      <c r="AA563" s="30"/>
      <c r="AB563" s="30"/>
      <c r="AC563" s="30"/>
      <c r="AD563" s="30"/>
      <c r="AE563" s="30"/>
      <c r="AF563" s="30"/>
      <c r="AG563" s="30"/>
      <c r="AH563" s="30"/>
      <c r="AI563" s="30"/>
      <c r="AJ563" s="31"/>
      <c r="AK563" s="31"/>
      <c r="AL563" s="31"/>
      <c r="AM563" s="31"/>
      <c r="AN563" s="32" t="str">
        <f>+IF(AND('GRADING PACKING'!L$5=INWARDDATA!J563,'GRADING PACKING'!L$6=INWARDDATA!I563,AR563=0),"good","bad")</f>
        <v>bad</v>
      </c>
      <c r="AO563" s="33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86"/>
      <c r="BC563" s="86"/>
      <c r="BD563" s="97">
        <f>Table_15[[#This Row],[Wgt-Bag]]-Table_15[[#This Row],[Total Graded]]-Table_15[[#This Row],[UNDERSIZE]]+0.0011</f>
        <v>1.1000000000000001E-3</v>
      </c>
      <c r="BE563" s="86">
        <f>Table_15[[#This Row],[Total Graded]]-Table_15[[#This Row],[Packing Quantity]]+Table_15[[#This Row],[PACKING LOOSE]]</f>
        <v>0</v>
      </c>
      <c r="BF563" s="34">
        <f>IF(Table_15[[#This Row],[GRADED BAGS]]&gt;0,Table_15[[#This Row],[GRADED BAGS]],Table_15[[#This Row],[Bags]])</f>
        <v>0</v>
      </c>
    </row>
    <row r="564" spans="1:58" ht="15.75" hidden="1" customHeight="1" x14ac:dyDescent="0.35">
      <c r="A564" s="22"/>
      <c r="B564" s="22"/>
      <c r="C564" s="23"/>
      <c r="D564" s="23"/>
      <c r="E564" s="24"/>
      <c r="F564" s="23"/>
      <c r="G564" s="100"/>
      <c r="H564" s="101"/>
      <c r="I564" s="102"/>
      <c r="J564" s="102"/>
      <c r="K564" s="233"/>
      <c r="L564" s="22"/>
      <c r="M564" s="25">
        <f t="shared" si="41"/>
        <v>0</v>
      </c>
      <c r="N564" s="25">
        <f t="shared" si="42"/>
        <v>0</v>
      </c>
      <c r="O564" s="25">
        <f t="shared" si="43"/>
        <v>0</v>
      </c>
      <c r="P564" s="25">
        <f t="shared" si="44"/>
        <v>0</v>
      </c>
      <c r="Q564" s="22"/>
      <c r="R564" s="22"/>
      <c r="S564" s="22"/>
      <c r="T564" s="22"/>
      <c r="U564" s="26">
        <f t="shared" si="45"/>
        <v>0</v>
      </c>
      <c r="V564" s="27"/>
      <c r="W564" s="28"/>
      <c r="X564" s="25" t="str">
        <f>+IF(AND('GRADING PACKING'!L$5=INWARDDATA!J564,'GRADING PACKING'!L$6=INWARDDATA!I564,AB564=0),"TRUE","FALSE")</f>
        <v>FALSE</v>
      </c>
      <c r="Y564" s="29"/>
      <c r="Z564" s="30"/>
      <c r="AA564" s="30"/>
      <c r="AB564" s="30"/>
      <c r="AC564" s="30"/>
      <c r="AD564" s="30"/>
      <c r="AE564" s="30"/>
      <c r="AF564" s="30"/>
      <c r="AG564" s="30"/>
      <c r="AH564" s="30"/>
      <c r="AI564" s="30"/>
      <c r="AJ564" s="31"/>
      <c r="AK564" s="31"/>
      <c r="AL564" s="31"/>
      <c r="AM564" s="31"/>
      <c r="AN564" s="32" t="str">
        <f>+IF(AND('GRADING PACKING'!L$5=INWARDDATA!J564,'GRADING PACKING'!L$6=INWARDDATA!I564,AR564=0),"good","bad")</f>
        <v>bad</v>
      </c>
      <c r="AO564" s="33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86"/>
      <c r="BC564" s="86"/>
      <c r="BD564" s="97">
        <f>Table_15[[#This Row],[Wgt-Bag]]-Table_15[[#This Row],[Total Graded]]-Table_15[[#This Row],[UNDERSIZE]]+0.0011</f>
        <v>1.1000000000000001E-3</v>
      </c>
      <c r="BE564" s="86">
        <f>Table_15[[#This Row],[Total Graded]]-Table_15[[#This Row],[Packing Quantity]]+Table_15[[#This Row],[PACKING LOOSE]]</f>
        <v>0</v>
      </c>
      <c r="BF564" s="34">
        <f>IF(Table_15[[#This Row],[GRADED BAGS]]&gt;0,Table_15[[#This Row],[GRADED BAGS]],Table_15[[#This Row],[Bags]])</f>
        <v>0</v>
      </c>
    </row>
    <row r="565" spans="1:58" ht="15.75" hidden="1" customHeight="1" x14ac:dyDescent="0.35">
      <c r="A565" s="22"/>
      <c r="B565" s="22"/>
      <c r="C565" s="23"/>
      <c r="D565" s="23"/>
      <c r="E565" s="24"/>
      <c r="F565" s="23"/>
      <c r="G565" s="100"/>
      <c r="H565" s="101"/>
      <c r="I565" s="102"/>
      <c r="J565" s="102"/>
      <c r="K565" s="233"/>
      <c r="L565" s="22"/>
      <c r="M565" s="25">
        <f t="shared" si="41"/>
        <v>0</v>
      </c>
      <c r="N565" s="25">
        <f t="shared" si="42"/>
        <v>0</v>
      </c>
      <c r="O565" s="25">
        <f t="shared" si="43"/>
        <v>0</v>
      </c>
      <c r="P565" s="25">
        <f t="shared" si="44"/>
        <v>0</v>
      </c>
      <c r="Q565" s="22"/>
      <c r="R565" s="22"/>
      <c r="S565" s="22"/>
      <c r="T565" s="22"/>
      <c r="U565" s="26">
        <f t="shared" si="45"/>
        <v>0</v>
      </c>
      <c r="V565" s="27"/>
      <c r="W565" s="28"/>
      <c r="X565" s="25" t="str">
        <f>+IF(AND('GRADING PACKING'!L$5=INWARDDATA!J565,'GRADING PACKING'!L$6=INWARDDATA!I565,AB565=0),"TRUE","FALSE")</f>
        <v>FALSE</v>
      </c>
      <c r="Y565" s="29"/>
      <c r="Z565" s="30"/>
      <c r="AA565" s="30"/>
      <c r="AB565" s="30"/>
      <c r="AC565" s="30"/>
      <c r="AD565" s="30"/>
      <c r="AE565" s="30"/>
      <c r="AF565" s="30"/>
      <c r="AG565" s="30"/>
      <c r="AH565" s="30"/>
      <c r="AI565" s="30"/>
      <c r="AJ565" s="31"/>
      <c r="AK565" s="31"/>
      <c r="AL565" s="31"/>
      <c r="AM565" s="31"/>
      <c r="AN565" s="32" t="str">
        <f>+IF(AND('GRADING PACKING'!L$5=INWARDDATA!J565,'GRADING PACKING'!L$6=INWARDDATA!I565,AR565=0),"good","bad")</f>
        <v>bad</v>
      </c>
      <c r="AO565" s="33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86"/>
      <c r="BC565" s="86"/>
      <c r="BD565" s="97">
        <f>Table_15[[#This Row],[Wgt-Bag]]-Table_15[[#This Row],[Total Graded]]-Table_15[[#This Row],[UNDERSIZE]]+0.0011</f>
        <v>1.1000000000000001E-3</v>
      </c>
      <c r="BE565" s="86">
        <f>Table_15[[#This Row],[Total Graded]]-Table_15[[#This Row],[Packing Quantity]]+Table_15[[#This Row],[PACKING LOOSE]]</f>
        <v>0</v>
      </c>
      <c r="BF565" s="34">
        <f>IF(Table_15[[#This Row],[GRADED BAGS]]&gt;0,Table_15[[#This Row],[GRADED BAGS]],Table_15[[#This Row],[Bags]])</f>
        <v>0</v>
      </c>
    </row>
    <row r="566" spans="1:58" ht="15.75" hidden="1" customHeight="1" x14ac:dyDescent="0.35">
      <c r="A566" s="22"/>
      <c r="B566" s="22"/>
      <c r="C566" s="23"/>
      <c r="D566" s="23"/>
      <c r="E566" s="24"/>
      <c r="F566" s="23"/>
      <c r="G566" s="100"/>
      <c r="H566" s="101"/>
      <c r="I566" s="102"/>
      <c r="J566" s="102"/>
      <c r="K566" s="233"/>
      <c r="L566" s="22"/>
      <c r="M566" s="25">
        <f t="shared" si="41"/>
        <v>0</v>
      </c>
      <c r="N566" s="25">
        <f t="shared" si="42"/>
        <v>0</v>
      </c>
      <c r="O566" s="25">
        <f t="shared" si="43"/>
        <v>0</v>
      </c>
      <c r="P566" s="25">
        <f t="shared" si="44"/>
        <v>0</v>
      </c>
      <c r="Q566" s="22"/>
      <c r="R566" s="22"/>
      <c r="S566" s="22"/>
      <c r="T566" s="22"/>
      <c r="U566" s="26">
        <f t="shared" si="45"/>
        <v>0</v>
      </c>
      <c r="V566" s="27"/>
      <c r="W566" s="28"/>
      <c r="X566" s="25" t="str">
        <f>+IF(AND('GRADING PACKING'!L$5=INWARDDATA!J566,'GRADING PACKING'!L$6=INWARDDATA!I566,AB566=0),"TRUE","FALSE")</f>
        <v>FALSE</v>
      </c>
      <c r="Y566" s="29"/>
      <c r="Z566" s="30"/>
      <c r="AA566" s="30"/>
      <c r="AB566" s="30"/>
      <c r="AC566" s="30"/>
      <c r="AD566" s="30"/>
      <c r="AE566" s="30"/>
      <c r="AF566" s="30"/>
      <c r="AG566" s="30"/>
      <c r="AH566" s="30"/>
      <c r="AI566" s="30"/>
      <c r="AJ566" s="31"/>
      <c r="AK566" s="31"/>
      <c r="AL566" s="31"/>
      <c r="AM566" s="31"/>
      <c r="AN566" s="32" t="str">
        <f>+IF(AND('GRADING PACKING'!L$5=INWARDDATA!J566,'GRADING PACKING'!L$6=INWARDDATA!I566,AR566=0),"good","bad")</f>
        <v>bad</v>
      </c>
      <c r="AO566" s="33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86"/>
      <c r="BC566" s="86"/>
      <c r="BD566" s="97">
        <f>Table_15[[#This Row],[Wgt-Bag]]-Table_15[[#This Row],[Total Graded]]-Table_15[[#This Row],[UNDERSIZE]]+0.0011</f>
        <v>1.1000000000000001E-3</v>
      </c>
      <c r="BE566" s="86">
        <f>Table_15[[#This Row],[Total Graded]]-Table_15[[#This Row],[Packing Quantity]]+Table_15[[#This Row],[PACKING LOOSE]]</f>
        <v>0</v>
      </c>
      <c r="BF566" s="34">
        <f>IF(Table_15[[#This Row],[GRADED BAGS]]&gt;0,Table_15[[#This Row],[GRADED BAGS]],Table_15[[#This Row],[Bags]])</f>
        <v>0</v>
      </c>
    </row>
    <row r="567" spans="1:58" ht="15.75" hidden="1" customHeight="1" x14ac:dyDescent="0.35">
      <c r="A567" s="22"/>
      <c r="B567" s="22"/>
      <c r="C567" s="23"/>
      <c r="D567" s="23"/>
      <c r="E567" s="24"/>
      <c r="F567" s="23"/>
      <c r="G567" s="100"/>
      <c r="H567" s="101"/>
      <c r="I567" s="102"/>
      <c r="J567" s="102"/>
      <c r="K567" s="233"/>
      <c r="L567" s="22"/>
      <c r="M567" s="25">
        <f t="shared" si="41"/>
        <v>0</v>
      </c>
      <c r="N567" s="25">
        <f t="shared" si="42"/>
        <v>0</v>
      </c>
      <c r="O567" s="25">
        <f t="shared" si="43"/>
        <v>0</v>
      </c>
      <c r="P567" s="25">
        <f t="shared" si="44"/>
        <v>0</v>
      </c>
      <c r="Q567" s="22"/>
      <c r="R567" s="22"/>
      <c r="S567" s="22"/>
      <c r="T567" s="22"/>
      <c r="U567" s="26">
        <f t="shared" si="45"/>
        <v>0</v>
      </c>
      <c r="V567" s="27"/>
      <c r="W567" s="28"/>
      <c r="X567" s="25" t="str">
        <f>+IF(AND('GRADING PACKING'!L$5=INWARDDATA!J567,'GRADING PACKING'!L$6=INWARDDATA!I567,AB567=0),"TRUE","FALSE")</f>
        <v>FALSE</v>
      </c>
      <c r="Y567" s="29"/>
      <c r="Z567" s="30"/>
      <c r="AA567" s="30"/>
      <c r="AB567" s="30"/>
      <c r="AC567" s="30"/>
      <c r="AD567" s="30"/>
      <c r="AE567" s="30"/>
      <c r="AF567" s="30"/>
      <c r="AG567" s="30"/>
      <c r="AH567" s="30"/>
      <c r="AI567" s="30"/>
      <c r="AJ567" s="31"/>
      <c r="AK567" s="31"/>
      <c r="AL567" s="31"/>
      <c r="AM567" s="31"/>
      <c r="AN567" s="32" t="str">
        <f>+IF(AND('GRADING PACKING'!L$5=INWARDDATA!J567,'GRADING PACKING'!L$6=INWARDDATA!I567,AR567=0),"good","bad")</f>
        <v>bad</v>
      </c>
      <c r="AO567" s="33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86"/>
      <c r="BC567" s="86"/>
      <c r="BD567" s="97">
        <f>Table_15[[#This Row],[Wgt-Bag]]-Table_15[[#This Row],[Total Graded]]-Table_15[[#This Row],[UNDERSIZE]]+0.0011</f>
        <v>1.1000000000000001E-3</v>
      </c>
      <c r="BE567" s="86">
        <f>Table_15[[#This Row],[Total Graded]]-Table_15[[#This Row],[Packing Quantity]]+Table_15[[#This Row],[PACKING LOOSE]]</f>
        <v>0</v>
      </c>
      <c r="BF567" s="34">
        <f>IF(Table_15[[#This Row],[GRADED BAGS]]&gt;0,Table_15[[#This Row],[GRADED BAGS]],Table_15[[#This Row],[Bags]])</f>
        <v>0</v>
      </c>
    </row>
    <row r="568" spans="1:58" ht="15.75" hidden="1" customHeight="1" x14ac:dyDescent="0.35">
      <c r="A568" s="22"/>
      <c r="B568" s="22"/>
      <c r="C568" s="23"/>
      <c r="D568" s="23"/>
      <c r="E568" s="24"/>
      <c r="F568" s="23"/>
      <c r="G568" s="100"/>
      <c r="H568" s="101"/>
      <c r="I568" s="102"/>
      <c r="J568" s="102"/>
      <c r="K568" s="233"/>
      <c r="L568" s="22"/>
      <c r="M568" s="25">
        <f t="shared" si="41"/>
        <v>0</v>
      </c>
      <c r="N568" s="25">
        <f t="shared" si="42"/>
        <v>0</v>
      </c>
      <c r="O568" s="25">
        <f t="shared" si="43"/>
        <v>0</v>
      </c>
      <c r="P568" s="25">
        <f t="shared" si="44"/>
        <v>0</v>
      </c>
      <c r="Q568" s="22"/>
      <c r="R568" s="22"/>
      <c r="S568" s="22"/>
      <c r="T568" s="22"/>
      <c r="U568" s="26">
        <f t="shared" si="45"/>
        <v>0</v>
      </c>
      <c r="V568" s="27"/>
      <c r="W568" s="28"/>
      <c r="X568" s="25" t="str">
        <f>+IF(AND('GRADING PACKING'!L$5=INWARDDATA!J568,'GRADING PACKING'!L$6=INWARDDATA!I568,AB568=0),"TRUE","FALSE")</f>
        <v>FALSE</v>
      </c>
      <c r="Y568" s="29"/>
      <c r="Z568" s="30"/>
      <c r="AA568" s="30"/>
      <c r="AB568" s="30"/>
      <c r="AC568" s="30"/>
      <c r="AD568" s="30"/>
      <c r="AE568" s="30"/>
      <c r="AF568" s="30"/>
      <c r="AG568" s="30"/>
      <c r="AH568" s="30"/>
      <c r="AI568" s="30"/>
      <c r="AJ568" s="31"/>
      <c r="AK568" s="31"/>
      <c r="AL568" s="31"/>
      <c r="AM568" s="31"/>
      <c r="AN568" s="32" t="str">
        <f>+IF(AND('GRADING PACKING'!L$5=INWARDDATA!J568,'GRADING PACKING'!L$6=INWARDDATA!I568,AR568=0),"good","bad")</f>
        <v>bad</v>
      </c>
      <c r="AO568" s="33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86"/>
      <c r="BC568" s="86"/>
      <c r="BD568" s="97">
        <f>Table_15[[#This Row],[Wgt-Bag]]-Table_15[[#This Row],[Total Graded]]-Table_15[[#This Row],[UNDERSIZE]]+0.0011</f>
        <v>1.1000000000000001E-3</v>
      </c>
      <c r="BE568" s="86">
        <f>Table_15[[#This Row],[Total Graded]]-Table_15[[#This Row],[Packing Quantity]]+Table_15[[#This Row],[PACKING LOOSE]]</f>
        <v>0</v>
      </c>
      <c r="BF568" s="34">
        <f>IF(Table_15[[#This Row],[GRADED BAGS]]&gt;0,Table_15[[#This Row],[GRADED BAGS]],Table_15[[#This Row],[Bags]])</f>
        <v>0</v>
      </c>
    </row>
    <row r="569" spans="1:58" ht="15.75" hidden="1" customHeight="1" x14ac:dyDescent="0.35">
      <c r="A569" s="22"/>
      <c r="B569" s="22"/>
      <c r="C569" s="23"/>
      <c r="D569" s="23"/>
      <c r="E569" s="24"/>
      <c r="F569" s="23"/>
      <c r="G569" s="100"/>
      <c r="H569" s="101"/>
      <c r="I569" s="102"/>
      <c r="J569" s="102"/>
      <c r="K569" s="233"/>
      <c r="L569" s="22"/>
      <c r="M569" s="25">
        <f t="shared" si="41"/>
        <v>0</v>
      </c>
      <c r="N569" s="25">
        <f t="shared" si="42"/>
        <v>0</v>
      </c>
      <c r="O569" s="25">
        <f t="shared" si="43"/>
        <v>0</v>
      </c>
      <c r="P569" s="25">
        <f t="shared" si="44"/>
        <v>0</v>
      </c>
      <c r="Q569" s="22"/>
      <c r="R569" s="22"/>
      <c r="S569" s="22"/>
      <c r="T569" s="22"/>
      <c r="U569" s="26">
        <f t="shared" si="45"/>
        <v>0</v>
      </c>
      <c r="V569" s="27"/>
      <c r="W569" s="28"/>
      <c r="X569" s="25" t="str">
        <f>+IF(AND('GRADING PACKING'!L$5=INWARDDATA!J569,'GRADING PACKING'!L$6=INWARDDATA!I569,AB569=0),"TRUE","FALSE")</f>
        <v>FALSE</v>
      </c>
      <c r="Y569" s="29"/>
      <c r="Z569" s="30"/>
      <c r="AA569" s="30"/>
      <c r="AB569" s="30"/>
      <c r="AC569" s="30"/>
      <c r="AD569" s="30"/>
      <c r="AE569" s="30"/>
      <c r="AF569" s="30"/>
      <c r="AG569" s="30"/>
      <c r="AH569" s="30"/>
      <c r="AI569" s="30"/>
      <c r="AJ569" s="31"/>
      <c r="AK569" s="31"/>
      <c r="AL569" s="31"/>
      <c r="AM569" s="31"/>
      <c r="AN569" s="32" t="str">
        <f>+IF(AND('GRADING PACKING'!L$5=INWARDDATA!J569,'GRADING PACKING'!L$6=INWARDDATA!I569,AR569=0),"good","bad")</f>
        <v>bad</v>
      </c>
      <c r="AO569" s="33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86"/>
      <c r="BC569" s="86"/>
      <c r="BD569" s="97">
        <f>Table_15[[#This Row],[Wgt-Bag]]-Table_15[[#This Row],[Total Graded]]-Table_15[[#This Row],[UNDERSIZE]]+0.0011</f>
        <v>1.1000000000000001E-3</v>
      </c>
      <c r="BE569" s="86">
        <f>Table_15[[#This Row],[Total Graded]]-Table_15[[#This Row],[Packing Quantity]]+Table_15[[#This Row],[PACKING LOOSE]]</f>
        <v>0</v>
      </c>
      <c r="BF569" s="34">
        <f>IF(Table_15[[#This Row],[GRADED BAGS]]&gt;0,Table_15[[#This Row],[GRADED BAGS]],Table_15[[#This Row],[Bags]])</f>
        <v>0</v>
      </c>
    </row>
    <row r="570" spans="1:58" ht="15.75" hidden="1" customHeight="1" x14ac:dyDescent="0.35">
      <c r="A570" s="22"/>
      <c r="B570" s="22"/>
      <c r="C570" s="23"/>
      <c r="D570" s="23"/>
      <c r="E570" s="24"/>
      <c r="F570" s="23"/>
      <c r="G570" s="100"/>
      <c r="H570" s="101"/>
      <c r="I570" s="102"/>
      <c r="J570" s="102"/>
      <c r="K570" s="233"/>
      <c r="L570" s="22"/>
      <c r="M570" s="25">
        <f t="shared" si="41"/>
        <v>0</v>
      </c>
      <c r="N570" s="25">
        <f t="shared" si="42"/>
        <v>0</v>
      </c>
      <c r="O570" s="25">
        <f t="shared" si="43"/>
        <v>0</v>
      </c>
      <c r="P570" s="25">
        <f t="shared" si="44"/>
        <v>0</v>
      </c>
      <c r="Q570" s="22"/>
      <c r="R570" s="22"/>
      <c r="S570" s="22"/>
      <c r="T570" s="22"/>
      <c r="U570" s="26">
        <f t="shared" si="45"/>
        <v>0</v>
      </c>
      <c r="V570" s="27"/>
      <c r="W570" s="28"/>
      <c r="X570" s="25" t="str">
        <f>+IF(AND('GRADING PACKING'!L$5=INWARDDATA!J570,'GRADING PACKING'!L$6=INWARDDATA!I570,AB570=0),"TRUE","FALSE")</f>
        <v>FALSE</v>
      </c>
      <c r="Y570" s="29"/>
      <c r="Z570" s="30"/>
      <c r="AA570" s="30"/>
      <c r="AB570" s="30"/>
      <c r="AC570" s="30"/>
      <c r="AD570" s="30"/>
      <c r="AE570" s="30"/>
      <c r="AF570" s="30"/>
      <c r="AG570" s="30"/>
      <c r="AH570" s="30"/>
      <c r="AI570" s="30"/>
      <c r="AJ570" s="31"/>
      <c r="AK570" s="31"/>
      <c r="AL570" s="31"/>
      <c r="AM570" s="31"/>
      <c r="AN570" s="32" t="str">
        <f>+IF(AND('GRADING PACKING'!L$5=INWARDDATA!J570,'GRADING PACKING'!L$6=INWARDDATA!I570,AR570=0),"good","bad")</f>
        <v>bad</v>
      </c>
      <c r="AO570" s="33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86"/>
      <c r="BC570" s="86"/>
      <c r="BD570" s="97">
        <f>Table_15[[#This Row],[Wgt-Bag]]-Table_15[[#This Row],[Total Graded]]-Table_15[[#This Row],[UNDERSIZE]]+0.0011</f>
        <v>1.1000000000000001E-3</v>
      </c>
      <c r="BE570" s="86">
        <f>Table_15[[#This Row],[Total Graded]]-Table_15[[#This Row],[Packing Quantity]]+Table_15[[#This Row],[PACKING LOOSE]]</f>
        <v>0</v>
      </c>
      <c r="BF570" s="34">
        <f>IF(Table_15[[#This Row],[GRADED BAGS]]&gt;0,Table_15[[#This Row],[GRADED BAGS]],Table_15[[#This Row],[Bags]])</f>
        <v>0</v>
      </c>
    </row>
    <row r="571" spans="1:58" ht="15.75" hidden="1" customHeight="1" x14ac:dyDescent="0.35">
      <c r="A571" s="22"/>
      <c r="B571" s="22"/>
      <c r="C571" s="23"/>
      <c r="D571" s="23"/>
      <c r="E571" s="24"/>
      <c r="F571" s="23"/>
      <c r="G571" s="100"/>
      <c r="H571" s="101"/>
      <c r="I571" s="102"/>
      <c r="J571" s="102"/>
      <c r="K571" s="233"/>
      <c r="L571" s="22"/>
      <c r="M571" s="25">
        <f t="shared" si="41"/>
        <v>0</v>
      </c>
      <c r="N571" s="25">
        <f t="shared" si="42"/>
        <v>0</v>
      </c>
      <c r="O571" s="25">
        <f t="shared" si="43"/>
        <v>0</v>
      </c>
      <c r="P571" s="25">
        <f t="shared" si="44"/>
        <v>0</v>
      </c>
      <c r="Q571" s="22"/>
      <c r="R571" s="22"/>
      <c r="S571" s="22"/>
      <c r="T571" s="22"/>
      <c r="U571" s="26">
        <f t="shared" si="45"/>
        <v>0</v>
      </c>
      <c r="V571" s="27"/>
      <c r="W571" s="28"/>
      <c r="X571" s="25" t="str">
        <f>+IF(AND('GRADING PACKING'!L$5=INWARDDATA!J571,'GRADING PACKING'!L$6=INWARDDATA!I571,AB571=0),"TRUE","FALSE")</f>
        <v>FALSE</v>
      </c>
      <c r="Y571" s="29"/>
      <c r="Z571" s="30"/>
      <c r="AA571" s="30"/>
      <c r="AB571" s="30"/>
      <c r="AC571" s="30"/>
      <c r="AD571" s="30"/>
      <c r="AE571" s="30"/>
      <c r="AF571" s="30"/>
      <c r="AG571" s="30"/>
      <c r="AH571" s="30"/>
      <c r="AI571" s="30"/>
      <c r="AJ571" s="31"/>
      <c r="AK571" s="31"/>
      <c r="AL571" s="31"/>
      <c r="AM571" s="31"/>
      <c r="AN571" s="32" t="str">
        <f>+IF(AND('GRADING PACKING'!L$5=INWARDDATA!J571,'GRADING PACKING'!L$6=INWARDDATA!I571,AR571=0),"good","bad")</f>
        <v>bad</v>
      </c>
      <c r="AO571" s="33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86"/>
      <c r="BC571" s="86"/>
      <c r="BD571" s="97">
        <f>Table_15[[#This Row],[Wgt-Bag]]-Table_15[[#This Row],[Total Graded]]-Table_15[[#This Row],[UNDERSIZE]]+0.0011</f>
        <v>1.1000000000000001E-3</v>
      </c>
      <c r="BE571" s="86">
        <f>Table_15[[#This Row],[Total Graded]]-Table_15[[#This Row],[Packing Quantity]]+Table_15[[#This Row],[PACKING LOOSE]]</f>
        <v>0</v>
      </c>
      <c r="BF571" s="34">
        <f>IF(Table_15[[#This Row],[GRADED BAGS]]&gt;0,Table_15[[#This Row],[GRADED BAGS]],Table_15[[#This Row],[Bags]])</f>
        <v>0</v>
      </c>
    </row>
    <row r="572" spans="1:58" ht="15.75" hidden="1" customHeight="1" x14ac:dyDescent="0.35">
      <c r="A572" s="22"/>
      <c r="B572" s="22"/>
      <c r="C572" s="23"/>
      <c r="D572" s="23"/>
      <c r="E572" s="24"/>
      <c r="F572" s="23"/>
      <c r="G572" s="100"/>
      <c r="H572" s="101"/>
      <c r="I572" s="102"/>
      <c r="J572" s="102"/>
      <c r="K572" s="233"/>
      <c r="L572" s="22"/>
      <c r="M572" s="25">
        <f t="shared" si="41"/>
        <v>0</v>
      </c>
      <c r="N572" s="25">
        <f t="shared" si="42"/>
        <v>0</v>
      </c>
      <c r="O572" s="25">
        <f t="shared" si="43"/>
        <v>0</v>
      </c>
      <c r="P572" s="25">
        <f t="shared" si="44"/>
        <v>0</v>
      </c>
      <c r="Q572" s="22"/>
      <c r="R572" s="22"/>
      <c r="S572" s="22"/>
      <c r="T572" s="22"/>
      <c r="U572" s="26">
        <f t="shared" si="45"/>
        <v>0</v>
      </c>
      <c r="V572" s="27"/>
      <c r="W572" s="28"/>
      <c r="X572" s="25" t="str">
        <f>+IF(AND('GRADING PACKING'!L$5=INWARDDATA!J572,'GRADING PACKING'!L$6=INWARDDATA!I572,AB572=0),"TRUE","FALSE")</f>
        <v>FALSE</v>
      </c>
      <c r="Y572" s="29"/>
      <c r="Z572" s="30"/>
      <c r="AA572" s="30"/>
      <c r="AB572" s="30"/>
      <c r="AC572" s="30"/>
      <c r="AD572" s="30"/>
      <c r="AE572" s="30"/>
      <c r="AF572" s="30"/>
      <c r="AG572" s="30"/>
      <c r="AH572" s="30"/>
      <c r="AI572" s="30"/>
      <c r="AJ572" s="31"/>
      <c r="AK572" s="31"/>
      <c r="AL572" s="31"/>
      <c r="AM572" s="31"/>
      <c r="AN572" s="32" t="str">
        <f>+IF(AND('GRADING PACKING'!L$5=INWARDDATA!J572,'GRADING PACKING'!L$6=INWARDDATA!I572,AR572=0),"good","bad")</f>
        <v>bad</v>
      </c>
      <c r="AO572" s="33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86"/>
      <c r="BC572" s="86"/>
      <c r="BD572" s="97">
        <f>Table_15[[#This Row],[Wgt-Bag]]-Table_15[[#This Row],[Total Graded]]-Table_15[[#This Row],[UNDERSIZE]]+0.0011</f>
        <v>1.1000000000000001E-3</v>
      </c>
      <c r="BE572" s="86">
        <f>Table_15[[#This Row],[Total Graded]]-Table_15[[#This Row],[Packing Quantity]]+Table_15[[#This Row],[PACKING LOOSE]]</f>
        <v>0</v>
      </c>
      <c r="BF572" s="34">
        <f>IF(Table_15[[#This Row],[GRADED BAGS]]&gt;0,Table_15[[#This Row],[GRADED BAGS]],Table_15[[#This Row],[Bags]])</f>
        <v>0</v>
      </c>
    </row>
    <row r="573" spans="1:58" ht="15.75" hidden="1" customHeight="1" x14ac:dyDescent="0.35">
      <c r="A573" s="22"/>
      <c r="B573" s="22"/>
      <c r="C573" s="23"/>
      <c r="D573" s="23"/>
      <c r="E573" s="24"/>
      <c r="F573" s="23"/>
      <c r="G573" s="100"/>
      <c r="H573" s="101"/>
      <c r="I573" s="102"/>
      <c r="J573" s="102"/>
      <c r="K573" s="233"/>
      <c r="L573" s="22"/>
      <c r="M573" s="25">
        <f t="shared" si="41"/>
        <v>0</v>
      </c>
      <c r="N573" s="25">
        <f t="shared" si="42"/>
        <v>0</v>
      </c>
      <c r="O573" s="25">
        <f t="shared" si="43"/>
        <v>0</v>
      </c>
      <c r="P573" s="25">
        <f t="shared" si="44"/>
        <v>0</v>
      </c>
      <c r="Q573" s="22"/>
      <c r="R573" s="22"/>
      <c r="S573" s="22"/>
      <c r="T573" s="22"/>
      <c r="U573" s="26">
        <f t="shared" si="45"/>
        <v>0</v>
      </c>
      <c r="V573" s="27"/>
      <c r="W573" s="28"/>
      <c r="X573" s="25" t="str">
        <f>+IF(AND('GRADING PACKING'!L$5=INWARDDATA!J573,'GRADING PACKING'!L$6=INWARDDATA!I573,AB573=0),"TRUE","FALSE")</f>
        <v>FALSE</v>
      </c>
      <c r="Y573" s="29"/>
      <c r="Z573" s="30"/>
      <c r="AA573" s="30"/>
      <c r="AB573" s="30"/>
      <c r="AC573" s="30"/>
      <c r="AD573" s="30"/>
      <c r="AE573" s="30"/>
      <c r="AF573" s="30"/>
      <c r="AG573" s="30"/>
      <c r="AH573" s="30"/>
      <c r="AI573" s="30"/>
      <c r="AJ573" s="31"/>
      <c r="AK573" s="31"/>
      <c r="AL573" s="31"/>
      <c r="AM573" s="31"/>
      <c r="AN573" s="32" t="str">
        <f>+IF(AND('GRADING PACKING'!L$5=INWARDDATA!J573,'GRADING PACKING'!L$6=INWARDDATA!I573,AR573=0),"good","bad")</f>
        <v>bad</v>
      </c>
      <c r="AO573" s="33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86"/>
      <c r="BC573" s="86"/>
      <c r="BD573" s="97">
        <f>Table_15[[#This Row],[Wgt-Bag]]-Table_15[[#This Row],[Total Graded]]-Table_15[[#This Row],[UNDERSIZE]]+0.0011</f>
        <v>1.1000000000000001E-3</v>
      </c>
      <c r="BE573" s="86">
        <f>Table_15[[#This Row],[Total Graded]]-Table_15[[#This Row],[Packing Quantity]]+Table_15[[#This Row],[PACKING LOOSE]]</f>
        <v>0</v>
      </c>
      <c r="BF573" s="34">
        <f>IF(Table_15[[#This Row],[GRADED BAGS]]&gt;0,Table_15[[#This Row],[GRADED BAGS]],Table_15[[#This Row],[Bags]])</f>
        <v>0</v>
      </c>
    </row>
    <row r="574" spans="1:58" ht="15.75" hidden="1" customHeight="1" x14ac:dyDescent="0.35">
      <c r="A574" s="22"/>
      <c r="B574" s="22"/>
      <c r="C574" s="23"/>
      <c r="D574" s="23"/>
      <c r="E574" s="24"/>
      <c r="F574" s="23"/>
      <c r="G574" s="100"/>
      <c r="H574" s="101"/>
      <c r="I574" s="102"/>
      <c r="J574" s="102"/>
      <c r="K574" s="233"/>
      <c r="L574" s="22"/>
      <c r="M574" s="25">
        <f t="shared" si="41"/>
        <v>0</v>
      </c>
      <c r="N574" s="25">
        <f t="shared" si="42"/>
        <v>0</v>
      </c>
      <c r="O574" s="25">
        <f t="shared" si="43"/>
        <v>0</v>
      </c>
      <c r="P574" s="25">
        <f t="shared" si="44"/>
        <v>0</v>
      </c>
      <c r="Q574" s="22"/>
      <c r="R574" s="22"/>
      <c r="S574" s="22"/>
      <c r="T574" s="22"/>
      <c r="U574" s="26">
        <f t="shared" si="45"/>
        <v>0</v>
      </c>
      <c r="V574" s="27"/>
      <c r="W574" s="28"/>
      <c r="X574" s="25" t="str">
        <f>+IF(AND('GRADING PACKING'!L$5=INWARDDATA!J574,'GRADING PACKING'!L$6=INWARDDATA!I574,AB574=0),"TRUE","FALSE")</f>
        <v>FALSE</v>
      </c>
      <c r="Y574" s="29"/>
      <c r="Z574" s="30"/>
      <c r="AA574" s="30"/>
      <c r="AB574" s="30"/>
      <c r="AC574" s="30"/>
      <c r="AD574" s="30"/>
      <c r="AE574" s="30"/>
      <c r="AF574" s="30"/>
      <c r="AG574" s="30"/>
      <c r="AH574" s="30"/>
      <c r="AI574" s="30"/>
      <c r="AJ574" s="31"/>
      <c r="AK574" s="31"/>
      <c r="AL574" s="31"/>
      <c r="AM574" s="31"/>
      <c r="AN574" s="32" t="str">
        <f>+IF(AND('GRADING PACKING'!L$5=INWARDDATA!J574,'GRADING PACKING'!L$6=INWARDDATA!I574,AR574=0),"good","bad")</f>
        <v>bad</v>
      </c>
      <c r="AO574" s="33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86"/>
      <c r="BC574" s="86"/>
      <c r="BD574" s="97">
        <f>Table_15[[#This Row],[Wgt-Bag]]-Table_15[[#This Row],[Total Graded]]-Table_15[[#This Row],[UNDERSIZE]]+0.0011</f>
        <v>1.1000000000000001E-3</v>
      </c>
      <c r="BE574" s="86">
        <f>Table_15[[#This Row],[Total Graded]]-Table_15[[#This Row],[Packing Quantity]]+Table_15[[#This Row],[PACKING LOOSE]]</f>
        <v>0</v>
      </c>
      <c r="BF574" s="34">
        <f>IF(Table_15[[#This Row],[GRADED BAGS]]&gt;0,Table_15[[#This Row],[GRADED BAGS]],Table_15[[#This Row],[Bags]])</f>
        <v>0</v>
      </c>
    </row>
    <row r="575" spans="1:58" ht="15.75" hidden="1" customHeight="1" x14ac:dyDescent="0.35">
      <c r="A575" s="22"/>
      <c r="B575" s="22"/>
      <c r="C575" s="23"/>
      <c r="D575" s="23"/>
      <c r="E575" s="24"/>
      <c r="F575" s="23"/>
      <c r="G575" s="100"/>
      <c r="H575" s="101"/>
      <c r="I575" s="102"/>
      <c r="J575" s="102"/>
      <c r="K575" s="233"/>
      <c r="L575" s="22"/>
      <c r="M575" s="25">
        <f t="shared" si="41"/>
        <v>0</v>
      </c>
      <c r="N575" s="25">
        <f t="shared" si="42"/>
        <v>0</v>
      </c>
      <c r="O575" s="25">
        <f t="shared" si="43"/>
        <v>0</v>
      </c>
      <c r="P575" s="25">
        <f t="shared" si="44"/>
        <v>0</v>
      </c>
      <c r="Q575" s="22"/>
      <c r="R575" s="22"/>
      <c r="S575" s="22"/>
      <c r="T575" s="22"/>
      <c r="U575" s="26">
        <f t="shared" si="45"/>
        <v>0</v>
      </c>
      <c r="V575" s="27"/>
      <c r="W575" s="28"/>
      <c r="X575" s="25" t="str">
        <f>+IF(AND('GRADING PACKING'!L$5=INWARDDATA!J575,'GRADING PACKING'!L$6=INWARDDATA!I575,AB575=0),"TRUE","FALSE")</f>
        <v>FALSE</v>
      </c>
      <c r="Y575" s="29"/>
      <c r="Z575" s="30"/>
      <c r="AA575" s="30"/>
      <c r="AB575" s="30"/>
      <c r="AC575" s="30"/>
      <c r="AD575" s="30"/>
      <c r="AE575" s="30"/>
      <c r="AF575" s="30"/>
      <c r="AG575" s="30"/>
      <c r="AH575" s="30"/>
      <c r="AI575" s="30"/>
      <c r="AJ575" s="31"/>
      <c r="AK575" s="31"/>
      <c r="AL575" s="31"/>
      <c r="AM575" s="31"/>
      <c r="AN575" s="32" t="str">
        <f>+IF(AND('GRADING PACKING'!L$5=INWARDDATA!J575,'GRADING PACKING'!L$6=INWARDDATA!I575,AR575=0),"good","bad")</f>
        <v>bad</v>
      </c>
      <c r="AO575" s="33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86"/>
      <c r="BC575" s="86"/>
      <c r="BD575" s="97">
        <f>Table_15[[#This Row],[Wgt-Bag]]-Table_15[[#This Row],[Total Graded]]-Table_15[[#This Row],[UNDERSIZE]]+0.0011</f>
        <v>1.1000000000000001E-3</v>
      </c>
      <c r="BE575" s="86">
        <f>Table_15[[#This Row],[Total Graded]]-Table_15[[#This Row],[Packing Quantity]]+Table_15[[#This Row],[PACKING LOOSE]]</f>
        <v>0</v>
      </c>
      <c r="BF575" s="34">
        <f>IF(Table_15[[#This Row],[GRADED BAGS]]&gt;0,Table_15[[#This Row],[GRADED BAGS]],Table_15[[#This Row],[Bags]])</f>
        <v>0</v>
      </c>
    </row>
    <row r="576" spans="1:58" ht="15.75" hidden="1" customHeight="1" x14ac:dyDescent="0.35">
      <c r="A576" s="22"/>
      <c r="B576" s="22"/>
      <c r="C576" s="23"/>
      <c r="D576" s="23"/>
      <c r="E576" s="24"/>
      <c r="F576" s="23"/>
      <c r="G576" s="100"/>
      <c r="H576" s="101"/>
      <c r="I576" s="102"/>
      <c r="J576" s="102"/>
      <c r="K576" s="233"/>
      <c r="L576" s="22"/>
      <c r="M576" s="25">
        <f t="shared" si="41"/>
        <v>0</v>
      </c>
      <c r="N576" s="25">
        <f t="shared" si="42"/>
        <v>0</v>
      </c>
      <c r="O576" s="25">
        <f t="shared" si="43"/>
        <v>0</v>
      </c>
      <c r="P576" s="25">
        <f t="shared" si="44"/>
        <v>0</v>
      </c>
      <c r="Q576" s="22"/>
      <c r="R576" s="22"/>
      <c r="S576" s="22"/>
      <c r="T576" s="22"/>
      <c r="U576" s="26">
        <f t="shared" si="45"/>
        <v>0</v>
      </c>
      <c r="V576" s="27"/>
      <c r="W576" s="28"/>
      <c r="X576" s="25" t="str">
        <f>+IF(AND('GRADING PACKING'!L$5=INWARDDATA!J576,'GRADING PACKING'!L$6=INWARDDATA!I576,AB576=0),"TRUE","FALSE")</f>
        <v>FALSE</v>
      </c>
      <c r="Y576" s="29"/>
      <c r="Z576" s="30"/>
      <c r="AA576" s="30"/>
      <c r="AB576" s="30"/>
      <c r="AC576" s="30"/>
      <c r="AD576" s="30"/>
      <c r="AE576" s="30"/>
      <c r="AF576" s="30"/>
      <c r="AG576" s="30"/>
      <c r="AH576" s="30"/>
      <c r="AI576" s="30"/>
      <c r="AJ576" s="31"/>
      <c r="AK576" s="31"/>
      <c r="AL576" s="31"/>
      <c r="AM576" s="31"/>
      <c r="AN576" s="32" t="str">
        <f>+IF(AND('GRADING PACKING'!L$5=INWARDDATA!J576,'GRADING PACKING'!L$6=INWARDDATA!I576,AR576=0),"good","bad")</f>
        <v>bad</v>
      </c>
      <c r="AO576" s="33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86"/>
      <c r="BC576" s="86"/>
      <c r="BD576" s="97">
        <f>Table_15[[#This Row],[Wgt-Bag]]-Table_15[[#This Row],[Total Graded]]-Table_15[[#This Row],[UNDERSIZE]]+0.0011</f>
        <v>1.1000000000000001E-3</v>
      </c>
      <c r="BE576" s="86">
        <f>Table_15[[#This Row],[Total Graded]]-Table_15[[#This Row],[Packing Quantity]]+Table_15[[#This Row],[PACKING LOOSE]]</f>
        <v>0</v>
      </c>
      <c r="BF576" s="34">
        <f>IF(Table_15[[#This Row],[GRADED BAGS]]&gt;0,Table_15[[#This Row],[GRADED BAGS]],Table_15[[#This Row],[Bags]])</f>
        <v>0</v>
      </c>
    </row>
    <row r="577" spans="1:58" ht="15" hidden="1" customHeight="1" x14ac:dyDescent="0.35">
      <c r="A577" s="22"/>
      <c r="B577" s="22"/>
      <c r="C577" s="23"/>
      <c r="D577" s="23"/>
      <c r="E577" s="24"/>
      <c r="F577" s="23"/>
      <c r="G577" s="100"/>
      <c r="H577" s="101"/>
      <c r="I577" s="102"/>
      <c r="J577" s="102"/>
      <c r="K577" s="233"/>
      <c r="L577" s="22"/>
      <c r="M577" s="25">
        <f t="shared" si="41"/>
        <v>0</v>
      </c>
      <c r="N577" s="25">
        <f t="shared" si="42"/>
        <v>0</v>
      </c>
      <c r="O577" s="25">
        <f t="shared" si="43"/>
        <v>0</v>
      </c>
      <c r="P577" s="25">
        <f t="shared" si="44"/>
        <v>0</v>
      </c>
      <c r="Q577" s="22"/>
      <c r="R577" s="22"/>
      <c r="S577" s="22"/>
      <c r="T577" s="22"/>
      <c r="U577" s="26">
        <f t="shared" si="45"/>
        <v>0</v>
      </c>
      <c r="V577" s="27"/>
      <c r="W577" s="28"/>
      <c r="X577" s="25" t="str">
        <f>+IF(AND('GRADING PACKING'!L$5=INWARDDATA!J577,'GRADING PACKING'!L$6=INWARDDATA!I577,AB577=0),"TRUE","FALSE")</f>
        <v>FALSE</v>
      </c>
      <c r="Y577" s="29"/>
      <c r="Z577" s="30"/>
      <c r="AA577" s="30"/>
      <c r="AB577" s="30"/>
      <c r="AC577" s="30"/>
      <c r="AD577" s="30"/>
      <c r="AE577" s="30"/>
      <c r="AF577" s="30"/>
      <c r="AG577" s="30"/>
      <c r="AH577" s="30"/>
      <c r="AI577" s="30"/>
      <c r="AJ577" s="31"/>
      <c r="AK577" s="31"/>
      <c r="AL577" s="31"/>
      <c r="AM577" s="31"/>
      <c r="AN577" s="32" t="str">
        <f>+IF(AND('GRADING PACKING'!L$5=INWARDDATA!J577,'GRADING PACKING'!L$6=INWARDDATA!I577,AR577=0),"good","bad")</f>
        <v>bad</v>
      </c>
      <c r="AO577" s="33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87"/>
      <c r="BC577" s="87"/>
      <c r="BD577" s="97">
        <f>Table_15[[#This Row],[Wgt-Bag]]-Table_15[[#This Row],[Total Graded]]-Table_15[[#This Row],[UNDERSIZE]]+0.0011</f>
        <v>1.1000000000000001E-3</v>
      </c>
      <c r="BE577" s="86">
        <f>Table_15[[#This Row],[Total Graded]]-Table_15[[#This Row],[Packing Quantity]]+Table_15[[#This Row],[PACKING LOOSE]]</f>
        <v>0</v>
      </c>
      <c r="BF577" s="34">
        <f>IF(Table_15[[#This Row],[GRADED BAGS]]&gt;0,Table_15[[#This Row],[GRADED BAGS]],Table_15[[#This Row],[Bags]])</f>
        <v>0</v>
      </c>
    </row>
    <row r="578" spans="1:58" ht="15" hidden="1" customHeight="1" x14ac:dyDescent="0.35">
      <c r="A578" s="22"/>
      <c r="B578" s="22"/>
      <c r="C578" s="23"/>
      <c r="D578" s="23"/>
      <c r="E578" s="24"/>
      <c r="F578" s="23"/>
      <c r="G578" s="100"/>
      <c r="H578" s="101"/>
      <c r="I578" s="102"/>
      <c r="J578" s="102"/>
      <c r="K578" s="233"/>
      <c r="L578" s="22"/>
      <c r="M578" s="25">
        <f t="shared" si="41"/>
        <v>0</v>
      </c>
      <c r="N578" s="25">
        <f t="shared" si="42"/>
        <v>0</v>
      </c>
      <c r="O578" s="25">
        <f t="shared" si="43"/>
        <v>0</v>
      </c>
      <c r="P578" s="25">
        <f t="shared" si="44"/>
        <v>0</v>
      </c>
      <c r="Q578" s="22"/>
      <c r="R578" s="22"/>
      <c r="S578" s="22"/>
      <c r="T578" s="22"/>
      <c r="U578" s="26">
        <f t="shared" si="45"/>
        <v>0</v>
      </c>
      <c r="V578" s="103"/>
      <c r="W578" s="104"/>
      <c r="X578" s="203" t="str">
        <f>+IF(AND('GRADING PACKING'!L$5=INWARDDATA!J578,'GRADING PACKING'!L$6=INWARDDATA!I578,AB578=0),"TRUE","FALSE")</f>
        <v>FALSE</v>
      </c>
      <c r="Y578" s="105"/>
      <c r="Z578" s="106"/>
      <c r="AA578" s="106"/>
      <c r="AB578" s="106"/>
      <c r="AC578" s="106"/>
      <c r="AD578" s="106"/>
      <c r="AE578" s="106"/>
      <c r="AF578" s="106"/>
      <c r="AG578" s="106"/>
      <c r="AH578" s="106"/>
      <c r="AI578" s="106"/>
      <c r="AJ578" s="107"/>
      <c r="AK578" s="107"/>
      <c r="AL578" s="107"/>
      <c r="AM578" s="107"/>
      <c r="AN578" s="108" t="str">
        <f>+IF(AND('GRADING PACKING'!L$5=INWARDDATA!J578,'GRADING PACKING'!L$6=INWARDDATA!I578,AR578=0),"good","bad")</f>
        <v>bad</v>
      </c>
      <c r="AO578" s="109"/>
      <c r="AP578" s="86"/>
      <c r="AQ578" s="86"/>
      <c r="AR578" s="86"/>
      <c r="AS578" s="86"/>
      <c r="AT578" s="86"/>
      <c r="AU578" s="86"/>
      <c r="AV578" s="86"/>
      <c r="AW578" s="86"/>
      <c r="AX578" s="86"/>
      <c r="AY578" s="86"/>
      <c r="AZ578" s="86"/>
      <c r="BA578" s="86"/>
      <c r="BB578" s="86"/>
      <c r="BC578" s="86"/>
      <c r="BD578" s="97">
        <f>Table_15[[#This Row],[Wgt-Bag]]-Table_15[[#This Row],[Total Graded]]-Table_15[[#This Row],[UNDERSIZE]]+0.0011</f>
        <v>1.1000000000000001E-3</v>
      </c>
      <c r="BE578" s="86">
        <f>Table_15[[#This Row],[Total Graded]]-Table_15[[#This Row],[Packing Quantity]]+Table_15[[#This Row],[PACKING LOOSE]]</f>
        <v>0</v>
      </c>
      <c r="BF578" s="34">
        <f>IF(Table_15[[#This Row],[GRADED BAGS]]&gt;0,Table_15[[#This Row],[GRADED BAGS]],Table_15[[#This Row],[Bags]])</f>
        <v>0</v>
      </c>
    </row>
    <row r="579" spans="1:58" ht="15" hidden="1" customHeight="1" x14ac:dyDescent="0.35">
      <c r="A579" s="22"/>
      <c r="B579" s="22"/>
      <c r="C579" s="23"/>
      <c r="D579" s="23"/>
      <c r="E579" s="24"/>
      <c r="F579" s="23"/>
      <c r="G579" s="100"/>
      <c r="H579" s="101"/>
      <c r="I579" s="102"/>
      <c r="J579" s="102"/>
      <c r="K579" s="233"/>
      <c r="L579" s="22"/>
      <c r="M579" s="25">
        <f t="shared" ref="M579:M590" si="46">ROUNDUP((K579*L579),0)</f>
        <v>0</v>
      </c>
      <c r="N579" s="25">
        <f t="shared" ref="N579:N590" si="47">(H579-M579)/100</f>
        <v>0</v>
      </c>
      <c r="O579" s="25">
        <f t="shared" ref="O579:O590" si="48">ROUNDUP((H579/90)*0.003,2)</f>
        <v>0</v>
      </c>
      <c r="P579" s="25">
        <f t="shared" ref="P579:P590" si="49">(N579)-O579</f>
        <v>0</v>
      </c>
      <c r="Q579" s="22"/>
      <c r="R579" s="22"/>
      <c r="S579" s="22"/>
      <c r="T579" s="22"/>
      <c r="U579" s="26">
        <f t="shared" ref="U579:U580" si="50">T579*P579</f>
        <v>0</v>
      </c>
      <c r="V579" s="103"/>
      <c r="W579" s="104"/>
      <c r="X579" s="203" t="str">
        <f>+IF(AND('GRADING PACKING'!L$5=INWARDDATA!J579,'GRADING PACKING'!L$6=INWARDDATA!I579,AB579=0),"TRUE","FALSE")</f>
        <v>FALSE</v>
      </c>
      <c r="Y579" s="105"/>
      <c r="Z579" s="106"/>
      <c r="AA579" s="106"/>
      <c r="AB579" s="106"/>
      <c r="AC579" s="106"/>
      <c r="AD579" s="106"/>
      <c r="AE579" s="106"/>
      <c r="AF579" s="106"/>
      <c r="AG579" s="106"/>
      <c r="AH579" s="106"/>
      <c r="AI579" s="106"/>
      <c r="AJ579" s="107"/>
      <c r="AK579" s="107"/>
      <c r="AL579" s="107"/>
      <c r="AM579" s="107"/>
      <c r="AN579" s="108" t="str">
        <f>+IF(AND('GRADING PACKING'!L$5=INWARDDATA!J579,'GRADING PACKING'!L$6=INWARDDATA!I579,AR579=0),"good","bad")</f>
        <v>bad</v>
      </c>
      <c r="AO579" s="109"/>
      <c r="AP579" s="86"/>
      <c r="AQ579" s="86"/>
      <c r="AR579" s="86"/>
      <c r="AS579" s="86"/>
      <c r="AT579" s="86"/>
      <c r="AU579" s="86"/>
      <c r="AV579" s="86"/>
      <c r="AW579" s="86"/>
      <c r="AX579" s="86"/>
      <c r="AY579" s="86"/>
      <c r="AZ579" s="86"/>
      <c r="BA579" s="86"/>
      <c r="BB579" s="86"/>
      <c r="BC579" s="86"/>
      <c r="BD579" s="97">
        <f>Table_15[[#This Row],[Wgt-Bag]]-Table_15[[#This Row],[Total Graded]]-Table_15[[#This Row],[UNDERSIZE]]+0.0011</f>
        <v>1.1000000000000001E-3</v>
      </c>
      <c r="BE579" s="86">
        <f>Table_15[[#This Row],[Total Graded]]-Table_15[[#This Row],[Packing Quantity]]+Table_15[[#This Row],[PACKING LOOSE]]</f>
        <v>0</v>
      </c>
      <c r="BF579" s="112">
        <f>IF(Table_15[[#This Row],[GRADED BAGS]]&gt;0,Table_15[[#This Row],[GRADED BAGS]],Table_15[[#This Row],[Bags]])</f>
        <v>0</v>
      </c>
    </row>
    <row r="580" spans="1:58" ht="15" hidden="1" customHeight="1" x14ac:dyDescent="0.35">
      <c r="A580" s="22"/>
      <c r="B580" s="22"/>
      <c r="C580" s="23"/>
      <c r="D580" s="23"/>
      <c r="E580" s="24"/>
      <c r="F580" s="23"/>
      <c r="G580" s="100"/>
      <c r="H580" s="101"/>
      <c r="I580" s="102"/>
      <c r="J580" s="102"/>
      <c r="K580" s="233"/>
      <c r="L580" s="22"/>
      <c r="M580" s="25">
        <f t="shared" si="46"/>
        <v>0</v>
      </c>
      <c r="N580" s="25">
        <f t="shared" si="47"/>
        <v>0</v>
      </c>
      <c r="O580" s="25">
        <f t="shared" si="48"/>
        <v>0</v>
      </c>
      <c r="P580" s="25">
        <f t="shared" si="49"/>
        <v>0</v>
      </c>
      <c r="Q580" s="124"/>
      <c r="R580" s="124"/>
      <c r="S580" s="124"/>
      <c r="T580" s="124"/>
      <c r="U580" s="26">
        <f t="shared" si="50"/>
        <v>0</v>
      </c>
      <c r="V580" s="125"/>
      <c r="W580" s="126"/>
      <c r="X580" s="204" t="str">
        <f>+IF(AND('GRADING PACKING'!L$5=INWARDDATA!J580,'GRADING PACKING'!L$6=INWARDDATA!I580,AB580=0),"TRUE","FALSE")</f>
        <v>FALSE</v>
      </c>
      <c r="Y580" s="127"/>
      <c r="Z580" s="128"/>
      <c r="AA580" s="128"/>
      <c r="AB580" s="128"/>
      <c r="AC580" s="128"/>
      <c r="AD580" s="128"/>
      <c r="AE580" s="128"/>
      <c r="AF580" s="128"/>
      <c r="AG580" s="128"/>
      <c r="AH580" s="128"/>
      <c r="AI580" s="128"/>
      <c r="AJ580" s="129"/>
      <c r="AK580" s="129"/>
      <c r="AL580" s="129"/>
      <c r="AM580" s="129"/>
      <c r="AN580" s="130" t="str">
        <f>+IF(AND('GRADING PACKING'!L$5=INWARDDATA!J580,'GRADING PACKING'!L$6=INWARDDATA!I580,AR580=0),"good","bad")</f>
        <v>bad</v>
      </c>
      <c r="AO580" s="131"/>
      <c r="AP580" s="132"/>
      <c r="AQ580" s="132"/>
      <c r="AR580" s="132"/>
      <c r="AS580" s="132"/>
      <c r="AT580" s="132"/>
      <c r="AU580" s="132"/>
      <c r="AV580" s="132"/>
      <c r="AW580" s="132"/>
      <c r="AX580" s="132"/>
      <c r="AY580" s="132"/>
      <c r="AZ580" s="132"/>
      <c r="BA580" s="132"/>
      <c r="BB580" s="132"/>
      <c r="BC580" s="132"/>
      <c r="BD580" s="97">
        <f>Table_15[[#This Row],[Wgt-Bag]]-Table_15[[#This Row],[Total Graded]]-Table_15[[#This Row],[UNDERSIZE]]+0.0011</f>
        <v>1.1000000000000001E-3</v>
      </c>
      <c r="BE580" s="86">
        <f>Table_15[[#This Row],[Total Graded]]-Table_15[[#This Row],[Packing Quantity]]+Table_15[[#This Row],[PACKING LOOSE]]</f>
        <v>0</v>
      </c>
      <c r="BF580" s="132">
        <f>IF(Table_15[[#This Row],[GRADED BAGS]]&gt;0,Table_15[[#This Row],[GRADED BAGS]],Table_15[[#This Row],[Bags]])</f>
        <v>0</v>
      </c>
    </row>
    <row r="581" spans="1:58" ht="15" hidden="1" customHeight="1" x14ac:dyDescent="0.35">
      <c r="A581" s="22"/>
      <c r="B581" s="22"/>
      <c r="C581" s="23"/>
      <c r="D581" s="23"/>
      <c r="E581" s="24"/>
      <c r="F581" s="23"/>
      <c r="G581" s="100"/>
      <c r="H581" s="101"/>
      <c r="I581" s="102"/>
      <c r="J581" s="102"/>
      <c r="K581" s="233"/>
      <c r="L581" s="22"/>
      <c r="M581" s="25">
        <f t="shared" si="46"/>
        <v>0</v>
      </c>
      <c r="N581" s="25">
        <f t="shared" si="47"/>
        <v>0</v>
      </c>
      <c r="O581" s="25">
        <f t="shared" si="48"/>
        <v>0</v>
      </c>
      <c r="P581" s="25">
        <f t="shared" si="49"/>
        <v>0</v>
      </c>
      <c r="Q581" s="142"/>
      <c r="R581" s="142"/>
      <c r="S581" s="142"/>
      <c r="T581" s="142"/>
      <c r="U581" s="143">
        <f t="shared" ref="U581:U590" si="51">T581*P581</f>
        <v>0</v>
      </c>
      <c r="V581" s="144"/>
      <c r="W581" s="145"/>
      <c r="X581" s="205" t="str">
        <f>+IF(AND('GRADING PACKING'!L$5=INWARDDATA!J581,'GRADING PACKING'!L$6=INWARDDATA!I581,AB581=0),"TRUE","FALSE")</f>
        <v>FALSE</v>
      </c>
      <c r="Y581" s="146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8"/>
      <c r="AK581" s="148"/>
      <c r="AL581" s="148"/>
      <c r="AM581" s="148"/>
      <c r="AN581" s="149" t="str">
        <f>+IF(AND('GRADING PACKING'!L$5=INWARDDATA!J581,'GRADING PACKING'!L$6=INWARDDATA!I581,AR581=0),"good","bad")</f>
        <v>bad</v>
      </c>
      <c r="AO581" s="150"/>
      <c r="AP581" s="151"/>
      <c r="AQ581" s="151"/>
      <c r="AR581" s="151"/>
      <c r="AS581" s="151"/>
      <c r="AT581" s="151"/>
      <c r="AU581" s="151"/>
      <c r="AV581" s="151"/>
      <c r="AW581" s="151"/>
      <c r="AX581" s="151"/>
      <c r="AY581" s="151"/>
      <c r="AZ581" s="151"/>
      <c r="BA581" s="151"/>
      <c r="BB581" s="151"/>
      <c r="BC581" s="151"/>
      <c r="BD581" s="97">
        <f>Table_15[[#This Row],[Wgt-Bag]]-Table_15[[#This Row],[Total Graded]]-Table_15[[#This Row],[UNDERSIZE]]+0.0011</f>
        <v>1.1000000000000001E-3</v>
      </c>
      <c r="BE581" s="86">
        <f>Table_15[[#This Row],[Total Graded]]-Table_15[[#This Row],[Packing Quantity]]+Table_15[[#This Row],[PACKING LOOSE]]</f>
        <v>0</v>
      </c>
      <c r="BF581" s="151">
        <f>IF(Table_15[[#This Row],[GRADED BAGS]]&gt;0,Table_15[[#This Row],[GRADED BAGS]],Table_15[[#This Row],[Bags]])</f>
        <v>0</v>
      </c>
    </row>
    <row r="582" spans="1:58" ht="15" hidden="1" customHeight="1" x14ac:dyDescent="0.35">
      <c r="A582" s="22"/>
      <c r="B582" s="22"/>
      <c r="C582" s="23"/>
      <c r="D582" s="23"/>
      <c r="E582" s="24"/>
      <c r="F582" s="23"/>
      <c r="G582" s="100"/>
      <c r="H582" s="101"/>
      <c r="I582" s="102"/>
      <c r="J582" s="102"/>
      <c r="K582" s="233"/>
      <c r="L582" s="22"/>
      <c r="M582" s="25">
        <f t="shared" si="46"/>
        <v>0</v>
      </c>
      <c r="N582" s="25">
        <f t="shared" si="47"/>
        <v>0</v>
      </c>
      <c r="O582" s="25">
        <f t="shared" si="48"/>
        <v>0</v>
      </c>
      <c r="P582" s="25">
        <f t="shared" si="49"/>
        <v>0</v>
      </c>
      <c r="Q582" s="142"/>
      <c r="R582" s="142"/>
      <c r="S582" s="142"/>
      <c r="T582" s="142"/>
      <c r="U582" s="143">
        <f t="shared" si="51"/>
        <v>0</v>
      </c>
      <c r="V582" s="144"/>
      <c r="W582" s="145"/>
      <c r="X582" s="205" t="str">
        <f>+IF(AND('GRADING PACKING'!L$5=INWARDDATA!J582,'GRADING PACKING'!L$6=INWARDDATA!I582,AB582=0),"TRUE","FALSE")</f>
        <v>FALSE</v>
      </c>
      <c r="Y582" s="146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8"/>
      <c r="AK582" s="148"/>
      <c r="AL582" s="148"/>
      <c r="AM582" s="148"/>
      <c r="AN582" s="149" t="str">
        <f>+IF(AND('GRADING PACKING'!L$5=INWARDDATA!J582,'GRADING PACKING'!L$6=INWARDDATA!I582,AR582=0),"good","bad")</f>
        <v>bad</v>
      </c>
      <c r="AO582" s="150"/>
      <c r="AP582" s="151"/>
      <c r="AQ582" s="151"/>
      <c r="AR582" s="151"/>
      <c r="AS582" s="151"/>
      <c r="AT582" s="151"/>
      <c r="AU582" s="151"/>
      <c r="AV582" s="151"/>
      <c r="AW582" s="151"/>
      <c r="AX582" s="151"/>
      <c r="AY582" s="151"/>
      <c r="AZ582" s="151"/>
      <c r="BA582" s="151"/>
      <c r="BB582" s="151"/>
      <c r="BC582" s="151"/>
      <c r="BD582" s="97">
        <f>Table_15[[#This Row],[Wgt-Bag]]-Table_15[[#This Row],[Total Graded]]-Table_15[[#This Row],[UNDERSIZE]]+0.0011</f>
        <v>1.1000000000000001E-3</v>
      </c>
      <c r="BE582" s="86">
        <f>Table_15[[#This Row],[Total Graded]]-Table_15[[#This Row],[Packing Quantity]]+Table_15[[#This Row],[PACKING LOOSE]]</f>
        <v>0</v>
      </c>
      <c r="BF582" s="151">
        <f>IF(Table_15[[#This Row],[GRADED BAGS]]&gt;0,Table_15[[#This Row],[GRADED BAGS]],Table_15[[#This Row],[Bags]])</f>
        <v>0</v>
      </c>
    </row>
    <row r="583" spans="1:58" ht="15" hidden="1" customHeight="1" x14ac:dyDescent="0.35">
      <c r="A583" s="22"/>
      <c r="B583" s="22"/>
      <c r="C583" s="23"/>
      <c r="D583" s="23"/>
      <c r="E583" s="24"/>
      <c r="F583" s="23"/>
      <c r="G583" s="100"/>
      <c r="H583" s="101"/>
      <c r="I583" s="102"/>
      <c r="J583" s="102"/>
      <c r="K583" s="233"/>
      <c r="L583" s="22"/>
      <c r="M583" s="25">
        <f t="shared" si="46"/>
        <v>0</v>
      </c>
      <c r="N583" s="25">
        <f t="shared" si="47"/>
        <v>0</v>
      </c>
      <c r="O583" s="25">
        <f t="shared" si="48"/>
        <v>0</v>
      </c>
      <c r="P583" s="25">
        <f t="shared" si="49"/>
        <v>0</v>
      </c>
      <c r="Q583" s="142"/>
      <c r="R583" s="142"/>
      <c r="S583" s="142"/>
      <c r="T583" s="142"/>
      <c r="U583" s="143">
        <f t="shared" si="51"/>
        <v>0</v>
      </c>
      <c r="V583" s="144"/>
      <c r="W583" s="145"/>
      <c r="X583" s="205" t="str">
        <f>+IF(AND('GRADING PACKING'!L$5=INWARDDATA!J583,'GRADING PACKING'!L$6=INWARDDATA!I583,AB583=0),"TRUE","FALSE")</f>
        <v>FALSE</v>
      </c>
      <c r="Y583" s="146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8"/>
      <c r="AK583" s="148"/>
      <c r="AL583" s="148"/>
      <c r="AM583" s="148"/>
      <c r="AN583" s="149" t="str">
        <f>+IF(AND('GRADING PACKING'!L$5=INWARDDATA!J583,'GRADING PACKING'!L$6=INWARDDATA!I583,AR583=0),"good","bad")</f>
        <v>bad</v>
      </c>
      <c r="AO583" s="150"/>
      <c r="AP583" s="151"/>
      <c r="AQ583" s="151"/>
      <c r="AR583" s="151"/>
      <c r="AS583" s="151"/>
      <c r="AT583" s="151"/>
      <c r="AU583" s="151"/>
      <c r="AV583" s="151"/>
      <c r="AW583" s="151"/>
      <c r="AX583" s="151"/>
      <c r="AY583" s="151"/>
      <c r="AZ583" s="151"/>
      <c r="BA583" s="151"/>
      <c r="BB583" s="151"/>
      <c r="BC583" s="151"/>
      <c r="BD583" s="97">
        <f>Table_15[[#This Row],[Wgt-Bag]]-Table_15[[#This Row],[Total Graded]]-Table_15[[#This Row],[UNDERSIZE]]+0.0011</f>
        <v>1.1000000000000001E-3</v>
      </c>
      <c r="BE583" s="86">
        <f>Table_15[[#This Row],[Total Graded]]-Table_15[[#This Row],[Packing Quantity]]+Table_15[[#This Row],[PACKING LOOSE]]</f>
        <v>0</v>
      </c>
      <c r="BF583" s="151">
        <f>IF(Table_15[[#This Row],[GRADED BAGS]]&gt;0,Table_15[[#This Row],[GRADED BAGS]],Table_15[[#This Row],[Bags]])</f>
        <v>0</v>
      </c>
    </row>
    <row r="584" spans="1:58" ht="15" hidden="1" customHeight="1" x14ac:dyDescent="0.35">
      <c r="A584" s="22"/>
      <c r="B584" s="22"/>
      <c r="C584" s="23"/>
      <c r="D584" s="23"/>
      <c r="E584" s="24"/>
      <c r="F584" s="23"/>
      <c r="G584" s="100"/>
      <c r="H584" s="101"/>
      <c r="I584" s="102"/>
      <c r="J584" s="102"/>
      <c r="K584" s="233"/>
      <c r="L584" s="22"/>
      <c r="M584" s="25">
        <f t="shared" si="46"/>
        <v>0</v>
      </c>
      <c r="N584" s="25">
        <f t="shared" si="47"/>
        <v>0</v>
      </c>
      <c r="O584" s="25">
        <f t="shared" si="48"/>
        <v>0</v>
      </c>
      <c r="P584" s="25">
        <f t="shared" si="49"/>
        <v>0</v>
      </c>
      <c r="Q584" s="142"/>
      <c r="R584" s="142"/>
      <c r="S584" s="142"/>
      <c r="T584" s="142"/>
      <c r="U584" s="143">
        <f t="shared" si="51"/>
        <v>0</v>
      </c>
      <c r="V584" s="144"/>
      <c r="W584" s="145"/>
      <c r="X584" s="205" t="str">
        <f>+IF(AND('GRADING PACKING'!L$5=INWARDDATA!J584,'GRADING PACKING'!L$6=INWARDDATA!I584,AB584=0),"TRUE","FALSE")</f>
        <v>FALSE</v>
      </c>
      <c r="Y584" s="146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8"/>
      <c r="AK584" s="148"/>
      <c r="AL584" s="148"/>
      <c r="AM584" s="148"/>
      <c r="AN584" s="149" t="str">
        <f>+IF(AND('GRADING PACKING'!L$5=INWARDDATA!J584,'GRADING PACKING'!L$6=INWARDDATA!I584,AR584=0),"good","bad")</f>
        <v>bad</v>
      </c>
      <c r="AO584" s="150"/>
      <c r="AP584" s="151"/>
      <c r="AQ584" s="151"/>
      <c r="AR584" s="151"/>
      <c r="AS584" s="151"/>
      <c r="AT584" s="151"/>
      <c r="AU584" s="151"/>
      <c r="AV584" s="151"/>
      <c r="AW584" s="151"/>
      <c r="AX584" s="151"/>
      <c r="AY584" s="151"/>
      <c r="AZ584" s="151"/>
      <c r="BA584" s="151"/>
      <c r="BB584" s="151"/>
      <c r="BC584" s="151"/>
      <c r="BD584" s="97">
        <f>Table_15[[#This Row],[Wgt-Bag]]-Table_15[[#This Row],[Total Graded]]-Table_15[[#This Row],[UNDERSIZE]]+0.0011</f>
        <v>1.1000000000000001E-3</v>
      </c>
      <c r="BE584" s="86">
        <f>Table_15[[#This Row],[Total Graded]]-Table_15[[#This Row],[Packing Quantity]]+Table_15[[#This Row],[PACKING LOOSE]]</f>
        <v>0</v>
      </c>
      <c r="BF584" s="151">
        <f>IF(Table_15[[#This Row],[GRADED BAGS]]&gt;0,Table_15[[#This Row],[GRADED BAGS]],Table_15[[#This Row],[Bags]])</f>
        <v>0</v>
      </c>
    </row>
    <row r="585" spans="1:58" ht="15" hidden="1" customHeight="1" x14ac:dyDescent="0.35">
      <c r="A585" s="22"/>
      <c r="B585" s="22"/>
      <c r="C585" s="23"/>
      <c r="D585" s="23"/>
      <c r="E585" s="24"/>
      <c r="F585" s="23"/>
      <c r="G585" s="100"/>
      <c r="H585" s="101"/>
      <c r="I585" s="102"/>
      <c r="J585" s="102"/>
      <c r="K585" s="233"/>
      <c r="L585" s="22"/>
      <c r="M585" s="25">
        <f t="shared" si="46"/>
        <v>0</v>
      </c>
      <c r="N585" s="25">
        <f t="shared" si="47"/>
        <v>0</v>
      </c>
      <c r="O585" s="25">
        <f t="shared" si="48"/>
        <v>0</v>
      </c>
      <c r="P585" s="25">
        <f t="shared" si="49"/>
        <v>0</v>
      </c>
      <c r="Q585" s="142"/>
      <c r="R585" s="142"/>
      <c r="S585" s="142"/>
      <c r="T585" s="142"/>
      <c r="U585" s="143">
        <f t="shared" si="51"/>
        <v>0</v>
      </c>
      <c r="V585" s="144"/>
      <c r="W585" s="145"/>
      <c r="X585" s="205" t="str">
        <f>+IF(AND('GRADING PACKING'!L$5=INWARDDATA!J585,'GRADING PACKING'!L$6=INWARDDATA!I585,AB585=0),"TRUE","FALSE")</f>
        <v>FALSE</v>
      </c>
      <c r="Y585" s="146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8"/>
      <c r="AK585" s="148"/>
      <c r="AL585" s="148"/>
      <c r="AM585" s="148"/>
      <c r="AN585" s="149" t="str">
        <f>+IF(AND('GRADING PACKING'!L$5=INWARDDATA!J585,'GRADING PACKING'!L$6=INWARDDATA!I585,AR585=0),"good","bad")</f>
        <v>bad</v>
      </c>
      <c r="AO585" s="150"/>
      <c r="AP585" s="151"/>
      <c r="AQ585" s="151"/>
      <c r="AR585" s="151"/>
      <c r="AS585" s="151"/>
      <c r="AT585" s="151"/>
      <c r="AU585" s="151"/>
      <c r="AV585" s="151"/>
      <c r="AW585" s="151"/>
      <c r="AX585" s="151"/>
      <c r="AY585" s="151"/>
      <c r="AZ585" s="151"/>
      <c r="BA585" s="151"/>
      <c r="BB585" s="151"/>
      <c r="BC585" s="151"/>
      <c r="BD585" s="97">
        <f>Table_15[[#This Row],[Wgt-Bag]]-Table_15[[#This Row],[Total Graded]]-Table_15[[#This Row],[UNDERSIZE]]+0.0011</f>
        <v>1.1000000000000001E-3</v>
      </c>
      <c r="BE585" s="86">
        <f>Table_15[[#This Row],[Total Graded]]-Table_15[[#This Row],[Packing Quantity]]+Table_15[[#This Row],[PACKING LOOSE]]</f>
        <v>0</v>
      </c>
      <c r="BF585" s="151">
        <f>IF(Table_15[[#This Row],[GRADED BAGS]]&gt;0,Table_15[[#This Row],[GRADED BAGS]],Table_15[[#This Row],[Bags]])</f>
        <v>0</v>
      </c>
    </row>
    <row r="586" spans="1:58" ht="15" hidden="1" customHeight="1" x14ac:dyDescent="0.35">
      <c r="A586" s="22"/>
      <c r="B586" s="22"/>
      <c r="C586" s="23"/>
      <c r="D586" s="23"/>
      <c r="E586" s="24"/>
      <c r="F586" s="23"/>
      <c r="G586" s="100"/>
      <c r="H586" s="101"/>
      <c r="I586" s="102"/>
      <c r="J586" s="102"/>
      <c r="K586" s="233"/>
      <c r="L586" s="22"/>
      <c r="M586" s="25">
        <f t="shared" si="46"/>
        <v>0</v>
      </c>
      <c r="N586" s="25">
        <f t="shared" si="47"/>
        <v>0</v>
      </c>
      <c r="O586" s="25">
        <f t="shared" si="48"/>
        <v>0</v>
      </c>
      <c r="P586" s="25">
        <f t="shared" si="49"/>
        <v>0</v>
      </c>
      <c r="Q586" s="142"/>
      <c r="R586" s="142"/>
      <c r="S586" s="142"/>
      <c r="T586" s="142"/>
      <c r="U586" s="143">
        <f t="shared" si="51"/>
        <v>0</v>
      </c>
      <c r="V586" s="144"/>
      <c r="W586" s="145"/>
      <c r="X586" s="205" t="str">
        <f>+IF(AND('GRADING PACKING'!L$5=INWARDDATA!J586,'GRADING PACKING'!L$6=INWARDDATA!I586,AB586=0),"TRUE","FALSE")</f>
        <v>FALSE</v>
      </c>
      <c r="Y586" s="146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8"/>
      <c r="AK586" s="148"/>
      <c r="AL586" s="148"/>
      <c r="AM586" s="148"/>
      <c r="AN586" s="149" t="str">
        <f>+IF(AND('GRADING PACKING'!L$5=INWARDDATA!J586,'GRADING PACKING'!L$6=INWARDDATA!I586,AR586=0),"good","bad")</f>
        <v>bad</v>
      </c>
      <c r="AO586" s="150"/>
      <c r="AP586" s="151"/>
      <c r="AQ586" s="151"/>
      <c r="AR586" s="151"/>
      <c r="AS586" s="151"/>
      <c r="AT586" s="151"/>
      <c r="AU586" s="151"/>
      <c r="AV586" s="151"/>
      <c r="AW586" s="151"/>
      <c r="AX586" s="151"/>
      <c r="AY586" s="151"/>
      <c r="AZ586" s="151"/>
      <c r="BA586" s="151"/>
      <c r="BB586" s="151"/>
      <c r="BC586" s="151"/>
      <c r="BD586" s="97">
        <f>Table_15[[#This Row],[Wgt-Bag]]-Table_15[[#This Row],[Total Graded]]-Table_15[[#This Row],[UNDERSIZE]]+0.0011</f>
        <v>1.1000000000000001E-3</v>
      </c>
      <c r="BE586" s="86">
        <f>Table_15[[#This Row],[Total Graded]]-Table_15[[#This Row],[Packing Quantity]]+Table_15[[#This Row],[PACKING LOOSE]]</f>
        <v>0</v>
      </c>
      <c r="BF586" s="151">
        <f>IF(Table_15[[#This Row],[GRADED BAGS]]&gt;0,Table_15[[#This Row],[GRADED BAGS]],Table_15[[#This Row],[Bags]])</f>
        <v>0</v>
      </c>
    </row>
    <row r="587" spans="1:58" ht="15" hidden="1" customHeight="1" x14ac:dyDescent="0.35">
      <c r="A587" s="22"/>
      <c r="B587" s="22"/>
      <c r="C587" s="23"/>
      <c r="D587" s="23"/>
      <c r="E587" s="24"/>
      <c r="F587" s="23"/>
      <c r="G587" s="100"/>
      <c r="H587" s="101"/>
      <c r="I587" s="102"/>
      <c r="J587" s="102"/>
      <c r="K587" s="233"/>
      <c r="L587" s="22"/>
      <c r="M587" s="25">
        <f t="shared" si="46"/>
        <v>0</v>
      </c>
      <c r="N587" s="25">
        <f t="shared" si="47"/>
        <v>0</v>
      </c>
      <c r="O587" s="25">
        <f t="shared" si="48"/>
        <v>0</v>
      </c>
      <c r="P587" s="25">
        <f t="shared" si="49"/>
        <v>0</v>
      </c>
      <c r="Q587" s="142"/>
      <c r="R587" s="142"/>
      <c r="S587" s="142"/>
      <c r="T587" s="142"/>
      <c r="U587" s="143">
        <f t="shared" si="51"/>
        <v>0</v>
      </c>
      <c r="V587" s="144"/>
      <c r="W587" s="145"/>
      <c r="X587" s="205" t="str">
        <f>+IF(AND('GRADING PACKING'!L$5=INWARDDATA!J587,'GRADING PACKING'!L$6=INWARDDATA!I587,AB587=0),"TRUE","FALSE")</f>
        <v>FALSE</v>
      </c>
      <c r="Y587" s="146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8"/>
      <c r="AK587" s="148"/>
      <c r="AL587" s="148"/>
      <c r="AM587" s="148"/>
      <c r="AN587" s="149" t="str">
        <f>+IF(AND('GRADING PACKING'!L$5=INWARDDATA!J587,'GRADING PACKING'!L$6=INWARDDATA!I587,AR587=0),"good","bad")</f>
        <v>bad</v>
      </c>
      <c r="AO587" s="150"/>
      <c r="AP587" s="151"/>
      <c r="AQ587" s="151"/>
      <c r="AR587" s="151"/>
      <c r="AS587" s="151"/>
      <c r="AT587" s="151"/>
      <c r="AU587" s="151"/>
      <c r="AV587" s="151"/>
      <c r="AW587" s="151"/>
      <c r="AX587" s="151"/>
      <c r="AY587" s="151"/>
      <c r="AZ587" s="151"/>
      <c r="BA587" s="151"/>
      <c r="BB587" s="151"/>
      <c r="BC587" s="151"/>
      <c r="BD587" s="97">
        <f>Table_15[[#This Row],[Wgt-Bag]]-Table_15[[#This Row],[Total Graded]]-Table_15[[#This Row],[UNDERSIZE]]+0.0011</f>
        <v>1.1000000000000001E-3</v>
      </c>
      <c r="BE587" s="86">
        <f>Table_15[[#This Row],[Total Graded]]-Table_15[[#This Row],[Packing Quantity]]+Table_15[[#This Row],[PACKING LOOSE]]</f>
        <v>0</v>
      </c>
      <c r="BF587" s="151">
        <f>IF(Table_15[[#This Row],[GRADED BAGS]]&gt;0,Table_15[[#This Row],[GRADED BAGS]],Table_15[[#This Row],[Bags]])</f>
        <v>0</v>
      </c>
    </row>
    <row r="588" spans="1:58" ht="15" hidden="1" customHeight="1" x14ac:dyDescent="0.35">
      <c r="A588" s="22"/>
      <c r="B588" s="22"/>
      <c r="C588" s="23"/>
      <c r="D588" s="23"/>
      <c r="E588" s="24"/>
      <c r="F588" s="23"/>
      <c r="G588" s="100"/>
      <c r="H588" s="101"/>
      <c r="I588" s="102"/>
      <c r="J588" s="102"/>
      <c r="K588" s="233"/>
      <c r="L588" s="22"/>
      <c r="M588" s="25">
        <f t="shared" si="46"/>
        <v>0</v>
      </c>
      <c r="N588" s="25">
        <f t="shared" si="47"/>
        <v>0</v>
      </c>
      <c r="O588" s="25">
        <f t="shared" si="48"/>
        <v>0</v>
      </c>
      <c r="P588" s="25">
        <f t="shared" si="49"/>
        <v>0</v>
      </c>
      <c r="Q588" s="142"/>
      <c r="R588" s="142"/>
      <c r="S588" s="142"/>
      <c r="T588" s="142"/>
      <c r="U588" s="143">
        <f t="shared" si="51"/>
        <v>0</v>
      </c>
      <c r="V588" s="144"/>
      <c r="W588" s="145"/>
      <c r="X588" s="205" t="str">
        <f>+IF(AND('GRADING PACKING'!L$5=INWARDDATA!J588,'GRADING PACKING'!L$6=INWARDDATA!I588,AB588=0),"TRUE","FALSE")</f>
        <v>FALSE</v>
      </c>
      <c r="Y588" s="146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8"/>
      <c r="AK588" s="148"/>
      <c r="AL588" s="148"/>
      <c r="AM588" s="148"/>
      <c r="AN588" s="149" t="str">
        <f>+IF(AND('GRADING PACKING'!L$5=INWARDDATA!J588,'GRADING PACKING'!L$6=INWARDDATA!I588,AR588=0),"good","bad")</f>
        <v>bad</v>
      </c>
      <c r="AO588" s="150"/>
      <c r="AP588" s="151"/>
      <c r="AQ588" s="151"/>
      <c r="AR588" s="151"/>
      <c r="AS588" s="151"/>
      <c r="AT588" s="151"/>
      <c r="AU588" s="151"/>
      <c r="AV588" s="151"/>
      <c r="AW588" s="151"/>
      <c r="AX588" s="151"/>
      <c r="AY588" s="151"/>
      <c r="AZ588" s="151"/>
      <c r="BA588" s="151"/>
      <c r="BB588" s="151"/>
      <c r="BC588" s="151"/>
      <c r="BD588" s="97">
        <f>Table_15[[#This Row],[Wgt-Bag]]-Table_15[[#This Row],[Total Graded]]-Table_15[[#This Row],[UNDERSIZE]]+0.0011</f>
        <v>1.1000000000000001E-3</v>
      </c>
      <c r="BE588" s="86">
        <f>Table_15[[#This Row],[Total Graded]]-Table_15[[#This Row],[Packing Quantity]]+Table_15[[#This Row],[PACKING LOOSE]]</f>
        <v>0</v>
      </c>
      <c r="BF588" s="151">
        <f>IF(Table_15[[#This Row],[GRADED BAGS]]&gt;0,Table_15[[#This Row],[GRADED BAGS]],Table_15[[#This Row],[Bags]])</f>
        <v>0</v>
      </c>
    </row>
    <row r="589" spans="1:58" ht="15" hidden="1" customHeight="1" x14ac:dyDescent="0.35">
      <c r="A589" s="22"/>
      <c r="B589" s="22"/>
      <c r="C589" s="23"/>
      <c r="D589" s="23"/>
      <c r="E589" s="24"/>
      <c r="F589" s="23"/>
      <c r="G589" s="100"/>
      <c r="H589" s="101"/>
      <c r="I589" s="102"/>
      <c r="J589" s="102"/>
      <c r="K589" s="233"/>
      <c r="L589" s="22"/>
      <c r="M589" s="25">
        <f t="shared" si="46"/>
        <v>0</v>
      </c>
      <c r="N589" s="25">
        <f t="shared" si="47"/>
        <v>0</v>
      </c>
      <c r="O589" s="25">
        <f t="shared" si="48"/>
        <v>0</v>
      </c>
      <c r="P589" s="25">
        <f t="shared" si="49"/>
        <v>0</v>
      </c>
      <c r="Q589" s="142"/>
      <c r="R589" s="142"/>
      <c r="S589" s="142"/>
      <c r="T589" s="142"/>
      <c r="U589" s="143">
        <f t="shared" si="51"/>
        <v>0</v>
      </c>
      <c r="V589" s="144"/>
      <c r="W589" s="145"/>
      <c r="X589" s="205" t="str">
        <f>+IF(AND('GRADING PACKING'!L$5=INWARDDATA!J589,'GRADING PACKING'!L$6=INWARDDATA!I589,AB589=0),"TRUE","FALSE")</f>
        <v>FALSE</v>
      </c>
      <c r="Y589" s="146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8"/>
      <c r="AK589" s="148"/>
      <c r="AL589" s="148"/>
      <c r="AM589" s="148"/>
      <c r="AN589" s="149" t="str">
        <f>+IF(AND('GRADING PACKING'!L$5=INWARDDATA!J589,'GRADING PACKING'!L$6=INWARDDATA!I589,AR589=0),"good","bad")</f>
        <v>bad</v>
      </c>
      <c r="AO589" s="150"/>
      <c r="AP589" s="151"/>
      <c r="AQ589" s="151"/>
      <c r="AR589" s="151"/>
      <c r="AS589" s="151"/>
      <c r="AT589" s="151"/>
      <c r="AU589" s="151"/>
      <c r="AV589" s="151"/>
      <c r="AW589" s="151"/>
      <c r="AX589" s="151"/>
      <c r="AY589" s="151"/>
      <c r="AZ589" s="151"/>
      <c r="BA589" s="151"/>
      <c r="BB589" s="151"/>
      <c r="BC589" s="151"/>
      <c r="BD589" s="97">
        <f>Table_15[[#This Row],[Wgt-Bag]]-Table_15[[#This Row],[Total Graded]]-Table_15[[#This Row],[UNDERSIZE]]+0.0011</f>
        <v>1.1000000000000001E-3</v>
      </c>
      <c r="BE589" s="86">
        <f>Table_15[[#This Row],[Total Graded]]-Table_15[[#This Row],[Packing Quantity]]+Table_15[[#This Row],[PACKING LOOSE]]</f>
        <v>0</v>
      </c>
      <c r="BF589" s="151">
        <f>IF(Table_15[[#This Row],[GRADED BAGS]]&gt;0,Table_15[[#This Row],[GRADED BAGS]],Table_15[[#This Row],[Bags]])</f>
        <v>0</v>
      </c>
    </row>
    <row r="590" spans="1:58" ht="15" hidden="1" customHeight="1" x14ac:dyDescent="0.35">
      <c r="A590" s="22"/>
      <c r="B590" s="22"/>
      <c r="C590" s="23"/>
      <c r="D590" s="23"/>
      <c r="E590" s="24"/>
      <c r="F590" s="23"/>
      <c r="G590" s="100"/>
      <c r="H590" s="101"/>
      <c r="I590" s="102"/>
      <c r="J590" s="102"/>
      <c r="K590" s="233"/>
      <c r="L590" s="22"/>
      <c r="M590" s="25">
        <f t="shared" si="46"/>
        <v>0</v>
      </c>
      <c r="N590" s="25">
        <f t="shared" si="47"/>
        <v>0</v>
      </c>
      <c r="O590" s="25">
        <f t="shared" si="48"/>
        <v>0</v>
      </c>
      <c r="P590" s="25">
        <f t="shared" si="49"/>
        <v>0</v>
      </c>
      <c r="Q590" s="142"/>
      <c r="R590" s="142"/>
      <c r="S590" s="142"/>
      <c r="T590" s="142"/>
      <c r="U590" s="143">
        <f t="shared" si="51"/>
        <v>0</v>
      </c>
      <c r="V590" s="144"/>
      <c r="W590" s="145"/>
      <c r="X590" s="205" t="str">
        <f>+IF(AND('GRADING PACKING'!L$5=INWARDDATA!J590,'GRADING PACKING'!L$6=INWARDDATA!I590,AB590=0),"TRUE","FALSE")</f>
        <v>FALSE</v>
      </c>
      <c r="Y590" s="146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8"/>
      <c r="AK590" s="148"/>
      <c r="AL590" s="148"/>
      <c r="AM590" s="148"/>
      <c r="AN590" s="149" t="str">
        <f>+IF(AND('GRADING PACKING'!L$5=INWARDDATA!J590,'GRADING PACKING'!L$6=INWARDDATA!I590,AR590=0),"good","bad")</f>
        <v>bad</v>
      </c>
      <c r="AO590" s="150"/>
      <c r="AP590" s="151"/>
      <c r="AQ590" s="151"/>
      <c r="AR590" s="151"/>
      <c r="AS590" s="151"/>
      <c r="AT590" s="151"/>
      <c r="AU590" s="151"/>
      <c r="AV590" s="151"/>
      <c r="AW590" s="151"/>
      <c r="AX590" s="151"/>
      <c r="AY590" s="151"/>
      <c r="AZ590" s="151"/>
      <c r="BA590" s="151"/>
      <c r="BB590" s="151"/>
      <c r="BC590" s="151"/>
      <c r="BD590" s="97">
        <f>Table_15[[#This Row],[Wgt-Bag]]-Table_15[[#This Row],[Total Graded]]-Table_15[[#This Row],[UNDERSIZE]]+0.0011</f>
        <v>1.1000000000000001E-3</v>
      </c>
      <c r="BE590" s="86">
        <f>Table_15[[#This Row],[Total Graded]]-Table_15[[#This Row],[Packing Quantity]]+Table_15[[#This Row],[PACKING LOOSE]]</f>
        <v>0</v>
      </c>
      <c r="BF590" s="151">
        <f>IF(Table_15[[#This Row],[GRADED BAGS]]&gt;0,Table_15[[#This Row],[GRADED BAGS]],Table_15[[#This Row],[Bags]])</f>
        <v>0</v>
      </c>
    </row>
    <row r="600" spans="13:13" ht="15" customHeight="1" x14ac:dyDescent="0.3">
      <c r="M600" s="90"/>
    </row>
  </sheetData>
  <dataConsolidate topLabels="1">
    <dataRefs count="1">
      <dataRef ref="I3:AM84" sheet="INWARDDATA"/>
    </dataRefs>
  </dataConsolidate>
  <conditionalFormatting sqref="B10:B590">
    <cfRule type="duplicateValues" dxfId="88" priority="3"/>
  </conditionalFormatting>
  <conditionalFormatting sqref="B4:B590">
    <cfRule type="duplicateValues" dxfId="87" priority="1"/>
  </conditionalFormatting>
  <dataValidations disablePrompts="1" count="1">
    <dataValidation type="list" allowBlank="1" showErrorMessage="1" sqref="F57" xr:uid="{00000000-0002-0000-0100-000000000000}">
      <formula1>$H$4:$H$47</formula1>
    </dataValidation>
  </dataValidations>
  <pageMargins left="0.23622047244094488" right="0.23622047244094488" top="0.46" bottom="0.74803149606299213" header="0" footer="0"/>
  <pageSetup paperSize="9" scale="19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C1557"/>
  <sheetViews>
    <sheetView showGridLines="0" tabSelected="1" topLeftCell="K3" zoomScale="91" zoomScaleNormal="90" workbookViewId="0">
      <selection activeCell="N9" sqref="N9"/>
    </sheetView>
  </sheetViews>
  <sheetFormatPr defaultColWidth="12.58203125" defaultRowHeight="15" customHeight="1" x14ac:dyDescent="0.3"/>
  <cols>
    <col min="1" max="1" width="9.25" hidden="1" customWidth="1"/>
    <col min="2" max="2" width="12" hidden="1" customWidth="1"/>
    <col min="3" max="3" width="20" hidden="1" customWidth="1"/>
    <col min="4" max="4" width="16.08203125" hidden="1" customWidth="1"/>
    <col min="5" max="5" width="9.58203125" hidden="1" customWidth="1"/>
    <col min="6" max="6" width="7.58203125" hidden="1" customWidth="1"/>
    <col min="7" max="7" width="11.83203125" hidden="1" customWidth="1"/>
    <col min="8" max="9" width="7.33203125" hidden="1" customWidth="1"/>
    <col min="10" max="10" width="16.08203125" hidden="1" customWidth="1"/>
    <col min="11" max="11" width="16.08203125" customWidth="1"/>
    <col min="12" max="12" width="26.33203125" customWidth="1"/>
    <col min="13" max="13" width="5.5" hidden="1" customWidth="1"/>
    <col min="14" max="14" width="31.25" customWidth="1"/>
    <col min="15" max="15" width="18.5" customWidth="1"/>
    <col min="16" max="16" width="25.5" customWidth="1"/>
    <col min="17" max="19" width="7.58203125" customWidth="1"/>
    <col min="20" max="20" width="8.08203125" bestFit="1" customWidth="1"/>
    <col min="21" max="21" width="7.58203125" customWidth="1"/>
    <col min="22" max="22" width="14.33203125" customWidth="1"/>
    <col min="23" max="23" width="28.33203125" customWidth="1"/>
    <col min="24" max="24" width="7.58203125" customWidth="1"/>
    <col min="25" max="25" width="7.08203125" customWidth="1"/>
    <col min="26" max="26" width="10.83203125" customWidth="1"/>
    <col min="28" max="30" width="8.25" customWidth="1"/>
    <col min="31" max="31" width="9.33203125" customWidth="1"/>
    <col min="32" max="32" width="9.83203125" customWidth="1"/>
    <col min="33" max="33" width="9.75" customWidth="1"/>
  </cols>
  <sheetData>
    <row r="1" spans="1:29" ht="14.5" hidden="1" x14ac:dyDescent="0.35">
      <c r="A1" s="35">
        <f ca="1">L4</f>
        <v>46134</v>
      </c>
      <c r="B1" s="5" t="str">
        <f>L5</f>
        <v>ASHISH SARIYA KACHNARIYA</v>
      </c>
      <c r="C1" s="5" t="str">
        <f>L6</f>
        <v>HI-8759 PUSA TEJAS</v>
      </c>
      <c r="D1" s="5">
        <f>L7</f>
        <v>102.65</v>
      </c>
      <c r="E1" s="6">
        <f>L10</f>
        <v>0</v>
      </c>
      <c r="F1" s="6">
        <f>L11</f>
        <v>0</v>
      </c>
      <c r="G1" s="5">
        <f>E1*F1/100</f>
        <v>0</v>
      </c>
      <c r="H1" s="5">
        <f>L12</f>
        <v>0</v>
      </c>
      <c r="I1" s="5">
        <f>G1+H1</f>
        <v>0</v>
      </c>
      <c r="J1" s="5">
        <f>L13</f>
        <v>0</v>
      </c>
      <c r="K1" s="5">
        <f>L16</f>
        <v>0</v>
      </c>
      <c r="L1" s="36">
        <f>(J1/D1)*100</f>
        <v>0</v>
      </c>
      <c r="M1" s="5">
        <f>G1+H1+J1</f>
        <v>0</v>
      </c>
      <c r="N1" s="5">
        <f>L18</f>
        <v>0</v>
      </c>
      <c r="O1" s="5">
        <f>M1-L9</f>
        <v>-102.65</v>
      </c>
    </row>
    <row r="2" spans="1:29" ht="39.5" hidden="1" thickBot="1" x14ac:dyDescent="0.35">
      <c r="A2" s="37" t="s">
        <v>51</v>
      </c>
      <c r="B2" s="37" t="s">
        <v>25</v>
      </c>
      <c r="C2" s="38" t="s">
        <v>26</v>
      </c>
      <c r="D2" s="38" t="s">
        <v>27</v>
      </c>
      <c r="E2" s="38" t="s">
        <v>28</v>
      </c>
      <c r="F2" s="37" t="s">
        <v>29</v>
      </c>
      <c r="G2" s="37" t="s">
        <v>80</v>
      </c>
      <c r="H2" s="37" t="s">
        <v>31</v>
      </c>
      <c r="I2" s="37" t="s">
        <v>81</v>
      </c>
      <c r="J2" s="39" t="s">
        <v>32</v>
      </c>
      <c r="K2" s="40" t="s">
        <v>52</v>
      </c>
      <c r="L2" s="40" t="s">
        <v>34</v>
      </c>
      <c r="M2" s="39" t="s">
        <v>82</v>
      </c>
      <c r="N2" s="39" t="s">
        <v>35</v>
      </c>
      <c r="O2" s="39" t="s">
        <v>36</v>
      </c>
    </row>
    <row r="3" spans="1:29" ht="49.5" customHeight="1" thickBot="1" x14ac:dyDescent="0.4">
      <c r="K3" s="236" t="s">
        <v>53</v>
      </c>
      <c r="L3" s="237"/>
      <c r="M3" s="41"/>
      <c r="N3" s="221" t="s">
        <v>244</v>
      </c>
      <c r="O3" s="236" t="s">
        <v>54</v>
      </c>
      <c r="P3" s="238"/>
    </row>
    <row r="4" spans="1:29" thickBot="1" x14ac:dyDescent="0.4">
      <c r="K4" s="42" t="s">
        <v>55</v>
      </c>
      <c r="L4" s="43">
        <f ca="1">P4</f>
        <v>46134</v>
      </c>
      <c r="M4" s="41"/>
      <c r="N4" s="239" t="s">
        <v>199</v>
      </c>
      <c r="O4" s="42" t="s">
        <v>55</v>
      </c>
      <c r="P4" s="43">
        <f ca="1">TODAY()</f>
        <v>46134</v>
      </c>
      <c r="R4" s="140"/>
    </row>
    <row r="5" spans="1:29" ht="15" customHeight="1" thickBot="1" x14ac:dyDescent="0.4">
      <c r="H5" s="41"/>
      <c r="I5" s="41"/>
      <c r="J5" s="41"/>
      <c r="K5" s="44" t="s">
        <v>56</v>
      </c>
      <c r="L5" s="45" t="str">
        <f t="shared" ref="L5:L6" si="0">N3</f>
        <v>ASHISH SARIYA KACHNARIYA</v>
      </c>
      <c r="M5" s="46"/>
      <c r="N5" s="240"/>
      <c r="O5" s="44" t="s">
        <v>56</v>
      </c>
      <c r="P5" s="45" t="str">
        <f t="shared" ref="P5:P6" si="1">L5</f>
        <v>ASHISH SARIYA KACHNARIYA</v>
      </c>
      <c r="Q5" s="41"/>
      <c r="R5" s="141"/>
      <c r="S5" s="41"/>
      <c r="T5" s="41"/>
      <c r="U5" s="41"/>
      <c r="V5" s="122" t="s">
        <v>97</v>
      </c>
      <c r="W5" s="152" t="str">
        <f>N3</f>
        <v>ASHISH SARIYA KACHNARIYA</v>
      </c>
      <c r="X5" s="41"/>
    </row>
    <row r="6" spans="1:29" ht="15" customHeight="1" x14ac:dyDescent="0.35">
      <c r="H6" s="41"/>
      <c r="I6" s="41"/>
      <c r="J6" s="46"/>
      <c r="K6" s="44" t="s">
        <v>26</v>
      </c>
      <c r="L6" s="51" t="str">
        <f t="shared" si="0"/>
        <v>HI-8759 PUSA TEJAS</v>
      </c>
      <c r="M6" s="46"/>
      <c r="N6" s="240"/>
      <c r="O6" s="44" t="s">
        <v>26</v>
      </c>
      <c r="P6" s="51" t="str">
        <f t="shared" si="1"/>
        <v>HI-8759 PUSA TEJAS</v>
      </c>
      <c r="R6" s="140"/>
      <c r="V6" s="122" t="s">
        <v>98</v>
      </c>
      <c r="W6" s="152" t="str">
        <f>N4</f>
        <v>HI-8759 PUSA TEJAS</v>
      </c>
    </row>
    <row r="7" spans="1:29" thickBot="1" x14ac:dyDescent="0.4">
      <c r="J7" s="46"/>
      <c r="K7" s="47" t="s">
        <v>57</v>
      </c>
      <c r="L7" s="48">
        <f>SUMIFS(INWARDDATA!$N$4:$N$5280,INWARDDATA!$J$4:$J$5280,'GRADING PACKING'!$L$5,INWARDDATA!$I$4:$I$5280,'GRADING PACKING'!$L$6)</f>
        <v>102.65</v>
      </c>
      <c r="M7" s="49"/>
      <c r="N7" s="240"/>
      <c r="O7" s="47" t="s">
        <v>58</v>
      </c>
      <c r="P7" s="48">
        <f>SUMIFS(INWARDDATA!$AE$4:$AE$5280,INWARDDATA!$J$4:$J$5280,'GRADING PACKING'!$L$5,INWARDDATA!$I$4:$I$5280,'GRADING PACKING'!$L$6)</f>
        <v>0</v>
      </c>
      <c r="V7" t="s">
        <v>99</v>
      </c>
      <c r="W7" s="152">
        <f>SUMIFS(INWARDDATA!$H$4:$H$570,INWARDDATA!$J$4:$J$570,'GRADING PACKING'!$L$5,INWARDDATA!$I$4:$I$570,'GRADING PACKING'!$L$6)</f>
        <v>10265</v>
      </c>
      <c r="X7" t="s">
        <v>90</v>
      </c>
    </row>
    <row r="8" spans="1:29" thickBot="1" x14ac:dyDescent="0.4">
      <c r="H8" s="41"/>
      <c r="I8" s="41"/>
      <c r="J8" s="46"/>
      <c r="K8" s="47" t="s">
        <v>59</v>
      </c>
      <c r="L8" s="48">
        <f>SUMIFS(INWARDDATA!AK4:AK4532,INWARDDATA!J4:J4532,'GRADING PACKING'!L5,INWARDDATA!I4:I4532,'GRADING PACKING'!L6)</f>
        <v>0</v>
      </c>
      <c r="N8" s="241"/>
      <c r="O8" s="47" t="s">
        <v>40</v>
      </c>
      <c r="P8" s="48">
        <f>SUMIFS(INWARDDATA!AX2:AX1428,INWARDDATA!J2:J1428,'GRADING PACKING'!L5,INWARDDATA!I2:I1428,'GRADING PACKING'!L6)</f>
        <v>0</v>
      </c>
      <c r="V8" t="s">
        <v>100</v>
      </c>
      <c r="W8" s="152">
        <f>SUMIFS(INWARDDATA!$M$4:$M$570,INWARDDATA!$J$4:$J$570,'GRADING PACKING'!$L$5,INWARDDATA!$I$4:$I$570,'GRADING PACKING'!$L$6)</f>
        <v>0</v>
      </c>
      <c r="X8" t="s">
        <v>90</v>
      </c>
    </row>
    <row r="9" spans="1:29" thickBot="1" x14ac:dyDescent="0.4">
      <c r="J9" s="46" t="s">
        <v>60</v>
      </c>
      <c r="K9" s="47" t="s">
        <v>61</v>
      </c>
      <c r="L9" s="48">
        <f>L7-L8</f>
        <v>102.65</v>
      </c>
      <c r="N9" s="153" t="s">
        <v>60</v>
      </c>
      <c r="O9" s="47" t="s">
        <v>41</v>
      </c>
      <c r="P9" s="48">
        <f>P7-P8</f>
        <v>0</v>
      </c>
      <c r="V9" t="s">
        <v>114</v>
      </c>
      <c r="W9" s="155">
        <f>W7-W8</f>
        <v>10265</v>
      </c>
    </row>
    <row r="10" spans="1:29" ht="16" thickBot="1" x14ac:dyDescent="0.4">
      <c r="H10" s="41"/>
      <c r="I10" s="41"/>
      <c r="J10" s="46"/>
      <c r="K10" s="50" t="s">
        <v>74</v>
      </c>
      <c r="L10" s="51"/>
      <c r="M10" s="52"/>
      <c r="N10" s="49"/>
      <c r="O10" s="53" t="s">
        <v>42</v>
      </c>
      <c r="P10" s="209"/>
      <c r="Q10" s="49"/>
      <c r="V10" t="s">
        <v>101</v>
      </c>
      <c r="W10" s="152">
        <f>SUMIFS(INWARDDATA!$O$4:$O$570,INWARDDATA!$J$4:$J$570,'GRADING PACKING'!$L$5,INWARDDATA!$I$4:$I$570,'GRADING PACKING'!$L$6)</f>
        <v>0.36000000000000004</v>
      </c>
      <c r="X10" t="s">
        <v>90</v>
      </c>
    </row>
    <row r="11" spans="1:29" ht="16" thickBot="1" x14ac:dyDescent="0.4">
      <c r="H11" s="41"/>
      <c r="I11" s="41"/>
      <c r="J11" s="46"/>
      <c r="K11" s="50" t="s">
        <v>84</v>
      </c>
      <c r="L11" s="55"/>
      <c r="M11" s="52"/>
      <c r="N11" s="49"/>
      <c r="O11" s="207" t="s">
        <v>43</v>
      </c>
      <c r="P11" s="102"/>
      <c r="V11" t="s">
        <v>7</v>
      </c>
      <c r="W11" s="155">
        <f>W9/100-W10</f>
        <v>102.29</v>
      </c>
      <c r="X11" t="s">
        <v>104</v>
      </c>
      <c r="AC11" t="s">
        <v>118</v>
      </c>
    </row>
    <row r="12" spans="1:29" ht="16" thickBot="1" x14ac:dyDescent="0.4">
      <c r="H12" s="41"/>
      <c r="I12" s="41"/>
      <c r="J12" s="46"/>
      <c r="K12" s="50" t="s">
        <v>31</v>
      </c>
      <c r="L12" s="55"/>
      <c r="M12" s="52"/>
      <c r="N12" s="49"/>
      <c r="O12" s="207" t="s">
        <v>45</v>
      </c>
      <c r="P12" s="208"/>
      <c r="V12" t="s">
        <v>102</v>
      </c>
      <c r="W12" s="152"/>
      <c r="X12" t="s">
        <v>105</v>
      </c>
    </row>
    <row r="13" spans="1:29" ht="16" thickBot="1" x14ac:dyDescent="0.4">
      <c r="H13" s="41"/>
      <c r="I13" s="41"/>
      <c r="J13" s="46"/>
      <c r="K13" s="50" t="s">
        <v>32</v>
      </c>
      <c r="L13" s="55"/>
      <c r="M13" s="52"/>
      <c r="N13" s="46"/>
      <c r="O13" s="53" t="s">
        <v>46</v>
      </c>
      <c r="P13" s="45"/>
      <c r="V13" t="s">
        <v>103</v>
      </c>
      <c r="W13" s="172">
        <f>W11*W12</f>
        <v>0</v>
      </c>
      <c r="X13" t="s">
        <v>105</v>
      </c>
    </row>
    <row r="14" spans="1:29" ht="16" thickBot="1" x14ac:dyDescent="0.4">
      <c r="H14" s="41"/>
      <c r="I14" s="41"/>
      <c r="J14" s="46"/>
      <c r="K14" s="50" t="s">
        <v>63</v>
      </c>
      <c r="L14" s="55">
        <f>(L10*L11*0.01)+L12+L13</f>
        <v>0</v>
      </c>
      <c r="M14" s="52"/>
      <c r="N14" s="46" t="s">
        <v>62</v>
      </c>
      <c r="O14" s="53" t="s">
        <v>64</v>
      </c>
      <c r="P14" s="55">
        <f>(P10*P11*0.01)+P12+P13</f>
        <v>0</v>
      </c>
    </row>
    <row r="15" spans="1:29" ht="16" thickBot="1" x14ac:dyDescent="0.4">
      <c r="H15" s="41"/>
      <c r="I15" s="41"/>
      <c r="J15" s="46"/>
      <c r="K15" s="50" t="s">
        <v>65</v>
      </c>
      <c r="L15" s="55">
        <f>L9-L14</f>
        <v>102.65</v>
      </c>
      <c r="M15" s="52"/>
      <c r="N15" s="46" t="s">
        <v>62</v>
      </c>
      <c r="O15" s="53" t="s">
        <v>36</v>
      </c>
      <c r="P15" s="55">
        <f>P9-P14</f>
        <v>0</v>
      </c>
      <c r="S15" s="120"/>
      <c r="T15" s="120"/>
      <c r="U15" s="121">
        <f>SUM(U17:U29)</f>
        <v>0</v>
      </c>
      <c r="V15" s="121">
        <f>SUM(V17:V29)</f>
        <v>0</v>
      </c>
      <c r="W15" s="120"/>
      <c r="X15" s="121">
        <f>SUM(X17:X29)</f>
        <v>0</v>
      </c>
      <c r="Y15" s="121">
        <f>SUM(Y17:Y29)</f>
        <v>0</v>
      </c>
      <c r="Z15" s="121">
        <f>SUM(Z17:Z29)</f>
        <v>0</v>
      </c>
      <c r="AA15" s="121">
        <f>SUM(AA17:AA29)</f>
        <v>0</v>
      </c>
      <c r="AB15" s="133"/>
      <c r="AC15" s="133"/>
    </row>
    <row r="16" spans="1:29" ht="23.5" thickBot="1" x14ac:dyDescent="0.4">
      <c r="H16" s="41"/>
      <c r="I16" s="41"/>
      <c r="J16" s="46"/>
      <c r="K16" s="50" t="s">
        <v>85</v>
      </c>
      <c r="L16" s="54"/>
      <c r="M16" s="52"/>
      <c r="N16" s="46"/>
      <c r="O16" s="53" t="s">
        <v>16</v>
      </c>
      <c r="P16" s="45"/>
      <c r="S16" s="222" t="s">
        <v>111</v>
      </c>
      <c r="T16" s="222" t="s">
        <v>109</v>
      </c>
      <c r="U16" s="222" t="s">
        <v>110</v>
      </c>
      <c r="V16" s="222" t="s">
        <v>10</v>
      </c>
      <c r="W16" s="222" t="s">
        <v>11</v>
      </c>
      <c r="X16" s="223" t="s">
        <v>12</v>
      </c>
      <c r="Y16" s="223" t="s">
        <v>13</v>
      </c>
      <c r="Z16" s="223" t="s">
        <v>14</v>
      </c>
      <c r="AA16" s="223" t="s">
        <v>112</v>
      </c>
      <c r="AB16" s="224"/>
      <c r="AC16" s="133"/>
    </row>
    <row r="17" spans="8:29" ht="16" thickBot="1" x14ac:dyDescent="0.4">
      <c r="H17" s="41"/>
      <c r="I17" s="41"/>
      <c r="J17" s="46"/>
      <c r="K17" s="50" t="s">
        <v>66</v>
      </c>
      <c r="L17" s="55">
        <f>L1</f>
        <v>0</v>
      </c>
      <c r="M17" s="52"/>
      <c r="N17" s="46"/>
      <c r="O17" s="53" t="s">
        <v>17</v>
      </c>
      <c r="P17" s="45"/>
      <c r="Q17" s="46"/>
      <c r="R17" s="64"/>
      <c r="S17" s="102">
        <v>1</v>
      </c>
      <c r="T17" s="102"/>
      <c r="U17" s="102" t="str">
        <f>IFERROR(VLOOKUP(T17,INWARDDATA!$B$4:$P$552,7,FALSE),"0")</f>
        <v>0</v>
      </c>
      <c r="V17" s="102" t="str">
        <f>IFERROR(VLOOKUP(T17,INWARDDATA!B$4:P$927,10,FALSE),"0")</f>
        <v>0</v>
      </c>
      <c r="W17" s="102" t="str">
        <f>IFERROR(VLOOKUP(T17,INWARDDATA!B$4:P$927,11,FALSE),"0")</f>
        <v>0</v>
      </c>
      <c r="X17" s="102" t="str">
        <f>IFERROR(VLOOKUP(T17,INWARDDATA!B$4:P927,12,FALSE),"0")</f>
        <v>0</v>
      </c>
      <c r="Y17" s="154" t="str">
        <f>IFERROR(VLOOKUP(T17,INWARDDATA!B$4:P927,13,FALSE),"0")</f>
        <v>0</v>
      </c>
      <c r="Z17" s="102" t="str">
        <f>IFERROR(VLOOKUP(T17,INWARDDATA!B$4:P927,14,FALSE),"0")</f>
        <v>0</v>
      </c>
      <c r="AA17" s="102" t="str">
        <f>IFERROR(VLOOKUP(T17,INWARDDATA!B$4:P927,15,FALSE),"0")</f>
        <v>0</v>
      </c>
      <c r="AB17" s="225"/>
      <c r="AC17" s="133"/>
    </row>
    <row r="18" spans="8:29" ht="16" thickBot="1" x14ac:dyDescent="0.4">
      <c r="H18" s="41"/>
      <c r="I18" s="41"/>
      <c r="J18" s="46"/>
      <c r="K18" s="50" t="s">
        <v>35</v>
      </c>
      <c r="L18" s="55"/>
      <c r="M18" s="52"/>
      <c r="N18" s="46" t="s">
        <v>62</v>
      </c>
      <c r="O18" s="46"/>
      <c r="P18" s="46"/>
      <c r="Q18" s="46"/>
      <c r="R18" s="46"/>
      <c r="S18" s="102">
        <v>2</v>
      </c>
      <c r="T18" s="102"/>
      <c r="U18" s="102" t="str">
        <f>IFERROR(VLOOKUP(T18,INWARDDATA!$B$4:$P$552,7,FALSE),"0")</f>
        <v>0</v>
      </c>
      <c r="V18" s="102" t="str">
        <f>IFERROR(VLOOKUP(T18,INWARDDATA!B$4:P$927,10,FALSE),"0")</f>
        <v>0</v>
      </c>
      <c r="W18" s="102" t="str">
        <f>IFERROR(VLOOKUP(T18,INWARDDATA!B$4:P$927,11,FALSE),"0")</f>
        <v>0</v>
      </c>
      <c r="X18" s="102" t="str">
        <f>IFERROR(VLOOKUP(T18,INWARDDATA!B$4:P928,12,FALSE),"0")</f>
        <v>0</v>
      </c>
      <c r="Y18" s="154" t="str">
        <f>IFERROR(VLOOKUP(T18,INWARDDATA!B$4:P928,13,FALSE),"0")</f>
        <v>0</v>
      </c>
      <c r="Z18" s="102" t="str">
        <f>IFERROR(VLOOKUP(T18,INWARDDATA!B$4:P928,14,FALSE),"0")</f>
        <v>0</v>
      </c>
      <c r="AA18" s="102" t="str">
        <f>IFERROR(VLOOKUP(T18,INWARDDATA!B$4:P928,15,FALSE),"0")</f>
        <v>0</v>
      </c>
      <c r="AB18" s="133"/>
      <c r="AC18" s="133"/>
    </row>
    <row r="19" spans="8:29" ht="15.5" x14ac:dyDescent="0.35">
      <c r="H19" s="41"/>
      <c r="I19" s="41"/>
      <c r="J19" s="46"/>
      <c r="K19" s="50"/>
      <c r="L19" s="55"/>
      <c r="M19" s="52"/>
      <c r="N19" s="46" t="s">
        <v>62</v>
      </c>
      <c r="O19" s="46"/>
      <c r="P19" s="46"/>
      <c r="Q19" s="46"/>
      <c r="R19" s="46"/>
      <c r="S19" s="102">
        <v>3</v>
      </c>
      <c r="T19" s="102"/>
      <c r="U19" s="102" t="str">
        <f>IFERROR(VLOOKUP(T19,INWARDDATA!$B$4:$P$552,7,FALSE),"0")</f>
        <v>0</v>
      </c>
      <c r="V19" s="102" t="str">
        <f>IFERROR(VLOOKUP(T19,INWARDDATA!B$4:P$927,10,FALSE),"0")</f>
        <v>0</v>
      </c>
      <c r="W19" s="102" t="str">
        <f>IFERROR(VLOOKUP(T19,INWARDDATA!B$4:P$927,11,FALSE),"0")</f>
        <v>0</v>
      </c>
      <c r="X19" s="102" t="str">
        <f>IFERROR(VLOOKUP(T19,INWARDDATA!B$4:P929,12,FALSE),"0")</f>
        <v>0</v>
      </c>
      <c r="Y19" s="154" t="str">
        <f>IFERROR(VLOOKUP(T19,INWARDDATA!B$4:P929,13,FALSE),"0")</f>
        <v>0</v>
      </c>
      <c r="Z19" s="102" t="str">
        <f>IFERROR(VLOOKUP(T19,INWARDDATA!B$4:P929,14,FALSE),"0")</f>
        <v>0</v>
      </c>
      <c r="AA19" s="102" t="str">
        <f>IFERROR(VLOOKUP(T19,INWARDDATA!B$4:P929,15,FALSE),"0")</f>
        <v>0</v>
      </c>
      <c r="AB19" s="133"/>
    </row>
    <row r="20" spans="8:29" ht="15.5" x14ac:dyDescent="0.35">
      <c r="H20" s="41"/>
      <c r="I20" s="41"/>
      <c r="J20" s="46"/>
      <c r="K20" s="56"/>
      <c r="M20" s="52"/>
      <c r="N20" s="9" t="s">
        <v>62</v>
      </c>
      <c r="O20" s="46"/>
      <c r="P20" s="46"/>
      <c r="Q20" s="46"/>
      <c r="R20" s="46"/>
      <c r="S20" s="102">
        <v>4</v>
      </c>
      <c r="T20" s="102"/>
      <c r="U20" s="102" t="str">
        <f>IFERROR(VLOOKUP(T20,INWARDDATA!$B$4:$P$552,7,FALSE),"0")</f>
        <v>0</v>
      </c>
      <c r="V20" s="102" t="str">
        <f>IFERROR(VLOOKUP(T20,INWARDDATA!B$4:P$927,10,FALSE),"0")</f>
        <v>0</v>
      </c>
      <c r="W20" s="102" t="str">
        <f>IFERROR(VLOOKUP(T20,INWARDDATA!B$4:P$927,11,FALSE),"0")</f>
        <v>0</v>
      </c>
      <c r="X20" s="102" t="str">
        <f>IFERROR(VLOOKUP(T20,INWARDDATA!B$4:P930,12,FALSE),"0")</f>
        <v>0</v>
      </c>
      <c r="Y20" s="154" t="str">
        <f>IFERROR(VLOOKUP(T20,INWARDDATA!B$4:P930,13,FALSE),"0")</f>
        <v>0</v>
      </c>
      <c r="Z20" s="102" t="str">
        <f>IFERROR(VLOOKUP(T20,INWARDDATA!B$4:P930,14,FALSE),"0")</f>
        <v>0</v>
      </c>
      <c r="AA20" s="102" t="str">
        <f>IFERROR(VLOOKUP(T20,INWARDDATA!B$4:P930,15,FALSE),"0")</f>
        <v>0</v>
      </c>
      <c r="AB20" s="133"/>
    </row>
    <row r="21" spans="8:29" ht="15.75" customHeight="1" x14ac:dyDescent="0.35">
      <c r="H21" s="41"/>
      <c r="I21" s="41"/>
      <c r="J21" s="46"/>
      <c r="K21" s="56"/>
      <c r="M21" s="52"/>
      <c r="N21" s="9" cm="1">
        <f t="array" ref="N21:N45">_xlfn._xlws.SORT(_xlfn.UNIQUE(INWARDDATA!J4:J826,FALSE))</f>
        <v>0</v>
      </c>
      <c r="O21" s="46"/>
      <c r="P21" s="46"/>
      <c r="Q21" s="46"/>
      <c r="R21" s="46"/>
      <c r="S21" s="102">
        <v>5</v>
      </c>
      <c r="T21" s="102"/>
      <c r="U21" s="102" t="str">
        <f>IFERROR(VLOOKUP(T21,INWARDDATA!$B$4:$P$552,7,FALSE),"0")</f>
        <v>0</v>
      </c>
      <c r="V21" s="102" t="str">
        <f>IFERROR(VLOOKUP(T21,INWARDDATA!B$4:P$927,10,FALSE),"0")</f>
        <v>0</v>
      </c>
      <c r="W21" s="102" t="str">
        <f>IFERROR(VLOOKUP(T21,INWARDDATA!B$4:P$927,11,FALSE),"0")</f>
        <v>0</v>
      </c>
      <c r="X21" s="102" t="str">
        <f>IFERROR(VLOOKUP(T21,INWARDDATA!B$4:P931,12,FALSE),"0")</f>
        <v>0</v>
      </c>
      <c r="Y21" s="154" t="str">
        <f>IFERROR(VLOOKUP(T21,INWARDDATA!B$4:P931,13,FALSE),"0")</f>
        <v>0</v>
      </c>
      <c r="Z21" s="102" t="str">
        <f>IFERROR(VLOOKUP(T21,INWARDDATA!B$4:P931,14,FALSE),"0")</f>
        <v>0</v>
      </c>
      <c r="AA21" s="102" t="str">
        <f>IFERROR(VLOOKUP(T21,INWARDDATA!B$4:P931,15,FALSE),"0")</f>
        <v>0</v>
      </c>
      <c r="AB21" s="133"/>
    </row>
    <row r="22" spans="8:29" ht="15.75" customHeight="1" x14ac:dyDescent="0.35">
      <c r="H22" s="41"/>
      <c r="I22" s="41"/>
      <c r="J22" s="46"/>
      <c r="K22" s="56"/>
      <c r="M22" s="52"/>
      <c r="N22" s="9" t="str">
        <v>AALOK CHODHARY SAYARKHEDI</v>
      </c>
      <c r="O22" s="46"/>
      <c r="P22" s="46"/>
      <c r="Q22" s="46"/>
      <c r="R22" s="46"/>
      <c r="S22" s="102">
        <v>6</v>
      </c>
      <c r="T22" s="102"/>
      <c r="U22" s="102" t="str">
        <f>IFERROR(VLOOKUP(T22,INWARDDATA!$B$4:$P$552,7,FALSE),"0")</f>
        <v>0</v>
      </c>
      <c r="V22" s="102" t="str">
        <f>IFERROR(VLOOKUP(T22,INWARDDATA!B$4:P$927,10,FALSE),"0")</f>
        <v>0</v>
      </c>
      <c r="W22" s="102" t="str">
        <f>IFERROR(VLOOKUP(T22,INWARDDATA!B$4:P$927,11,FALSE),"0")</f>
        <v>0</v>
      </c>
      <c r="X22" s="102" t="str">
        <f>IFERROR(VLOOKUP(T22,INWARDDATA!B$4:P932,12,FALSE),"0")</f>
        <v>0</v>
      </c>
      <c r="Y22" s="102" t="str">
        <f>IFERROR(VLOOKUP(T22,INWARDDATA!B$4:P932,13,FALSE),"0")</f>
        <v>0</v>
      </c>
      <c r="Z22" s="102" t="str">
        <f>IFERROR(VLOOKUP(T22,INWARDDATA!B$4:P932,14,FALSE),"0")</f>
        <v>0</v>
      </c>
      <c r="AA22" s="102" t="str">
        <f>IFERROR(VLOOKUP(T22,INWARDDATA!B$4:P932,15,FALSE),"0")</f>
        <v>0</v>
      </c>
      <c r="AB22" s="133"/>
    </row>
    <row r="23" spans="8:29" ht="15.75" customHeight="1" x14ac:dyDescent="0.35">
      <c r="H23" s="41"/>
      <c r="I23" s="41"/>
      <c r="J23" s="46"/>
      <c r="K23" s="56"/>
      <c r="M23" s="52"/>
      <c r="N23" s="9" t="str">
        <v>ASHISH SARIYA KACHNARIYA</v>
      </c>
      <c r="O23" s="46"/>
      <c r="P23" s="46"/>
      <c r="Q23" s="46"/>
      <c r="R23" s="46"/>
      <c r="S23" s="102">
        <v>7</v>
      </c>
      <c r="T23" s="102"/>
      <c r="U23" s="102" t="str">
        <f>IFERROR(VLOOKUP(T23,INWARDDATA!$B$4:$P$552,7,FALSE),"0")</f>
        <v>0</v>
      </c>
      <c r="V23" s="102" t="str">
        <f>IFERROR(VLOOKUP(T23,INWARDDATA!B$4:P$927,10,FALSE),"0")</f>
        <v>0</v>
      </c>
      <c r="W23" s="102" t="str">
        <f>IFERROR(VLOOKUP(T23,INWARDDATA!B$4:P$927,11,FALSE),"0")</f>
        <v>0</v>
      </c>
      <c r="X23" s="102" t="str">
        <f>IFERROR(VLOOKUP(T23,INWARDDATA!B$4:P933,12,FALSE),"0")</f>
        <v>0</v>
      </c>
      <c r="Y23" s="102" t="str">
        <f>IFERROR(VLOOKUP(T23,INWARDDATA!B$4:P933,13,FALSE),"0")</f>
        <v>0</v>
      </c>
      <c r="Z23" s="102" t="str">
        <f>IFERROR(VLOOKUP(T23,INWARDDATA!B$4:P933,14,FALSE),"0")</f>
        <v>0</v>
      </c>
      <c r="AA23" s="102" t="str">
        <f>IFERROR(VLOOKUP(T23,INWARDDATA!B$4:P933,15,FALSE),"0")</f>
        <v>0</v>
      </c>
      <c r="AB23" s="133"/>
    </row>
    <row r="24" spans="8:29" ht="15.75" customHeight="1" x14ac:dyDescent="0.35">
      <c r="H24" s="41"/>
      <c r="I24" s="41"/>
      <c r="J24" s="46"/>
      <c r="K24" s="56"/>
      <c r="M24" s="52"/>
      <c r="N24" s="9" t="str">
        <v>AWADHESH AANJANA</v>
      </c>
      <c r="O24" s="46"/>
      <c r="P24" s="46"/>
      <c r="Q24" s="46"/>
      <c r="R24" s="46"/>
      <c r="S24" s="102">
        <v>8</v>
      </c>
      <c r="T24" s="102"/>
      <c r="U24" s="102" t="str">
        <f>IFERROR(VLOOKUP(T24,INWARDDATA!$B$4:$P$552,7,FALSE),"0")</f>
        <v>0</v>
      </c>
      <c r="V24" s="102" t="str">
        <f>IFERROR(VLOOKUP(T24,INWARDDATA!B$4:P$927,10,FALSE),"0")</f>
        <v>0</v>
      </c>
      <c r="W24" s="102" t="str">
        <f>IFERROR(VLOOKUP(T24,INWARDDATA!B$4:P$927,11,FALSE),"0")</f>
        <v>0</v>
      </c>
      <c r="X24" s="102" t="str">
        <f>IFERROR(VLOOKUP(T24,INWARDDATA!B$4:P934,12,FALSE),"0")</f>
        <v>0</v>
      </c>
      <c r="Y24" s="102" t="str">
        <f>IFERROR(VLOOKUP(T24,INWARDDATA!B$4:P934,13,FALSE),"0")</f>
        <v>0</v>
      </c>
      <c r="Z24" s="102" t="str">
        <f>IFERROR(VLOOKUP(T24,INWARDDATA!B$4:P934,14,FALSE),"0")</f>
        <v>0</v>
      </c>
      <c r="AA24" s="102" t="str">
        <f>IFERROR(VLOOKUP(T24,INWARDDATA!B$4:P934,15,FALSE),"0")</f>
        <v>0</v>
      </c>
      <c r="AB24" s="133"/>
    </row>
    <row r="25" spans="8:29" ht="15.75" customHeight="1" x14ac:dyDescent="0.35">
      <c r="H25" s="41"/>
      <c r="I25" s="41"/>
      <c r="J25" s="46"/>
      <c r="K25" s="56"/>
      <c r="M25" s="52"/>
      <c r="N25" s="9" t="str">
        <v>BADRILALJI BAGODA</v>
      </c>
      <c r="O25" s="46"/>
      <c r="P25" s="46"/>
      <c r="Q25" s="46"/>
      <c r="R25" s="46"/>
      <c r="S25" s="102">
        <v>9</v>
      </c>
      <c r="T25" s="102"/>
      <c r="U25" s="102" t="str">
        <f>IFERROR(VLOOKUP(T25,INWARDDATA!$B$4:$P$552,7,FALSE),"0")</f>
        <v>0</v>
      </c>
      <c r="V25" s="102" t="str">
        <f>IFERROR(VLOOKUP(T25,INWARDDATA!B$4:P$927,10,FALSE),"0")</f>
        <v>0</v>
      </c>
      <c r="W25" s="102" t="str">
        <f>IFERROR(VLOOKUP(T25,INWARDDATA!B$4:P$927,11,FALSE),"0")</f>
        <v>0</v>
      </c>
      <c r="X25" s="102" t="str">
        <f>IFERROR(VLOOKUP(T25,INWARDDATA!B$4:P935,12,FALSE),"0")</f>
        <v>0</v>
      </c>
      <c r="Y25" s="102" t="str">
        <f>IFERROR(VLOOKUP(T25,INWARDDATA!B$4:P935,13,FALSE),"0")</f>
        <v>0</v>
      </c>
      <c r="Z25" s="102" t="str">
        <f>IFERROR(VLOOKUP(T25,INWARDDATA!B$4:P935,14,FALSE),"0")</f>
        <v>0</v>
      </c>
      <c r="AA25" s="102" t="str">
        <f>IFERROR(VLOOKUP(T25,INWARDDATA!B$4:P935,15,FALSE),"0")</f>
        <v>0</v>
      </c>
      <c r="AB25" s="133"/>
    </row>
    <row r="26" spans="8:29" ht="15.75" customHeight="1" x14ac:dyDescent="0.35">
      <c r="H26" s="41"/>
      <c r="I26" s="41"/>
      <c r="J26" s="46"/>
      <c r="K26" s="56"/>
      <c r="M26" s="52"/>
      <c r="N26" s="9" t="str">
        <v>BHAGIRATH SHARMA AALAMPUR UDANA</v>
      </c>
      <c r="O26" s="46"/>
      <c r="P26" s="46"/>
      <c r="Q26" s="46"/>
      <c r="R26" s="46"/>
      <c r="S26" s="102">
        <v>10</v>
      </c>
      <c r="T26" s="102"/>
      <c r="U26" s="102" t="str">
        <f>IFERROR(VLOOKUP(T26,INWARDDATA!$B$4:$P$552,7,FALSE),"0")</f>
        <v>0</v>
      </c>
      <c r="V26" s="102" t="str">
        <f>IFERROR(VLOOKUP(T26,INWARDDATA!B$4:P$927,10,FALSE),"0")</f>
        <v>0</v>
      </c>
      <c r="W26" s="102" t="str">
        <f>IFERROR(VLOOKUP(T26,INWARDDATA!B$4:P$927,11,FALSE),"0")</f>
        <v>0</v>
      </c>
      <c r="X26" s="102" t="str">
        <f>IFERROR(VLOOKUP(T26,INWARDDATA!B$4:P936,12,FALSE),"0")</f>
        <v>0</v>
      </c>
      <c r="Y26" s="102" t="str">
        <f>IFERROR(VLOOKUP(T26,INWARDDATA!B$4:P936,13,FALSE),"0")</f>
        <v>0</v>
      </c>
      <c r="Z26" s="102" t="str">
        <f>IFERROR(VLOOKUP(T26,INWARDDATA!B$4:P936,14,FALSE),"0")</f>
        <v>0</v>
      </c>
      <c r="AA26" s="102" t="str">
        <f>IFERROR(VLOOKUP(T26,INWARDDATA!B$4:P936,15,FALSE),"0")</f>
        <v>0</v>
      </c>
      <c r="AB26" s="133"/>
    </row>
    <row r="27" spans="8:29" ht="15.75" customHeight="1" x14ac:dyDescent="0.35">
      <c r="H27" s="41"/>
      <c r="I27" s="41"/>
      <c r="J27" s="46"/>
      <c r="K27" s="56"/>
      <c r="M27" s="52"/>
      <c r="N27" s="9" t="str">
        <v>DASHRATH PANDYA DAUKHEDI</v>
      </c>
      <c r="O27" s="46"/>
      <c r="P27" s="46"/>
      <c r="Q27" s="46"/>
      <c r="R27" s="46"/>
      <c r="S27" s="102">
        <v>11</v>
      </c>
      <c r="T27" s="102"/>
      <c r="U27" s="102" t="str">
        <f>IFERROR(VLOOKUP(T27,INWARDDATA!$B$4:$P$552,7,FALSE),"0")</f>
        <v>0</v>
      </c>
      <c r="V27" s="102" t="str">
        <f>IFERROR(VLOOKUP(T27,INWARDDATA!B$4:P$927,10,FALSE),"0")</f>
        <v>0</v>
      </c>
      <c r="W27" s="102" t="str">
        <f>IFERROR(VLOOKUP(T27,INWARDDATA!B$4:P$927,11,FALSE),"0")</f>
        <v>0</v>
      </c>
      <c r="X27" s="102" t="str">
        <f>IFERROR(VLOOKUP(T27,INWARDDATA!B$4:P937,12,FALSE),"0")</f>
        <v>0</v>
      </c>
      <c r="Y27" s="102" t="str">
        <f>IFERROR(VLOOKUP(T27,INWARDDATA!B$4:P937,13,FALSE),"0")</f>
        <v>0</v>
      </c>
      <c r="Z27" s="102" t="str">
        <f>IFERROR(VLOOKUP(T27,INWARDDATA!B$4:P937,14,FALSE),"0")</f>
        <v>0</v>
      </c>
      <c r="AA27" s="102" t="str">
        <f>IFERROR(VLOOKUP(T27,INWARDDATA!B$4:P937,15,FALSE),"0")</f>
        <v>0</v>
      </c>
      <c r="AB27" s="133"/>
    </row>
    <row r="28" spans="8:29" ht="15.75" customHeight="1" x14ac:dyDescent="0.35">
      <c r="H28" s="41"/>
      <c r="I28" s="41"/>
      <c r="J28" s="46"/>
      <c r="K28" s="56"/>
      <c r="M28" s="52"/>
      <c r="N28" s="9" t="str">
        <v>DILIPSINGH GOYALAKHURD</v>
      </c>
      <c r="O28" s="46"/>
      <c r="P28" s="46"/>
      <c r="Q28" s="46"/>
      <c r="R28" s="46"/>
      <c r="S28" s="46"/>
      <c r="T28" s="46"/>
      <c r="U28" s="46"/>
      <c r="V28" s="46"/>
      <c r="W28" s="46"/>
      <c r="X28" s="46"/>
    </row>
    <row r="29" spans="8:29" ht="15.75" customHeight="1" x14ac:dyDescent="0.35">
      <c r="H29" s="41"/>
      <c r="I29" s="41"/>
      <c r="J29" s="46"/>
      <c r="K29" s="56"/>
      <c r="M29" s="52"/>
      <c r="N29" s="9" t="str">
        <v>DINESH PATEL PIPLIYARAGHO</v>
      </c>
      <c r="O29" s="46"/>
      <c r="P29" s="46"/>
      <c r="Q29" s="46"/>
      <c r="R29" s="46"/>
      <c r="S29" s="46"/>
      <c r="T29" s="46"/>
      <c r="U29" s="46"/>
      <c r="V29" s="46"/>
      <c r="W29" s="46"/>
      <c r="X29" s="46"/>
    </row>
    <row r="30" spans="8:29" ht="15.75" customHeight="1" x14ac:dyDescent="0.35">
      <c r="H30" s="41"/>
      <c r="I30" s="41"/>
      <c r="J30" s="46"/>
      <c r="K30" s="56"/>
      <c r="M30" s="52"/>
      <c r="N30" s="9" t="str">
        <v>GOPAL BAGODA</v>
      </c>
      <c r="O30" s="46"/>
      <c r="P30" s="46"/>
      <c r="Q30" s="46"/>
      <c r="R30" s="46"/>
      <c r="S30" s="46"/>
      <c r="T30" s="46"/>
      <c r="U30" s="46"/>
      <c r="V30" s="46"/>
      <c r="W30" s="46"/>
      <c r="X30" s="46"/>
    </row>
    <row r="31" spans="8:29" ht="15.75" customHeight="1" x14ac:dyDescent="0.35">
      <c r="H31" s="41"/>
      <c r="I31" s="41"/>
      <c r="J31" s="46"/>
      <c r="K31" s="56"/>
      <c r="M31" s="52"/>
      <c r="N31" s="9" t="str">
        <v>HAKAMSINGH RALAYTA</v>
      </c>
      <c r="O31" s="46"/>
      <c r="P31" s="46"/>
      <c r="Q31" s="46"/>
      <c r="R31" s="46"/>
      <c r="S31" s="46"/>
      <c r="T31" s="46"/>
      <c r="U31" s="46"/>
      <c r="V31" s="46"/>
      <c r="W31" s="46"/>
      <c r="X31" s="46"/>
    </row>
    <row r="32" spans="8:29" ht="15.75" customHeight="1" x14ac:dyDescent="0.35">
      <c r="H32" s="41"/>
      <c r="I32" s="41"/>
      <c r="J32" s="46"/>
      <c r="K32" s="56"/>
      <c r="M32" s="52"/>
      <c r="N32" s="9" t="str">
        <v>IBRAHIM KHAN SHAJAPUR</v>
      </c>
      <c r="O32" s="46"/>
      <c r="P32" s="46"/>
      <c r="Q32" s="46"/>
      <c r="R32" s="46"/>
      <c r="S32" s="46"/>
      <c r="T32" s="46"/>
      <c r="U32" s="46"/>
      <c r="V32" s="46"/>
      <c r="W32" s="46"/>
      <c r="X32" s="46"/>
    </row>
    <row r="33" spans="8:24" ht="15.75" customHeight="1" x14ac:dyDescent="0.35">
      <c r="H33" s="41"/>
      <c r="I33" s="41"/>
      <c r="J33" s="46"/>
      <c r="K33" s="56"/>
      <c r="M33" s="52"/>
      <c r="N33" s="9" t="str">
        <v>INDARSINGH RAMGARH</v>
      </c>
      <c r="O33" s="46"/>
      <c r="P33" s="46"/>
      <c r="Q33" s="46"/>
      <c r="R33" s="46"/>
      <c r="S33" s="46"/>
      <c r="T33" s="46"/>
      <c r="U33" s="46"/>
      <c r="V33" s="46"/>
      <c r="W33" s="46"/>
      <c r="X33" s="46"/>
    </row>
    <row r="34" spans="8:24" ht="15.75" customHeight="1" x14ac:dyDescent="0.35">
      <c r="H34" s="41"/>
      <c r="I34" s="41"/>
      <c r="J34" s="46"/>
      <c r="K34" s="56"/>
      <c r="M34" s="52"/>
      <c r="N34" s="9" t="str">
        <v>KARANSINGH BAGODA</v>
      </c>
      <c r="O34" s="46"/>
      <c r="P34" s="46"/>
      <c r="Q34" s="46"/>
      <c r="R34" s="46"/>
      <c r="S34" s="46"/>
      <c r="T34" s="46"/>
      <c r="U34" s="46"/>
      <c r="V34" s="46"/>
      <c r="W34" s="46"/>
      <c r="X34" s="46"/>
    </row>
    <row r="35" spans="8:24" ht="15.75" customHeight="1" x14ac:dyDescent="0.35">
      <c r="H35" s="41"/>
      <c r="I35" s="41"/>
      <c r="J35" s="46"/>
      <c r="K35" s="56"/>
      <c r="M35" s="52"/>
      <c r="N35" s="9" t="str">
        <v>LAKHANSINGH MUNDALASULEMAN</v>
      </c>
      <c r="O35" s="46"/>
      <c r="P35" s="46"/>
      <c r="Q35" s="46"/>
      <c r="R35" s="46"/>
      <c r="S35" s="46"/>
      <c r="T35" s="46"/>
      <c r="U35" s="46"/>
      <c r="V35" s="46"/>
      <c r="W35" s="46"/>
      <c r="X35" s="46"/>
    </row>
    <row r="36" spans="8:24" ht="15.75" customHeight="1" x14ac:dyDescent="0.35">
      <c r="H36" s="41"/>
      <c r="I36" s="41"/>
      <c r="J36" s="46"/>
      <c r="K36" s="56"/>
      <c r="M36" s="52"/>
      <c r="N36" s="9" t="str">
        <v>MAHENDRASINGH AMARPURA</v>
      </c>
      <c r="O36" s="46"/>
      <c r="P36" s="46"/>
      <c r="Q36" s="46"/>
      <c r="R36" s="46"/>
      <c r="S36" s="46"/>
      <c r="T36" s="46"/>
      <c r="U36" s="46"/>
      <c r="V36" s="46"/>
      <c r="W36" s="46"/>
      <c r="X36" s="46"/>
    </row>
    <row r="37" spans="8:24" ht="15.75" customHeight="1" x14ac:dyDescent="0.35">
      <c r="H37" s="41"/>
      <c r="I37" s="41"/>
      <c r="J37" s="46" t="s">
        <v>60</v>
      </c>
      <c r="K37" s="56"/>
      <c r="M37" s="52"/>
      <c r="N37" s="9" t="str">
        <v>MEHAMOODBHAI BADODIYAKAZI</v>
      </c>
      <c r="O37" s="46"/>
      <c r="P37" s="46"/>
      <c r="S37" s="46"/>
      <c r="T37" s="46"/>
      <c r="U37" s="46"/>
      <c r="V37" s="46"/>
      <c r="W37" s="46"/>
      <c r="X37" s="46"/>
    </row>
    <row r="38" spans="8:24" ht="15.75" customHeight="1" x14ac:dyDescent="0.35">
      <c r="H38" s="41"/>
      <c r="I38" s="41"/>
      <c r="J38" s="46" t="s">
        <v>60</v>
      </c>
      <c r="K38" s="56"/>
      <c r="M38" s="52"/>
      <c r="N38" s="9" t="str">
        <v>NILESH YADAV BIRGODA</v>
      </c>
    </row>
    <row r="39" spans="8:24" ht="15.75" customHeight="1" x14ac:dyDescent="0.35">
      <c r="K39" s="56"/>
      <c r="M39" s="52"/>
      <c r="N39" s="9" t="str">
        <v>PAWAN JAT MUNDAT</v>
      </c>
    </row>
    <row r="40" spans="8:24" ht="15.75" customHeight="1" x14ac:dyDescent="0.45">
      <c r="H40" s="57"/>
      <c r="I40" s="57"/>
      <c r="M40" s="41" t="s">
        <v>60</v>
      </c>
      <c r="N40" s="9" t="str">
        <v>RAMCHANDRA JITARKHEDI</v>
      </c>
    </row>
    <row r="41" spans="8:24" ht="15.75" customHeight="1" x14ac:dyDescent="0.35">
      <c r="M41" s="41" t="s">
        <v>60</v>
      </c>
      <c r="N41" s="9" t="str">
        <v>RAMLAL JAIN AALAMPUR UDANA</v>
      </c>
    </row>
    <row r="42" spans="8:24" ht="15.75" customHeight="1" x14ac:dyDescent="0.35">
      <c r="M42" s="41"/>
      <c r="N42" s="9" t="str">
        <v>SANDEEP NIMBODA</v>
      </c>
    </row>
    <row r="43" spans="8:24" ht="15.75" customHeight="1" x14ac:dyDescent="0.35">
      <c r="K43" s="58" t="s">
        <v>67</v>
      </c>
      <c r="M43" s="41"/>
      <c r="N43" s="9" t="str">
        <v>SHIVRAM JAT BHESLA</v>
      </c>
    </row>
    <row r="44" spans="8:24" ht="15.75" customHeight="1" x14ac:dyDescent="0.35">
      <c r="M44" s="41"/>
      <c r="N44" s="9" t="str">
        <v>VIKRAM JAT KHANDODA</v>
      </c>
    </row>
    <row r="45" spans="8:24" ht="15.75" customHeight="1" x14ac:dyDescent="0.35">
      <c r="M45" s="41"/>
      <c r="N45" s="9">
        <v>0</v>
      </c>
    </row>
    <row r="46" spans="8:24" ht="15.75" customHeight="1" x14ac:dyDescent="0.35">
      <c r="M46" s="41"/>
      <c r="N46" s="9"/>
    </row>
    <row r="47" spans="8:24" ht="15.75" customHeight="1" x14ac:dyDescent="0.35">
      <c r="M47" s="41"/>
      <c r="N47" s="9"/>
    </row>
    <row r="48" spans="8:24" ht="15.75" customHeight="1" x14ac:dyDescent="0.35">
      <c r="M48" s="41"/>
      <c r="N48" s="9"/>
    </row>
    <row r="49" spans="13:14" ht="15.75" customHeight="1" x14ac:dyDescent="0.35">
      <c r="M49" s="41"/>
      <c r="N49" s="9"/>
    </row>
    <row r="50" spans="13:14" ht="15.75" customHeight="1" x14ac:dyDescent="0.35">
      <c r="M50" s="41"/>
      <c r="N50" s="9"/>
    </row>
    <row r="51" spans="13:14" ht="15.75" customHeight="1" x14ac:dyDescent="0.35">
      <c r="M51" s="41"/>
      <c r="N51" s="9"/>
    </row>
    <row r="52" spans="13:14" ht="15.75" customHeight="1" x14ac:dyDescent="0.35">
      <c r="M52" s="41"/>
      <c r="N52" s="9"/>
    </row>
    <row r="53" spans="13:14" ht="15.75" customHeight="1" x14ac:dyDescent="0.35">
      <c r="M53" s="41"/>
      <c r="N53" s="9"/>
    </row>
    <row r="54" spans="13:14" ht="15.75" customHeight="1" x14ac:dyDescent="0.35">
      <c r="M54" s="41"/>
      <c r="N54" s="9"/>
    </row>
    <row r="55" spans="13:14" ht="15.75" customHeight="1" x14ac:dyDescent="0.35">
      <c r="M55" s="41"/>
      <c r="N55" s="9"/>
    </row>
    <row r="56" spans="13:14" ht="15.75" customHeight="1" x14ac:dyDescent="0.35">
      <c r="M56" s="41"/>
      <c r="N56" s="9"/>
    </row>
    <row r="57" spans="13:14" ht="15.75" customHeight="1" x14ac:dyDescent="0.35">
      <c r="M57" s="41"/>
      <c r="N57" s="9"/>
    </row>
    <row r="58" spans="13:14" ht="15.75" customHeight="1" x14ac:dyDescent="0.35">
      <c r="M58" s="41"/>
      <c r="N58" s="9"/>
    </row>
    <row r="59" spans="13:14" ht="15.75" customHeight="1" x14ac:dyDescent="0.35">
      <c r="M59" s="41"/>
      <c r="N59" s="9"/>
    </row>
    <row r="60" spans="13:14" ht="15.75" customHeight="1" x14ac:dyDescent="0.35">
      <c r="M60" s="41"/>
      <c r="N60" s="9"/>
    </row>
    <row r="61" spans="13:14" ht="15.75" customHeight="1" x14ac:dyDescent="0.35">
      <c r="M61" s="41"/>
      <c r="N61" s="9"/>
    </row>
    <row r="62" spans="13:14" ht="15.75" customHeight="1" x14ac:dyDescent="0.35">
      <c r="M62" s="41"/>
      <c r="N62" s="9"/>
    </row>
    <row r="63" spans="13:14" ht="15.75" customHeight="1" x14ac:dyDescent="0.35">
      <c r="M63" s="41"/>
      <c r="N63" s="9"/>
    </row>
    <row r="64" spans="13:14" ht="15.75" customHeight="1" x14ac:dyDescent="0.35">
      <c r="M64" s="41"/>
      <c r="N64" s="9"/>
    </row>
    <row r="65" spans="13:14" ht="15.75" customHeight="1" x14ac:dyDescent="0.35">
      <c r="M65" s="41"/>
      <c r="N65" s="9"/>
    </row>
    <row r="66" spans="13:14" ht="15.75" customHeight="1" x14ac:dyDescent="0.35">
      <c r="M66" s="41"/>
      <c r="N66" s="9"/>
    </row>
    <row r="67" spans="13:14" ht="15.75" customHeight="1" x14ac:dyDescent="0.35">
      <c r="M67" s="41"/>
      <c r="N67" s="9"/>
    </row>
    <row r="68" spans="13:14" ht="15.75" customHeight="1" x14ac:dyDescent="0.35">
      <c r="M68" s="41"/>
      <c r="N68" s="9"/>
    </row>
    <row r="69" spans="13:14" ht="15.75" customHeight="1" x14ac:dyDescent="0.35">
      <c r="M69" s="41"/>
      <c r="N69" s="9"/>
    </row>
    <row r="70" spans="13:14" ht="15.75" customHeight="1" x14ac:dyDescent="0.35">
      <c r="M70" s="41"/>
      <c r="N70" s="9"/>
    </row>
    <row r="71" spans="13:14" ht="15.75" customHeight="1" x14ac:dyDescent="0.35">
      <c r="M71" s="41"/>
      <c r="N71" s="9"/>
    </row>
    <row r="72" spans="13:14" ht="15.75" customHeight="1" x14ac:dyDescent="0.35">
      <c r="M72" s="41"/>
      <c r="N72" s="9"/>
    </row>
    <row r="73" spans="13:14" ht="15.75" customHeight="1" x14ac:dyDescent="0.35">
      <c r="M73" s="41"/>
      <c r="N73" s="9"/>
    </row>
    <row r="74" spans="13:14" ht="15.75" customHeight="1" x14ac:dyDescent="0.35">
      <c r="M74" s="41"/>
      <c r="N74" s="9"/>
    </row>
    <row r="75" spans="13:14" ht="15.75" customHeight="1" x14ac:dyDescent="0.35">
      <c r="M75" s="41"/>
      <c r="N75" s="9"/>
    </row>
    <row r="76" spans="13:14" ht="15.75" customHeight="1" x14ac:dyDescent="0.35">
      <c r="M76" s="41"/>
      <c r="N76" s="9"/>
    </row>
    <row r="77" spans="13:14" ht="15.75" customHeight="1" x14ac:dyDescent="0.35">
      <c r="M77" s="41"/>
      <c r="N77" s="9"/>
    </row>
    <row r="78" spans="13:14" ht="15.75" customHeight="1" x14ac:dyDescent="0.35">
      <c r="M78" s="41"/>
      <c r="N78" s="9"/>
    </row>
    <row r="79" spans="13:14" ht="15.75" customHeight="1" x14ac:dyDescent="0.35">
      <c r="M79" s="41"/>
      <c r="N79" s="9"/>
    </row>
    <row r="80" spans="13:14" ht="15.75" customHeight="1" x14ac:dyDescent="0.35">
      <c r="M80" s="41"/>
      <c r="N80" s="9"/>
    </row>
    <row r="81" spans="13:14" ht="15.75" customHeight="1" x14ac:dyDescent="0.35">
      <c r="M81" s="41"/>
      <c r="N81" s="9"/>
    </row>
    <row r="82" spans="13:14" ht="15.75" customHeight="1" x14ac:dyDescent="0.35">
      <c r="M82" s="41"/>
      <c r="N82" s="9"/>
    </row>
    <row r="83" spans="13:14" ht="15.75" customHeight="1" x14ac:dyDescent="0.35">
      <c r="M83" s="41"/>
      <c r="N83" s="9"/>
    </row>
    <row r="84" spans="13:14" ht="15.75" customHeight="1" x14ac:dyDescent="0.35">
      <c r="M84" s="41"/>
      <c r="N84" s="9"/>
    </row>
    <row r="85" spans="13:14" ht="15.75" customHeight="1" x14ac:dyDescent="0.35">
      <c r="M85" s="41"/>
      <c r="N85" s="9"/>
    </row>
    <row r="86" spans="13:14" ht="15.75" customHeight="1" x14ac:dyDescent="0.35">
      <c r="M86" s="41"/>
      <c r="N86" s="9"/>
    </row>
    <row r="87" spans="13:14" ht="15.75" customHeight="1" x14ac:dyDescent="0.35">
      <c r="M87" s="41"/>
      <c r="N87" s="9"/>
    </row>
    <row r="88" spans="13:14" ht="15.75" customHeight="1" x14ac:dyDescent="0.35">
      <c r="M88" s="41"/>
      <c r="N88" s="9"/>
    </row>
    <row r="89" spans="13:14" ht="15.75" customHeight="1" x14ac:dyDescent="0.35">
      <c r="M89" s="41"/>
      <c r="N89" s="9"/>
    </row>
    <row r="90" spans="13:14" ht="15.75" customHeight="1" x14ac:dyDescent="0.35">
      <c r="M90" s="41"/>
      <c r="N90" s="9"/>
    </row>
    <row r="91" spans="13:14" ht="15.75" customHeight="1" x14ac:dyDescent="0.35">
      <c r="M91" s="41"/>
      <c r="N91" s="9"/>
    </row>
    <row r="92" spans="13:14" ht="15.75" customHeight="1" x14ac:dyDescent="0.35">
      <c r="M92" s="41"/>
      <c r="N92" s="9"/>
    </row>
    <row r="93" spans="13:14" ht="15.75" customHeight="1" x14ac:dyDescent="0.35">
      <c r="M93" s="41"/>
      <c r="N93" s="9"/>
    </row>
    <row r="94" spans="13:14" ht="15.75" customHeight="1" x14ac:dyDescent="0.35">
      <c r="M94" s="41"/>
      <c r="N94" s="9"/>
    </row>
    <row r="95" spans="13:14" ht="15.75" customHeight="1" x14ac:dyDescent="0.35">
      <c r="M95" s="41"/>
      <c r="N95" s="9"/>
    </row>
    <row r="96" spans="13:14" ht="15.75" customHeight="1" x14ac:dyDescent="0.35">
      <c r="M96" s="41"/>
      <c r="N96" s="9"/>
    </row>
    <row r="97" spans="13:14" ht="15.75" customHeight="1" x14ac:dyDescent="0.35">
      <c r="M97" s="41"/>
      <c r="N97" s="9"/>
    </row>
    <row r="98" spans="13:14" ht="15.75" customHeight="1" x14ac:dyDescent="0.35">
      <c r="M98" s="41"/>
      <c r="N98" s="9"/>
    </row>
    <row r="99" spans="13:14" ht="15.75" customHeight="1" x14ac:dyDescent="0.35">
      <c r="M99" s="41"/>
      <c r="N99" s="9"/>
    </row>
    <row r="100" spans="13:14" ht="15.75" customHeight="1" x14ac:dyDescent="0.35">
      <c r="M100" s="41"/>
      <c r="N100" s="9"/>
    </row>
    <row r="101" spans="13:14" ht="15.75" customHeight="1" x14ac:dyDescent="0.35">
      <c r="M101" s="41"/>
      <c r="N101" s="9"/>
    </row>
    <row r="102" spans="13:14" ht="15.75" customHeight="1" x14ac:dyDescent="0.35">
      <c r="M102" s="41"/>
      <c r="N102" s="9"/>
    </row>
    <row r="103" spans="13:14" ht="15.75" customHeight="1" x14ac:dyDescent="0.35">
      <c r="M103" s="41"/>
      <c r="N103" s="9"/>
    </row>
    <row r="104" spans="13:14" ht="15.75" customHeight="1" x14ac:dyDescent="0.35">
      <c r="M104" s="41"/>
      <c r="N104" s="9"/>
    </row>
    <row r="105" spans="13:14" ht="15.75" customHeight="1" x14ac:dyDescent="0.35">
      <c r="M105" s="41"/>
      <c r="N105" s="9"/>
    </row>
    <row r="106" spans="13:14" ht="15.75" customHeight="1" x14ac:dyDescent="0.35">
      <c r="M106" s="41"/>
      <c r="N106" s="9"/>
    </row>
    <row r="107" spans="13:14" ht="15.75" customHeight="1" x14ac:dyDescent="0.35">
      <c r="M107" s="41"/>
      <c r="N107" s="9"/>
    </row>
    <row r="108" spans="13:14" ht="15.75" customHeight="1" x14ac:dyDescent="0.35">
      <c r="M108" s="41"/>
      <c r="N108" s="9"/>
    </row>
    <row r="109" spans="13:14" ht="15.75" customHeight="1" x14ac:dyDescent="0.35">
      <c r="M109" s="41"/>
      <c r="N109" s="9"/>
    </row>
    <row r="110" spans="13:14" ht="15.75" customHeight="1" x14ac:dyDescent="0.35">
      <c r="M110" s="41"/>
      <c r="N110" s="9"/>
    </row>
    <row r="111" spans="13:14" ht="15.75" customHeight="1" x14ac:dyDescent="0.35">
      <c r="M111" s="41"/>
      <c r="N111" s="9"/>
    </row>
    <row r="112" spans="13:14" ht="15.75" customHeight="1" x14ac:dyDescent="0.35">
      <c r="M112" s="41"/>
      <c r="N112" s="9"/>
    </row>
    <row r="113" spans="13:14" ht="15.75" customHeight="1" x14ac:dyDescent="0.35">
      <c r="M113" s="41"/>
      <c r="N113" s="9"/>
    </row>
    <row r="114" spans="13:14" ht="15.75" customHeight="1" x14ac:dyDescent="0.35">
      <c r="M114" s="41"/>
      <c r="N114" s="9"/>
    </row>
    <row r="115" spans="13:14" ht="15.75" customHeight="1" x14ac:dyDescent="0.35">
      <c r="M115" s="41"/>
      <c r="N115" s="9"/>
    </row>
    <row r="116" spans="13:14" ht="15.75" customHeight="1" x14ac:dyDescent="0.35">
      <c r="M116" s="41"/>
      <c r="N116" s="9"/>
    </row>
    <row r="117" spans="13:14" ht="15.75" customHeight="1" x14ac:dyDescent="0.35">
      <c r="M117" s="41"/>
      <c r="N117" s="9"/>
    </row>
    <row r="118" spans="13:14" ht="15.75" customHeight="1" x14ac:dyDescent="0.35">
      <c r="M118" s="41"/>
      <c r="N118" s="9"/>
    </row>
    <row r="119" spans="13:14" ht="15.75" customHeight="1" x14ac:dyDescent="0.35">
      <c r="M119" s="41"/>
      <c r="N119" s="9"/>
    </row>
    <row r="120" spans="13:14" ht="15.75" customHeight="1" x14ac:dyDescent="0.35">
      <c r="M120" s="41"/>
      <c r="N120" s="9"/>
    </row>
    <row r="121" spans="13:14" ht="15.75" customHeight="1" x14ac:dyDescent="0.35">
      <c r="M121" s="41"/>
      <c r="N121" s="9"/>
    </row>
    <row r="122" spans="13:14" ht="15.75" customHeight="1" x14ac:dyDescent="0.35">
      <c r="M122" s="41"/>
      <c r="N122" s="9"/>
    </row>
    <row r="123" spans="13:14" ht="15.75" customHeight="1" x14ac:dyDescent="0.35">
      <c r="M123" s="41"/>
      <c r="N123" s="9"/>
    </row>
    <row r="124" spans="13:14" ht="15.75" customHeight="1" x14ac:dyDescent="0.35">
      <c r="M124" s="41"/>
      <c r="N124" s="9"/>
    </row>
    <row r="125" spans="13:14" ht="15.75" customHeight="1" x14ac:dyDescent="0.35">
      <c r="M125" s="41"/>
      <c r="N125" s="9"/>
    </row>
    <row r="126" spans="13:14" ht="15.75" customHeight="1" x14ac:dyDescent="0.35">
      <c r="M126" s="41"/>
      <c r="N126" s="9"/>
    </row>
    <row r="127" spans="13:14" ht="15.75" customHeight="1" x14ac:dyDescent="0.35">
      <c r="M127" s="41"/>
      <c r="N127" s="9"/>
    </row>
    <row r="128" spans="13:14" ht="15.75" customHeight="1" x14ac:dyDescent="0.35">
      <c r="M128" s="41"/>
      <c r="N128" s="9"/>
    </row>
    <row r="129" spans="13:14" ht="15.75" customHeight="1" x14ac:dyDescent="0.35">
      <c r="M129" s="41"/>
      <c r="N129" s="9"/>
    </row>
    <row r="130" spans="13:14" ht="15.75" customHeight="1" x14ac:dyDescent="0.35">
      <c r="M130" s="41"/>
      <c r="N130" s="9"/>
    </row>
    <row r="131" spans="13:14" ht="15.75" customHeight="1" x14ac:dyDescent="0.35">
      <c r="M131" s="41"/>
      <c r="N131" s="9"/>
    </row>
    <row r="132" spans="13:14" ht="15.75" customHeight="1" x14ac:dyDescent="0.35">
      <c r="M132" s="41"/>
      <c r="N132" s="9"/>
    </row>
    <row r="133" spans="13:14" ht="15.75" customHeight="1" x14ac:dyDescent="0.35">
      <c r="M133" s="41"/>
      <c r="N133" s="9"/>
    </row>
    <row r="134" spans="13:14" ht="15.75" customHeight="1" x14ac:dyDescent="0.35">
      <c r="M134" s="41"/>
      <c r="N134" s="9"/>
    </row>
    <row r="135" spans="13:14" ht="15.75" customHeight="1" x14ac:dyDescent="0.35">
      <c r="M135" s="41"/>
      <c r="N135" s="9"/>
    </row>
    <row r="136" spans="13:14" ht="15.75" customHeight="1" x14ac:dyDescent="0.35">
      <c r="M136" s="41"/>
      <c r="N136" s="9"/>
    </row>
    <row r="137" spans="13:14" ht="15.75" customHeight="1" x14ac:dyDescent="0.35">
      <c r="M137" s="41"/>
      <c r="N137" s="9"/>
    </row>
    <row r="138" spans="13:14" ht="15.75" customHeight="1" x14ac:dyDescent="0.35">
      <c r="M138" s="41"/>
      <c r="N138" s="9"/>
    </row>
    <row r="139" spans="13:14" ht="15.75" customHeight="1" x14ac:dyDescent="0.35">
      <c r="M139" s="41"/>
      <c r="N139" s="9"/>
    </row>
    <row r="140" spans="13:14" ht="15.75" customHeight="1" x14ac:dyDescent="0.35">
      <c r="M140" s="41"/>
      <c r="N140" s="9"/>
    </row>
    <row r="141" spans="13:14" ht="15.75" customHeight="1" x14ac:dyDescent="0.35">
      <c r="M141" s="41"/>
      <c r="N141" s="9"/>
    </row>
    <row r="142" spans="13:14" ht="15.75" customHeight="1" x14ac:dyDescent="0.35">
      <c r="M142" s="41"/>
      <c r="N142" s="9"/>
    </row>
    <row r="143" spans="13:14" ht="15.75" customHeight="1" x14ac:dyDescent="0.35">
      <c r="M143" s="41"/>
      <c r="N143" s="9"/>
    </row>
    <row r="144" spans="13:14" ht="15.75" customHeight="1" x14ac:dyDescent="0.35">
      <c r="M144" s="41"/>
      <c r="N144" s="9"/>
    </row>
    <row r="145" spans="13:14" ht="15.75" customHeight="1" x14ac:dyDescent="0.35">
      <c r="M145" s="41"/>
      <c r="N145" s="9"/>
    </row>
    <row r="146" spans="13:14" ht="15.75" customHeight="1" x14ac:dyDescent="0.35">
      <c r="M146" s="41"/>
      <c r="N146" s="9"/>
    </row>
    <row r="147" spans="13:14" ht="15.75" customHeight="1" x14ac:dyDescent="0.35">
      <c r="M147" s="41"/>
      <c r="N147" s="9"/>
    </row>
    <row r="148" spans="13:14" ht="15.75" customHeight="1" x14ac:dyDescent="0.35">
      <c r="M148" s="41"/>
      <c r="N148" s="9"/>
    </row>
    <row r="149" spans="13:14" ht="15.75" customHeight="1" x14ac:dyDescent="0.35">
      <c r="M149" s="41"/>
      <c r="N149" s="9"/>
    </row>
    <row r="150" spans="13:14" ht="15.75" customHeight="1" x14ac:dyDescent="0.35">
      <c r="M150" s="41"/>
      <c r="N150" s="9"/>
    </row>
    <row r="151" spans="13:14" ht="15.75" customHeight="1" x14ac:dyDescent="0.35">
      <c r="M151" s="41"/>
      <c r="N151" s="9"/>
    </row>
    <row r="152" spans="13:14" ht="15.75" customHeight="1" x14ac:dyDescent="0.35">
      <c r="M152" s="41"/>
      <c r="N152" s="9"/>
    </row>
    <row r="153" spans="13:14" ht="15.75" customHeight="1" x14ac:dyDescent="0.35">
      <c r="M153" s="41"/>
      <c r="N153" s="9"/>
    </row>
    <row r="154" spans="13:14" ht="15.75" customHeight="1" x14ac:dyDescent="0.35">
      <c r="M154" s="41"/>
      <c r="N154" s="9"/>
    </row>
    <row r="155" spans="13:14" ht="15.75" customHeight="1" x14ac:dyDescent="0.35">
      <c r="M155" s="41"/>
      <c r="N155" s="9"/>
    </row>
    <row r="156" spans="13:14" ht="15.75" customHeight="1" x14ac:dyDescent="0.35">
      <c r="M156" s="41"/>
      <c r="N156" s="9"/>
    </row>
    <row r="157" spans="13:14" ht="15.75" customHeight="1" x14ac:dyDescent="0.35">
      <c r="M157" s="41"/>
      <c r="N157" s="9"/>
    </row>
    <row r="158" spans="13:14" ht="15.75" customHeight="1" x14ac:dyDescent="0.35">
      <c r="M158" s="41"/>
      <c r="N158" s="9"/>
    </row>
    <row r="159" spans="13:14" ht="15.75" customHeight="1" x14ac:dyDescent="0.35">
      <c r="M159" s="41"/>
      <c r="N159" s="9"/>
    </row>
    <row r="160" spans="13:14" ht="15.75" customHeight="1" x14ac:dyDescent="0.35">
      <c r="M160" s="41"/>
      <c r="N160" s="9"/>
    </row>
    <row r="161" spans="13:14" ht="15.75" customHeight="1" x14ac:dyDescent="0.35">
      <c r="M161" s="41"/>
      <c r="N161" s="9"/>
    </row>
    <row r="162" spans="13:14" ht="15.75" customHeight="1" x14ac:dyDescent="0.35">
      <c r="M162" s="41"/>
      <c r="N162" s="9"/>
    </row>
    <row r="163" spans="13:14" ht="15.75" customHeight="1" x14ac:dyDescent="0.35">
      <c r="M163" s="41"/>
      <c r="N163" s="9"/>
    </row>
    <row r="164" spans="13:14" ht="15.75" customHeight="1" x14ac:dyDescent="0.35">
      <c r="M164" s="41"/>
      <c r="N164" s="9"/>
    </row>
    <row r="165" spans="13:14" ht="15.75" customHeight="1" x14ac:dyDescent="0.35">
      <c r="M165" s="41"/>
      <c r="N165" s="9"/>
    </row>
    <row r="166" spans="13:14" ht="15.75" customHeight="1" x14ac:dyDescent="0.35">
      <c r="M166" s="41"/>
      <c r="N166" s="9"/>
    </row>
    <row r="167" spans="13:14" ht="15.75" customHeight="1" x14ac:dyDescent="0.35">
      <c r="M167" s="41"/>
      <c r="N167" s="9"/>
    </row>
    <row r="168" spans="13:14" ht="15.75" customHeight="1" x14ac:dyDescent="0.35">
      <c r="M168" s="41"/>
      <c r="N168" s="9"/>
    </row>
    <row r="169" spans="13:14" ht="15.75" customHeight="1" x14ac:dyDescent="0.35">
      <c r="M169" s="41"/>
      <c r="N169" s="9"/>
    </row>
    <row r="170" spans="13:14" ht="15.75" customHeight="1" x14ac:dyDescent="0.35">
      <c r="M170" s="41"/>
      <c r="N170" s="9"/>
    </row>
    <row r="171" spans="13:14" ht="15.75" customHeight="1" x14ac:dyDescent="0.35">
      <c r="M171" s="41"/>
      <c r="N171" s="9"/>
    </row>
    <row r="172" spans="13:14" ht="15.75" customHeight="1" x14ac:dyDescent="0.35">
      <c r="M172" s="41"/>
      <c r="N172" s="9"/>
    </row>
    <row r="173" spans="13:14" ht="15.75" customHeight="1" x14ac:dyDescent="0.35">
      <c r="M173" s="41"/>
      <c r="N173" s="9"/>
    </row>
    <row r="174" spans="13:14" ht="15.75" customHeight="1" x14ac:dyDescent="0.35">
      <c r="M174" s="41"/>
      <c r="N174" s="9"/>
    </row>
    <row r="175" spans="13:14" ht="15.75" customHeight="1" x14ac:dyDescent="0.35">
      <c r="M175" s="41"/>
      <c r="N175" s="9"/>
    </row>
    <row r="176" spans="13:14" ht="15.75" customHeight="1" x14ac:dyDescent="0.35">
      <c r="M176" s="41"/>
      <c r="N176" s="9"/>
    </row>
    <row r="177" spans="13:14" ht="15.75" customHeight="1" x14ac:dyDescent="0.35">
      <c r="M177" s="41"/>
      <c r="N177" s="9"/>
    </row>
    <row r="178" spans="13:14" ht="15.75" customHeight="1" x14ac:dyDescent="0.35">
      <c r="M178" s="41"/>
      <c r="N178" s="9"/>
    </row>
    <row r="179" spans="13:14" ht="15.75" customHeight="1" x14ac:dyDescent="0.35">
      <c r="M179" s="41"/>
      <c r="N179" s="9"/>
    </row>
    <row r="180" spans="13:14" ht="15.75" customHeight="1" x14ac:dyDescent="0.35">
      <c r="M180" s="41"/>
      <c r="N180" s="9"/>
    </row>
    <row r="181" spans="13:14" ht="15.75" customHeight="1" x14ac:dyDescent="0.35">
      <c r="M181" s="41"/>
      <c r="N181" s="9"/>
    </row>
    <row r="182" spans="13:14" ht="15.75" customHeight="1" x14ac:dyDescent="0.35">
      <c r="M182" s="41"/>
      <c r="N182" s="9"/>
    </row>
    <row r="183" spans="13:14" ht="15.75" customHeight="1" x14ac:dyDescent="0.35">
      <c r="M183" s="41"/>
      <c r="N183" s="9"/>
    </row>
    <row r="184" spans="13:14" ht="15.75" customHeight="1" x14ac:dyDescent="0.35">
      <c r="M184" s="41"/>
      <c r="N184" s="9"/>
    </row>
    <row r="185" spans="13:14" ht="15.75" customHeight="1" x14ac:dyDescent="0.35">
      <c r="M185" s="41"/>
      <c r="N185" s="9"/>
    </row>
    <row r="186" spans="13:14" ht="15.75" customHeight="1" x14ac:dyDescent="0.35">
      <c r="M186" s="41"/>
      <c r="N186" s="9"/>
    </row>
    <row r="187" spans="13:14" ht="15.75" customHeight="1" x14ac:dyDescent="0.35">
      <c r="M187" s="41"/>
      <c r="N187" s="9"/>
    </row>
    <row r="188" spans="13:14" ht="15.75" customHeight="1" x14ac:dyDescent="0.35">
      <c r="M188" s="41"/>
      <c r="N188" s="9"/>
    </row>
    <row r="189" spans="13:14" ht="15.75" customHeight="1" x14ac:dyDescent="0.35">
      <c r="M189" s="41"/>
      <c r="N189" s="9"/>
    </row>
    <row r="190" spans="13:14" ht="15.75" customHeight="1" x14ac:dyDescent="0.35">
      <c r="M190" s="41"/>
      <c r="N190" s="9"/>
    </row>
    <row r="191" spans="13:14" ht="15.75" customHeight="1" x14ac:dyDescent="0.35">
      <c r="M191" s="41"/>
      <c r="N191" s="9"/>
    </row>
    <row r="192" spans="13:14" ht="15.75" customHeight="1" x14ac:dyDescent="0.35">
      <c r="M192" s="41"/>
      <c r="N192" s="9"/>
    </row>
    <row r="193" spans="13:14" ht="15.75" customHeight="1" x14ac:dyDescent="0.35">
      <c r="M193" s="41"/>
      <c r="N193" s="9"/>
    </row>
    <row r="194" spans="13:14" ht="15.75" customHeight="1" x14ac:dyDescent="0.35">
      <c r="M194" s="41"/>
      <c r="N194" s="9"/>
    </row>
    <row r="195" spans="13:14" ht="15.75" customHeight="1" x14ac:dyDescent="0.35">
      <c r="M195" s="41"/>
      <c r="N195" s="9"/>
    </row>
    <row r="196" spans="13:14" ht="15.75" customHeight="1" x14ac:dyDescent="0.35">
      <c r="M196" s="41"/>
      <c r="N196" s="9"/>
    </row>
    <row r="197" spans="13:14" ht="15.75" customHeight="1" x14ac:dyDescent="0.35">
      <c r="M197" s="41"/>
      <c r="N197" s="9"/>
    </row>
    <row r="198" spans="13:14" ht="15.75" customHeight="1" x14ac:dyDescent="0.35">
      <c r="M198" s="41"/>
      <c r="N198" s="9"/>
    </row>
    <row r="199" spans="13:14" ht="15.75" customHeight="1" x14ac:dyDescent="0.35">
      <c r="M199" s="41"/>
      <c r="N199" s="9"/>
    </row>
    <row r="200" spans="13:14" ht="15.75" customHeight="1" x14ac:dyDescent="0.35">
      <c r="M200" s="41"/>
      <c r="N200" s="9"/>
    </row>
    <row r="201" spans="13:14" ht="15.75" customHeight="1" x14ac:dyDescent="0.35">
      <c r="M201" s="41"/>
      <c r="N201" s="9"/>
    </row>
    <row r="202" spans="13:14" ht="15.75" customHeight="1" x14ac:dyDescent="0.35">
      <c r="M202" s="41"/>
      <c r="N202" s="9"/>
    </row>
    <row r="203" spans="13:14" ht="15.75" customHeight="1" x14ac:dyDescent="0.35">
      <c r="M203" s="41"/>
      <c r="N203" s="9"/>
    </row>
    <row r="204" spans="13:14" ht="15.75" customHeight="1" x14ac:dyDescent="0.35">
      <c r="M204" s="41"/>
      <c r="N204" s="9"/>
    </row>
    <row r="205" spans="13:14" ht="15.75" customHeight="1" x14ac:dyDescent="0.35">
      <c r="M205" s="41"/>
      <c r="N205" s="9"/>
    </row>
    <row r="206" spans="13:14" ht="15.75" customHeight="1" x14ac:dyDescent="0.35">
      <c r="M206" s="41"/>
      <c r="N206" s="9"/>
    </row>
    <row r="207" spans="13:14" ht="15.75" customHeight="1" x14ac:dyDescent="0.35">
      <c r="M207" s="41"/>
      <c r="N207" s="9"/>
    </row>
    <row r="208" spans="13:14" ht="15.75" customHeight="1" x14ac:dyDescent="0.35">
      <c r="M208" s="41"/>
      <c r="N208" s="9"/>
    </row>
    <row r="209" spans="13:14" ht="15.75" customHeight="1" x14ac:dyDescent="0.35">
      <c r="M209" s="41"/>
      <c r="N209" s="9"/>
    </row>
    <row r="210" spans="13:14" ht="15.75" customHeight="1" x14ac:dyDescent="0.35">
      <c r="M210" s="41"/>
      <c r="N210" s="9"/>
    </row>
    <row r="211" spans="13:14" ht="15.75" customHeight="1" x14ac:dyDescent="0.35">
      <c r="M211" s="41"/>
      <c r="N211" s="9"/>
    </row>
    <row r="212" spans="13:14" ht="15.75" customHeight="1" x14ac:dyDescent="0.35">
      <c r="M212" s="41"/>
      <c r="N212" s="9"/>
    </row>
    <row r="213" spans="13:14" ht="15.75" customHeight="1" x14ac:dyDescent="0.35">
      <c r="M213" s="41"/>
      <c r="N213" s="9"/>
    </row>
    <row r="214" spans="13:14" ht="15.75" customHeight="1" x14ac:dyDescent="0.35">
      <c r="M214" s="41"/>
      <c r="N214" s="9"/>
    </row>
    <row r="215" spans="13:14" ht="15.75" customHeight="1" x14ac:dyDescent="0.35">
      <c r="M215" s="41"/>
      <c r="N215" s="9"/>
    </row>
    <row r="216" spans="13:14" ht="15.75" customHeight="1" x14ac:dyDescent="0.35">
      <c r="M216" s="41"/>
      <c r="N216" s="9"/>
    </row>
    <row r="217" spans="13:14" ht="15.75" customHeight="1" x14ac:dyDescent="0.35">
      <c r="M217" s="41"/>
      <c r="N217" s="9"/>
    </row>
    <row r="218" spans="13:14" ht="15.75" customHeight="1" x14ac:dyDescent="0.35">
      <c r="M218" s="41"/>
      <c r="N218" s="9"/>
    </row>
    <row r="219" spans="13:14" ht="15.75" customHeight="1" x14ac:dyDescent="0.35">
      <c r="M219" s="41"/>
      <c r="N219" s="9"/>
    </row>
    <row r="220" spans="13:14" ht="15.75" customHeight="1" x14ac:dyDescent="0.35">
      <c r="M220" s="41"/>
      <c r="N220" s="9"/>
    </row>
    <row r="221" spans="13:14" ht="15.75" customHeight="1" x14ac:dyDescent="0.35">
      <c r="M221" s="41"/>
      <c r="N221" s="9" t="str" cm="1">
        <f t="array" ref="N221">_xlfn.UNIQUE(_xlfn.XLOOKUP($N3,INWARDDATA!$J4:$J1142,INWARDDATA!$I4:$I1142,,,1):_xlfn.XLOOKUP($N3,INWARDDATA!$J4:$J1142,INWARDDATA!$I4:$I1142,,,-1))</f>
        <v>HI-8759 PUSA TEJAS</v>
      </c>
    </row>
    <row r="222" spans="13:14" ht="15.75" customHeight="1" x14ac:dyDescent="0.35">
      <c r="M222" s="41"/>
      <c r="N222" s="9"/>
    </row>
    <row r="223" spans="13:14" ht="15.75" customHeight="1" x14ac:dyDescent="0.35">
      <c r="M223" s="41"/>
      <c r="N223" s="9"/>
    </row>
    <row r="224" spans="13:14" ht="15.75" customHeight="1" x14ac:dyDescent="0.35">
      <c r="M224" s="41"/>
      <c r="N224" s="9"/>
    </row>
    <row r="225" spans="13:14" ht="15.75" customHeight="1" x14ac:dyDescent="0.35">
      <c r="M225" s="41"/>
      <c r="N225" s="9"/>
    </row>
    <row r="226" spans="13:14" ht="15.75" customHeight="1" x14ac:dyDescent="0.35">
      <c r="M226" s="41"/>
      <c r="N226" s="9"/>
    </row>
    <row r="227" spans="13:14" ht="15.75" customHeight="1" x14ac:dyDescent="0.35">
      <c r="M227" s="41"/>
      <c r="N227" s="9"/>
    </row>
    <row r="228" spans="13:14" ht="15.75" customHeight="1" x14ac:dyDescent="0.35">
      <c r="M228" s="41"/>
      <c r="N228" s="9"/>
    </row>
    <row r="229" spans="13:14" ht="15.75" customHeight="1" x14ac:dyDescent="0.35">
      <c r="M229" s="41"/>
      <c r="N229" s="9"/>
    </row>
    <row r="230" spans="13:14" ht="15.75" customHeight="1" x14ac:dyDescent="0.35">
      <c r="M230" s="41"/>
      <c r="N230" s="9"/>
    </row>
    <row r="231" spans="13:14" ht="15.75" customHeight="1" x14ac:dyDescent="0.35">
      <c r="M231" s="41"/>
      <c r="N231" s="9"/>
    </row>
    <row r="232" spans="13:14" ht="15.75" customHeight="1" x14ac:dyDescent="0.35">
      <c r="M232" s="41"/>
      <c r="N232" s="9"/>
    </row>
    <row r="233" spans="13:14" ht="15.75" customHeight="1" x14ac:dyDescent="0.35">
      <c r="M233" s="41"/>
      <c r="N233" s="9"/>
    </row>
    <row r="234" spans="13:14" ht="15.75" customHeight="1" x14ac:dyDescent="0.35">
      <c r="M234" s="41"/>
      <c r="N234" s="9"/>
    </row>
    <row r="235" spans="13:14" ht="15.75" customHeight="1" x14ac:dyDescent="0.35">
      <c r="M235" s="41"/>
      <c r="N235" s="9"/>
    </row>
    <row r="236" spans="13:14" ht="15.75" customHeight="1" x14ac:dyDescent="0.35">
      <c r="M236" s="41"/>
      <c r="N236" s="9"/>
    </row>
    <row r="237" spans="13:14" ht="15.75" customHeight="1" x14ac:dyDescent="0.35">
      <c r="M237" s="41"/>
      <c r="N237" s="9"/>
    </row>
    <row r="238" spans="13:14" ht="15.75" customHeight="1" x14ac:dyDescent="0.35">
      <c r="M238" s="41"/>
      <c r="N238" s="9"/>
    </row>
    <row r="239" spans="13:14" ht="15.75" customHeight="1" x14ac:dyDescent="0.35">
      <c r="M239" s="41"/>
      <c r="N239" s="9"/>
    </row>
    <row r="240" spans="13:14" ht="15.75" customHeight="1" x14ac:dyDescent="0.35">
      <c r="M240" s="41"/>
      <c r="N240" s="9"/>
    </row>
    <row r="241" spans="13:14" ht="15.75" customHeight="1" x14ac:dyDescent="0.35">
      <c r="M241" s="41"/>
      <c r="N241" s="9"/>
    </row>
    <row r="242" spans="13:14" ht="15.75" customHeight="1" x14ac:dyDescent="0.35">
      <c r="M242" s="41"/>
      <c r="N242" s="9"/>
    </row>
    <row r="243" spans="13:14" ht="15.75" customHeight="1" x14ac:dyDescent="0.35">
      <c r="M243" s="41"/>
      <c r="N243" s="9"/>
    </row>
    <row r="244" spans="13:14" ht="15.75" customHeight="1" x14ac:dyDescent="0.3">
      <c r="N244" s="9"/>
    </row>
    <row r="245" spans="13:14" ht="15.75" customHeight="1" x14ac:dyDescent="0.3">
      <c r="N245" s="9"/>
    </row>
    <row r="246" spans="13:14" ht="15.75" customHeight="1" x14ac:dyDescent="0.3">
      <c r="N246" s="9"/>
    </row>
    <row r="247" spans="13:14" ht="15.75" customHeight="1" x14ac:dyDescent="0.3">
      <c r="N247" s="9"/>
    </row>
    <row r="248" spans="13:14" ht="15.75" customHeight="1" x14ac:dyDescent="0.3">
      <c r="N248" s="9"/>
    </row>
    <row r="249" spans="13:14" ht="15.75" customHeight="1" x14ac:dyDescent="0.3">
      <c r="N249" s="9"/>
    </row>
    <row r="250" spans="13:14" ht="15.75" customHeight="1" x14ac:dyDescent="0.3">
      <c r="N250" s="9"/>
    </row>
    <row r="251" spans="13:14" ht="15.75" customHeight="1" x14ac:dyDescent="0.3">
      <c r="N251" s="9"/>
    </row>
    <row r="252" spans="13:14" ht="15.75" customHeight="1" x14ac:dyDescent="0.3">
      <c r="N252" s="9"/>
    </row>
    <row r="253" spans="13:14" ht="15.75" customHeight="1" x14ac:dyDescent="0.3">
      <c r="N253" s="9"/>
    </row>
    <row r="254" spans="13:14" ht="15.75" customHeight="1" x14ac:dyDescent="0.3">
      <c r="N254" s="9"/>
    </row>
    <row r="255" spans="13:14" ht="15.75" customHeight="1" x14ac:dyDescent="0.3">
      <c r="N255" s="9"/>
    </row>
    <row r="256" spans="13:14" ht="15.75" customHeight="1" x14ac:dyDescent="0.3">
      <c r="N256" s="9"/>
    </row>
    <row r="257" spans="14:14" ht="15.75" customHeight="1" x14ac:dyDescent="0.3">
      <c r="N257" s="9"/>
    </row>
    <row r="258" spans="14:14" ht="15.75" customHeight="1" x14ac:dyDescent="0.3">
      <c r="N258" s="9"/>
    </row>
    <row r="259" spans="14:14" ht="15.75" customHeight="1" x14ac:dyDescent="0.3">
      <c r="N259" s="9"/>
    </row>
    <row r="260" spans="14:14" ht="15.75" customHeight="1" x14ac:dyDescent="0.3">
      <c r="N260" s="9"/>
    </row>
    <row r="261" spans="14:14" ht="15.75" customHeight="1" x14ac:dyDescent="0.3">
      <c r="N261" s="9"/>
    </row>
    <row r="262" spans="14:14" ht="15.75" customHeight="1" x14ac:dyDescent="0.3">
      <c r="N262" s="9"/>
    </row>
    <row r="263" spans="14:14" ht="15.75" customHeight="1" x14ac:dyDescent="0.3">
      <c r="N263" s="9"/>
    </row>
    <row r="264" spans="14:14" ht="15.75" customHeight="1" x14ac:dyDescent="0.3">
      <c r="N264" s="9"/>
    </row>
    <row r="265" spans="14:14" ht="15.75" customHeight="1" x14ac:dyDescent="0.3">
      <c r="N265" s="9"/>
    </row>
    <row r="266" spans="14:14" ht="15.75" customHeight="1" x14ac:dyDescent="0.3">
      <c r="N266" s="9"/>
    </row>
    <row r="267" spans="14:14" ht="15.75" customHeight="1" x14ac:dyDescent="0.3">
      <c r="N267" s="9"/>
    </row>
    <row r="268" spans="14:14" ht="15.75" customHeight="1" x14ac:dyDescent="0.3">
      <c r="N268" s="9"/>
    </row>
    <row r="269" spans="14:14" ht="15.75" customHeight="1" x14ac:dyDescent="0.3">
      <c r="N269" s="9"/>
    </row>
    <row r="270" spans="14:14" ht="15.75" customHeight="1" x14ac:dyDescent="0.3">
      <c r="N270" s="9"/>
    </row>
    <row r="271" spans="14:14" ht="15.75" customHeight="1" x14ac:dyDescent="0.3">
      <c r="N271" s="9"/>
    </row>
    <row r="272" spans="14:14" ht="15.75" customHeight="1" x14ac:dyDescent="0.3">
      <c r="N272" s="9"/>
    </row>
    <row r="273" spans="14:14" ht="15.75" customHeight="1" x14ac:dyDescent="0.3">
      <c r="N273" s="9"/>
    </row>
    <row r="274" spans="14:14" ht="15.75" customHeight="1" x14ac:dyDescent="0.3">
      <c r="N274" s="9"/>
    </row>
    <row r="275" spans="14:14" ht="15.75" customHeight="1" x14ac:dyDescent="0.3">
      <c r="N275" s="9"/>
    </row>
    <row r="276" spans="14:14" ht="15.75" customHeight="1" x14ac:dyDescent="0.3">
      <c r="N276" s="9"/>
    </row>
    <row r="277" spans="14:14" ht="15.75" customHeight="1" x14ac:dyDescent="0.3">
      <c r="N277" s="9"/>
    </row>
    <row r="278" spans="14:14" ht="15.75" customHeight="1" x14ac:dyDescent="0.3">
      <c r="N278" s="9"/>
    </row>
    <row r="279" spans="14:14" ht="15.75" customHeight="1" x14ac:dyDescent="0.3">
      <c r="N279" s="9"/>
    </row>
    <row r="280" spans="14:14" ht="15.75" customHeight="1" x14ac:dyDescent="0.3">
      <c r="N280" s="9"/>
    </row>
    <row r="281" spans="14:14" ht="15.75" customHeight="1" x14ac:dyDescent="0.3">
      <c r="N281" s="9"/>
    </row>
    <row r="282" spans="14:14" ht="15.75" customHeight="1" x14ac:dyDescent="0.3">
      <c r="N282" s="9"/>
    </row>
    <row r="283" spans="14:14" ht="15.75" customHeight="1" x14ac:dyDescent="0.3">
      <c r="N283" s="9"/>
    </row>
    <row r="284" spans="14:14" ht="15.75" customHeight="1" x14ac:dyDescent="0.3">
      <c r="N284" s="9"/>
    </row>
    <row r="285" spans="14:14" ht="15.75" customHeight="1" x14ac:dyDescent="0.3">
      <c r="N285" s="9"/>
    </row>
    <row r="286" spans="14:14" ht="15.75" customHeight="1" x14ac:dyDescent="0.3">
      <c r="N286" s="9"/>
    </row>
    <row r="287" spans="14:14" ht="15.75" customHeight="1" x14ac:dyDescent="0.3">
      <c r="N287" s="9"/>
    </row>
    <row r="288" spans="14:14" ht="15.75" customHeight="1" x14ac:dyDescent="0.3">
      <c r="N288" s="9"/>
    </row>
    <row r="289" spans="14:14" ht="15.75" customHeight="1" x14ac:dyDescent="0.3">
      <c r="N289" s="9"/>
    </row>
    <row r="290" spans="14:14" ht="15.75" customHeight="1" x14ac:dyDescent="0.3">
      <c r="N290" s="9"/>
    </row>
    <row r="291" spans="14:14" ht="15.75" customHeight="1" x14ac:dyDescent="0.3">
      <c r="N291" s="9"/>
    </row>
    <row r="292" spans="14:14" ht="15.75" customHeight="1" x14ac:dyDescent="0.3">
      <c r="N292" s="9"/>
    </row>
    <row r="293" spans="14:14" ht="15.75" customHeight="1" x14ac:dyDescent="0.3">
      <c r="N293" s="9"/>
    </row>
    <row r="294" spans="14:14" ht="15.75" customHeight="1" x14ac:dyDescent="0.3">
      <c r="N294" s="9"/>
    </row>
    <row r="295" spans="14:14" ht="15.75" customHeight="1" x14ac:dyDescent="0.3">
      <c r="N295" s="9"/>
    </row>
    <row r="296" spans="14:14" ht="15.75" customHeight="1" x14ac:dyDescent="0.3">
      <c r="N296" s="9"/>
    </row>
    <row r="297" spans="14:14" ht="15.75" customHeight="1" x14ac:dyDescent="0.3">
      <c r="N297" s="9"/>
    </row>
    <row r="298" spans="14:14" ht="15.75" customHeight="1" x14ac:dyDescent="0.3">
      <c r="N298" s="9"/>
    </row>
    <row r="299" spans="14:14" ht="15.75" customHeight="1" x14ac:dyDescent="0.3">
      <c r="N299" s="9"/>
    </row>
    <row r="300" spans="14:14" ht="15.75" customHeight="1" x14ac:dyDescent="0.3">
      <c r="N300" s="9"/>
    </row>
    <row r="301" spans="14:14" ht="15.75" customHeight="1" x14ac:dyDescent="0.3">
      <c r="N301" s="9"/>
    </row>
    <row r="302" spans="14:14" ht="15.75" customHeight="1" x14ac:dyDescent="0.3">
      <c r="N302" s="9"/>
    </row>
    <row r="303" spans="14:14" ht="15.75" customHeight="1" x14ac:dyDescent="0.3">
      <c r="N303" s="9"/>
    </row>
    <row r="304" spans="14:14" ht="15.75" customHeight="1" x14ac:dyDescent="0.3">
      <c r="N304" s="9"/>
    </row>
    <row r="305" spans="14:14" ht="15.75" customHeight="1" x14ac:dyDescent="0.3">
      <c r="N305" s="9"/>
    </row>
    <row r="306" spans="14:14" ht="15.75" customHeight="1" x14ac:dyDescent="0.3">
      <c r="N306" s="9"/>
    </row>
    <row r="307" spans="14:14" ht="15.75" customHeight="1" x14ac:dyDescent="0.3">
      <c r="N307" s="9"/>
    </row>
    <row r="308" spans="14:14" ht="15.75" customHeight="1" x14ac:dyDescent="0.3">
      <c r="N308" s="9"/>
    </row>
    <row r="309" spans="14:14" ht="15.75" customHeight="1" x14ac:dyDescent="0.3">
      <c r="N309" s="9"/>
    </row>
    <row r="310" spans="14:14" ht="15.75" customHeight="1" x14ac:dyDescent="0.3">
      <c r="N310" s="9"/>
    </row>
    <row r="311" spans="14:14" ht="15.75" customHeight="1" x14ac:dyDescent="0.3">
      <c r="N311" s="9"/>
    </row>
    <row r="312" spans="14:14" ht="15.75" customHeight="1" x14ac:dyDescent="0.3">
      <c r="N312" s="9"/>
    </row>
    <row r="313" spans="14:14" ht="15.75" customHeight="1" x14ac:dyDescent="0.3">
      <c r="N313" s="9"/>
    </row>
    <row r="314" spans="14:14" ht="15.75" customHeight="1" x14ac:dyDescent="0.3">
      <c r="N314" s="9"/>
    </row>
    <row r="315" spans="14:14" ht="15.75" customHeight="1" x14ac:dyDescent="0.3">
      <c r="N315" s="9"/>
    </row>
    <row r="316" spans="14:14" ht="15.75" customHeight="1" x14ac:dyDescent="0.3">
      <c r="N316" s="9"/>
    </row>
    <row r="317" spans="14:14" ht="15.75" customHeight="1" x14ac:dyDescent="0.3">
      <c r="N317" s="9"/>
    </row>
    <row r="318" spans="14:14" ht="15.75" customHeight="1" x14ac:dyDescent="0.3">
      <c r="N318" s="9"/>
    </row>
    <row r="319" spans="14:14" ht="15.75" customHeight="1" x14ac:dyDescent="0.3">
      <c r="N319" s="9"/>
    </row>
    <row r="320" spans="14:14" ht="15.75" customHeight="1" x14ac:dyDescent="0.3">
      <c r="N320" s="9"/>
    </row>
    <row r="321" spans="14:14" ht="15.75" customHeight="1" x14ac:dyDescent="0.3">
      <c r="N321" s="9"/>
    </row>
    <row r="322" spans="14:14" ht="15.75" customHeight="1" x14ac:dyDescent="0.3">
      <c r="N322" s="9"/>
    </row>
    <row r="323" spans="14:14" ht="15.75" customHeight="1" x14ac:dyDescent="0.3">
      <c r="N323" s="9"/>
    </row>
    <row r="324" spans="14:14" ht="15.75" customHeight="1" x14ac:dyDescent="0.3">
      <c r="N324" s="9"/>
    </row>
    <row r="325" spans="14:14" ht="15.75" customHeight="1" x14ac:dyDescent="0.3">
      <c r="N325" s="9"/>
    </row>
    <row r="326" spans="14:14" ht="15.75" customHeight="1" x14ac:dyDescent="0.3">
      <c r="N326" s="9"/>
    </row>
    <row r="327" spans="14:14" ht="15.75" customHeight="1" x14ac:dyDescent="0.3">
      <c r="N327" s="9"/>
    </row>
    <row r="328" spans="14:14" ht="15.75" customHeight="1" x14ac:dyDescent="0.3">
      <c r="N328" s="9"/>
    </row>
    <row r="329" spans="14:14" ht="15.75" customHeight="1" x14ac:dyDescent="0.3">
      <c r="N329" s="9"/>
    </row>
    <row r="330" spans="14:14" ht="15.75" customHeight="1" x14ac:dyDescent="0.3">
      <c r="N330" s="9"/>
    </row>
    <row r="331" spans="14:14" ht="15.75" customHeight="1" x14ac:dyDescent="0.3">
      <c r="N331" s="9"/>
    </row>
    <row r="332" spans="14:14" ht="15.75" customHeight="1" x14ac:dyDescent="0.3">
      <c r="N332" s="9"/>
    </row>
    <row r="333" spans="14:14" ht="15.75" customHeight="1" x14ac:dyDescent="0.3">
      <c r="N333" s="9"/>
    </row>
    <row r="334" spans="14:14" ht="15.75" customHeight="1" x14ac:dyDescent="0.3">
      <c r="N334" s="9"/>
    </row>
    <row r="335" spans="14:14" ht="15.75" customHeight="1" x14ac:dyDescent="0.3">
      <c r="N335" s="9"/>
    </row>
    <row r="336" spans="14:14" ht="15.75" customHeight="1" x14ac:dyDescent="0.3">
      <c r="N336" s="9"/>
    </row>
    <row r="337" spans="14:14" ht="15.75" customHeight="1" x14ac:dyDescent="0.3">
      <c r="N337" s="9"/>
    </row>
    <row r="338" spans="14:14" ht="15.75" customHeight="1" x14ac:dyDescent="0.3">
      <c r="N338" s="9"/>
    </row>
    <row r="339" spans="14:14" ht="15.75" customHeight="1" x14ac:dyDescent="0.3">
      <c r="N339" s="9"/>
    </row>
    <row r="340" spans="14:14" ht="15.75" customHeight="1" x14ac:dyDescent="0.3">
      <c r="N340" s="9"/>
    </row>
    <row r="341" spans="14:14" ht="15.75" customHeight="1" x14ac:dyDescent="0.3">
      <c r="N341" s="9"/>
    </row>
    <row r="342" spans="14:14" ht="15.75" customHeight="1" x14ac:dyDescent="0.3">
      <c r="N342" s="9"/>
    </row>
    <row r="343" spans="14:14" ht="15.75" customHeight="1" x14ac:dyDescent="0.3">
      <c r="N343" s="9"/>
    </row>
    <row r="344" spans="14:14" ht="15.75" customHeight="1" x14ac:dyDescent="0.3">
      <c r="N344" s="9"/>
    </row>
    <row r="345" spans="14:14" ht="15.75" customHeight="1" x14ac:dyDescent="0.3">
      <c r="N345" s="9"/>
    </row>
    <row r="346" spans="14:14" ht="15.75" customHeight="1" x14ac:dyDescent="0.3">
      <c r="N346" s="9"/>
    </row>
    <row r="347" spans="14:14" ht="15.75" customHeight="1" x14ac:dyDescent="0.3">
      <c r="N347" s="9"/>
    </row>
    <row r="348" spans="14:14" ht="15.75" customHeight="1" x14ac:dyDescent="0.3">
      <c r="N348" s="9"/>
    </row>
    <row r="349" spans="14:14" ht="15.75" customHeight="1" x14ac:dyDescent="0.3">
      <c r="N349" s="9"/>
    </row>
    <row r="350" spans="14:14" ht="15.75" customHeight="1" x14ac:dyDescent="0.3">
      <c r="N350" s="9"/>
    </row>
    <row r="351" spans="14:14" ht="15.75" customHeight="1" x14ac:dyDescent="0.3">
      <c r="N351" s="9"/>
    </row>
    <row r="352" spans="14:14" ht="15.75" customHeight="1" x14ac:dyDescent="0.3">
      <c r="N352" s="9"/>
    </row>
    <row r="353" spans="14:14" ht="15.75" customHeight="1" x14ac:dyDescent="0.3">
      <c r="N353" s="9"/>
    </row>
    <row r="354" spans="14:14" ht="15.75" customHeight="1" x14ac:dyDescent="0.3">
      <c r="N354" s="9"/>
    </row>
    <row r="355" spans="14:14" ht="15.75" customHeight="1" x14ac:dyDescent="0.3">
      <c r="N355" s="9"/>
    </row>
    <row r="356" spans="14:14" ht="15.75" customHeight="1" x14ac:dyDescent="0.3">
      <c r="N356" s="9"/>
    </row>
    <row r="357" spans="14:14" ht="15.75" customHeight="1" x14ac:dyDescent="0.3">
      <c r="N357" s="9"/>
    </row>
    <row r="358" spans="14:14" ht="15.75" customHeight="1" x14ac:dyDescent="0.3">
      <c r="N358" s="9"/>
    </row>
    <row r="359" spans="14:14" ht="15.75" customHeight="1" x14ac:dyDescent="0.3">
      <c r="N359" s="9"/>
    </row>
    <row r="360" spans="14:14" ht="15.75" customHeight="1" x14ac:dyDescent="0.3">
      <c r="N360" s="9"/>
    </row>
    <row r="361" spans="14:14" ht="15.75" customHeight="1" x14ac:dyDescent="0.3">
      <c r="N361" s="9"/>
    </row>
    <row r="362" spans="14:14" ht="15.75" customHeight="1" x14ac:dyDescent="0.3">
      <c r="N362" s="9"/>
    </row>
    <row r="363" spans="14:14" ht="15.75" customHeight="1" x14ac:dyDescent="0.3">
      <c r="N363" s="9"/>
    </row>
    <row r="364" spans="14:14" ht="15.75" customHeight="1" x14ac:dyDescent="0.3">
      <c r="N364" s="9"/>
    </row>
    <row r="365" spans="14:14" ht="15.75" customHeight="1" x14ac:dyDescent="0.3">
      <c r="N365" s="9"/>
    </row>
    <row r="366" spans="14:14" ht="15.75" customHeight="1" x14ac:dyDescent="0.3">
      <c r="N366" s="9"/>
    </row>
    <row r="367" spans="14:14" ht="15.75" customHeight="1" x14ac:dyDescent="0.3">
      <c r="N367" s="9"/>
    </row>
    <row r="368" spans="14:14" ht="15.75" customHeight="1" x14ac:dyDescent="0.3">
      <c r="N368" s="9"/>
    </row>
    <row r="369" spans="14:14" ht="15.75" customHeight="1" x14ac:dyDescent="0.3">
      <c r="N369" s="9"/>
    </row>
    <row r="370" spans="14:14" ht="15.75" customHeight="1" x14ac:dyDescent="0.3">
      <c r="N370" s="9"/>
    </row>
    <row r="371" spans="14:14" ht="15.75" customHeight="1" x14ac:dyDescent="0.3">
      <c r="N371" s="9"/>
    </row>
    <row r="372" spans="14:14" ht="15.75" customHeight="1" x14ac:dyDescent="0.3">
      <c r="N372" s="9"/>
    </row>
    <row r="373" spans="14:14" ht="15.75" customHeight="1" x14ac:dyDescent="0.3">
      <c r="N373" s="9"/>
    </row>
    <row r="374" spans="14:14" ht="15.75" customHeight="1" x14ac:dyDescent="0.3">
      <c r="N374" s="9"/>
    </row>
    <row r="375" spans="14:14" ht="15.75" customHeight="1" x14ac:dyDescent="0.3">
      <c r="N375" s="9"/>
    </row>
    <row r="376" spans="14:14" ht="15.75" customHeight="1" x14ac:dyDescent="0.3">
      <c r="N376" s="9"/>
    </row>
    <row r="377" spans="14:14" ht="15.75" customHeight="1" x14ac:dyDescent="0.3">
      <c r="N377" s="9"/>
    </row>
    <row r="378" spans="14:14" ht="15.75" customHeight="1" x14ac:dyDescent="0.3">
      <c r="N378" s="9"/>
    </row>
    <row r="379" spans="14:14" ht="15.75" customHeight="1" x14ac:dyDescent="0.3">
      <c r="N379" s="9"/>
    </row>
    <row r="380" spans="14:14" ht="15.75" customHeight="1" x14ac:dyDescent="0.3">
      <c r="N380" s="9"/>
    </row>
    <row r="381" spans="14:14" ht="15.75" customHeight="1" x14ac:dyDescent="0.3">
      <c r="N381" s="9"/>
    </row>
    <row r="382" spans="14:14" ht="15.75" customHeight="1" x14ac:dyDescent="0.3">
      <c r="N382" s="9"/>
    </row>
    <row r="383" spans="14:14" ht="15.75" customHeight="1" x14ac:dyDescent="0.3">
      <c r="N383" s="9"/>
    </row>
    <row r="384" spans="14:14" ht="15.75" customHeight="1" x14ac:dyDescent="0.3">
      <c r="N384" s="9"/>
    </row>
    <row r="385" spans="14:14" ht="15.75" customHeight="1" x14ac:dyDescent="0.3">
      <c r="N385" s="9"/>
    </row>
    <row r="386" spans="14:14" ht="15.75" customHeight="1" x14ac:dyDescent="0.3">
      <c r="N386" s="9"/>
    </row>
    <row r="387" spans="14:14" ht="15.75" customHeight="1" x14ac:dyDescent="0.3">
      <c r="N387" s="9"/>
    </row>
    <row r="388" spans="14:14" ht="15.75" customHeight="1" x14ac:dyDescent="0.3">
      <c r="N388" s="9"/>
    </row>
    <row r="389" spans="14:14" ht="15.75" customHeight="1" x14ac:dyDescent="0.3">
      <c r="N389" s="9"/>
    </row>
    <row r="390" spans="14:14" ht="15.75" customHeight="1" x14ac:dyDescent="0.3">
      <c r="N390" s="9"/>
    </row>
    <row r="391" spans="14:14" ht="15.75" customHeight="1" x14ac:dyDescent="0.3">
      <c r="N391" s="9"/>
    </row>
    <row r="392" spans="14:14" ht="15.75" customHeight="1" x14ac:dyDescent="0.3">
      <c r="N392" s="9"/>
    </row>
    <row r="393" spans="14:14" ht="15.75" customHeight="1" x14ac:dyDescent="0.3">
      <c r="N393" s="9"/>
    </row>
    <row r="394" spans="14:14" ht="15.75" customHeight="1" x14ac:dyDescent="0.3">
      <c r="N394" s="9"/>
    </row>
    <row r="395" spans="14:14" ht="15.75" customHeight="1" x14ac:dyDescent="0.3">
      <c r="N395" s="9"/>
    </row>
    <row r="396" spans="14:14" ht="15.75" customHeight="1" x14ac:dyDescent="0.3">
      <c r="N396" s="9"/>
    </row>
    <row r="397" spans="14:14" ht="15.75" customHeight="1" x14ac:dyDescent="0.3">
      <c r="N397" s="9"/>
    </row>
    <row r="398" spans="14:14" ht="15.75" customHeight="1" x14ac:dyDescent="0.3">
      <c r="N398" s="9"/>
    </row>
    <row r="399" spans="14:14" ht="15.75" customHeight="1" x14ac:dyDescent="0.3">
      <c r="N399" s="9"/>
    </row>
    <row r="400" spans="14:14" ht="15.75" customHeight="1" x14ac:dyDescent="0.3">
      <c r="N400" s="9"/>
    </row>
    <row r="401" spans="14:14" ht="15.75" customHeight="1" x14ac:dyDescent="0.3">
      <c r="N401" s="9"/>
    </row>
    <row r="402" spans="14:14" ht="15.75" customHeight="1" x14ac:dyDescent="0.3">
      <c r="N402" s="9"/>
    </row>
    <row r="403" spans="14:14" ht="15.75" customHeight="1" x14ac:dyDescent="0.3">
      <c r="N403" s="9"/>
    </row>
    <row r="404" spans="14:14" ht="15.75" customHeight="1" x14ac:dyDescent="0.3">
      <c r="N404" s="9"/>
    </row>
    <row r="405" spans="14:14" ht="15.75" customHeight="1" x14ac:dyDescent="0.3">
      <c r="N405" s="9"/>
    </row>
    <row r="406" spans="14:14" ht="15.75" customHeight="1" x14ac:dyDescent="0.3">
      <c r="N406" s="9"/>
    </row>
    <row r="407" spans="14:14" ht="15.75" customHeight="1" x14ac:dyDescent="0.3">
      <c r="N407" s="9"/>
    </row>
    <row r="408" spans="14:14" ht="15.75" customHeight="1" x14ac:dyDescent="0.3">
      <c r="N408" s="9"/>
    </row>
    <row r="409" spans="14:14" ht="15.75" customHeight="1" x14ac:dyDescent="0.3">
      <c r="N409" s="9"/>
    </row>
    <row r="410" spans="14:14" ht="15.75" customHeight="1" x14ac:dyDescent="0.3">
      <c r="N410" s="9"/>
    </row>
    <row r="411" spans="14:14" ht="15.75" customHeight="1" x14ac:dyDescent="0.3">
      <c r="N411" s="9"/>
    </row>
    <row r="412" spans="14:14" ht="15.75" customHeight="1" x14ac:dyDescent="0.3">
      <c r="N412" s="9"/>
    </row>
    <row r="413" spans="14:14" ht="15.75" customHeight="1" x14ac:dyDescent="0.3">
      <c r="N413" s="9"/>
    </row>
    <row r="414" spans="14:14" ht="15.75" customHeight="1" x14ac:dyDescent="0.3">
      <c r="N414" s="9"/>
    </row>
    <row r="415" spans="14:14" ht="15.75" customHeight="1" x14ac:dyDescent="0.3">
      <c r="N415" s="9"/>
    </row>
    <row r="416" spans="14:14" ht="15.75" customHeight="1" x14ac:dyDescent="0.3">
      <c r="N416" s="9"/>
    </row>
    <row r="417" spans="14:14" ht="15.75" customHeight="1" x14ac:dyDescent="0.3">
      <c r="N417" s="9"/>
    </row>
    <row r="418" spans="14:14" ht="15.75" customHeight="1" x14ac:dyDescent="0.3">
      <c r="N418" s="9"/>
    </row>
    <row r="419" spans="14:14" ht="15.75" customHeight="1" x14ac:dyDescent="0.3">
      <c r="N419" s="9"/>
    </row>
    <row r="420" spans="14:14" ht="15.75" customHeight="1" x14ac:dyDescent="0.3">
      <c r="N420" s="9"/>
    </row>
    <row r="421" spans="14:14" ht="15.75" customHeight="1" x14ac:dyDescent="0.3">
      <c r="N421" s="9"/>
    </row>
    <row r="422" spans="14:14" ht="15.75" customHeight="1" x14ac:dyDescent="0.3">
      <c r="N422" s="9"/>
    </row>
    <row r="423" spans="14:14" ht="15.75" customHeight="1" x14ac:dyDescent="0.3">
      <c r="N423" s="9"/>
    </row>
    <row r="424" spans="14:14" ht="15.75" customHeight="1" x14ac:dyDescent="0.3">
      <c r="N424" s="9"/>
    </row>
    <row r="425" spans="14:14" ht="15.75" customHeight="1" x14ac:dyDescent="0.3">
      <c r="N425" s="9"/>
    </row>
    <row r="426" spans="14:14" ht="15.75" customHeight="1" x14ac:dyDescent="0.3">
      <c r="N426" s="9"/>
    </row>
    <row r="427" spans="14:14" ht="15.75" customHeight="1" x14ac:dyDescent="0.3">
      <c r="N427" s="9"/>
    </row>
    <row r="428" spans="14:14" ht="15.75" customHeight="1" x14ac:dyDescent="0.3">
      <c r="N428" s="9"/>
    </row>
    <row r="429" spans="14:14" ht="15.75" customHeight="1" x14ac:dyDescent="0.3">
      <c r="N429" s="9"/>
    </row>
    <row r="430" spans="14:14" ht="15.75" customHeight="1" x14ac:dyDescent="0.3">
      <c r="N430" s="9"/>
    </row>
    <row r="431" spans="14:14" ht="15.75" customHeight="1" x14ac:dyDescent="0.3">
      <c r="N431" s="9"/>
    </row>
    <row r="432" spans="14:14" ht="15.75" customHeight="1" x14ac:dyDescent="0.3">
      <c r="N432" s="9"/>
    </row>
    <row r="433" spans="14:14" ht="15.75" customHeight="1" x14ac:dyDescent="0.3">
      <c r="N433" s="9"/>
    </row>
    <row r="434" spans="14:14" ht="15.75" customHeight="1" x14ac:dyDescent="0.3">
      <c r="N434" s="9"/>
    </row>
    <row r="435" spans="14:14" ht="15.75" customHeight="1" x14ac:dyDescent="0.3">
      <c r="N435" s="9"/>
    </row>
    <row r="436" spans="14:14" ht="15.75" customHeight="1" x14ac:dyDescent="0.3">
      <c r="N436" s="9"/>
    </row>
    <row r="437" spans="14:14" ht="15.75" customHeight="1" x14ac:dyDescent="0.3">
      <c r="N437" s="9"/>
    </row>
    <row r="438" spans="14:14" ht="15.75" customHeight="1" x14ac:dyDescent="0.3">
      <c r="N438" s="9"/>
    </row>
    <row r="439" spans="14:14" ht="15.75" customHeight="1" x14ac:dyDescent="0.3">
      <c r="N439" s="9"/>
    </row>
    <row r="440" spans="14:14" ht="15.75" customHeight="1" x14ac:dyDescent="0.3">
      <c r="N440" s="9"/>
    </row>
    <row r="441" spans="14:14" ht="15.75" customHeight="1" x14ac:dyDescent="0.3">
      <c r="N441" s="9"/>
    </row>
    <row r="442" spans="14:14" ht="15.75" customHeight="1" x14ac:dyDescent="0.3">
      <c r="N442" s="9"/>
    </row>
    <row r="443" spans="14:14" ht="15.75" customHeight="1" x14ac:dyDescent="0.3">
      <c r="N443" s="9"/>
    </row>
    <row r="444" spans="14:14" ht="15.75" customHeight="1" x14ac:dyDescent="0.3">
      <c r="N444" s="9"/>
    </row>
    <row r="445" spans="14:14" ht="15.75" customHeight="1" x14ac:dyDescent="0.3">
      <c r="N445" s="9"/>
    </row>
    <row r="446" spans="14:14" ht="15.75" customHeight="1" x14ac:dyDescent="0.3">
      <c r="N446" s="9"/>
    </row>
    <row r="447" spans="14:14" ht="15.75" customHeight="1" x14ac:dyDescent="0.3">
      <c r="N447" s="9"/>
    </row>
    <row r="448" spans="14:14" ht="15.75" customHeight="1" x14ac:dyDescent="0.3">
      <c r="N448" s="9"/>
    </row>
    <row r="449" spans="14:14" ht="15.75" customHeight="1" x14ac:dyDescent="0.3">
      <c r="N449" s="9"/>
    </row>
    <row r="450" spans="14:14" ht="15.75" customHeight="1" x14ac:dyDescent="0.3">
      <c r="N450" s="9"/>
    </row>
    <row r="451" spans="14:14" ht="15.75" customHeight="1" x14ac:dyDescent="0.3">
      <c r="N451" s="9"/>
    </row>
    <row r="452" spans="14:14" ht="15.75" customHeight="1" x14ac:dyDescent="0.3">
      <c r="N452" s="9"/>
    </row>
    <row r="453" spans="14:14" ht="15.75" customHeight="1" x14ac:dyDescent="0.3">
      <c r="N453" s="9"/>
    </row>
    <row r="454" spans="14:14" ht="15.75" customHeight="1" x14ac:dyDescent="0.3">
      <c r="N454" s="9"/>
    </row>
    <row r="455" spans="14:14" ht="15.75" customHeight="1" x14ac:dyDescent="0.3">
      <c r="N455" s="9"/>
    </row>
    <row r="456" spans="14:14" ht="15.75" customHeight="1" x14ac:dyDescent="0.3">
      <c r="N456" s="9"/>
    </row>
    <row r="457" spans="14:14" ht="15.75" customHeight="1" x14ac:dyDescent="0.3">
      <c r="N457" s="9"/>
    </row>
    <row r="458" spans="14:14" ht="15.75" customHeight="1" x14ac:dyDescent="0.3">
      <c r="N458" s="9"/>
    </row>
    <row r="459" spans="14:14" ht="15.75" customHeight="1" x14ac:dyDescent="0.3">
      <c r="N459" s="9"/>
    </row>
    <row r="460" spans="14:14" ht="15.75" customHeight="1" x14ac:dyDescent="0.3">
      <c r="N460" s="9"/>
    </row>
    <row r="461" spans="14:14" ht="15.75" customHeight="1" x14ac:dyDescent="0.3">
      <c r="N461" s="9"/>
    </row>
    <row r="462" spans="14:14" ht="15.75" customHeight="1" x14ac:dyDescent="0.3">
      <c r="N462" s="9"/>
    </row>
    <row r="463" spans="14:14" ht="15.75" customHeight="1" x14ac:dyDescent="0.3">
      <c r="N463" s="9"/>
    </row>
    <row r="464" spans="14:14" ht="15.75" customHeight="1" x14ac:dyDescent="0.3">
      <c r="N464" s="9"/>
    </row>
    <row r="465" spans="14:14" ht="15.75" customHeight="1" x14ac:dyDescent="0.3">
      <c r="N465" s="9"/>
    </row>
    <row r="466" spans="14:14" ht="15.75" customHeight="1" x14ac:dyDescent="0.3">
      <c r="N466" s="9"/>
    </row>
    <row r="467" spans="14:14" ht="15.75" customHeight="1" x14ac:dyDescent="0.3">
      <c r="N467" s="9"/>
    </row>
    <row r="468" spans="14:14" ht="15.75" customHeight="1" x14ac:dyDescent="0.3">
      <c r="N468" s="9"/>
    </row>
    <row r="469" spans="14:14" ht="15.75" customHeight="1" x14ac:dyDescent="0.3">
      <c r="N469" s="9"/>
    </row>
    <row r="470" spans="14:14" ht="15.75" customHeight="1" x14ac:dyDescent="0.3">
      <c r="N470" s="9"/>
    </row>
    <row r="471" spans="14:14" ht="15.75" customHeight="1" x14ac:dyDescent="0.3">
      <c r="N471" s="9"/>
    </row>
    <row r="472" spans="14:14" ht="15.75" customHeight="1" x14ac:dyDescent="0.3">
      <c r="N472" s="9"/>
    </row>
    <row r="473" spans="14:14" ht="15.75" customHeight="1" x14ac:dyDescent="0.3">
      <c r="N473" s="9"/>
    </row>
    <row r="474" spans="14:14" ht="15.75" customHeight="1" x14ac:dyDescent="0.3">
      <c r="N474" s="9"/>
    </row>
    <row r="475" spans="14:14" ht="15.75" customHeight="1" x14ac:dyDescent="0.3">
      <c r="N475" s="9"/>
    </row>
    <row r="476" spans="14:14" ht="15.75" customHeight="1" x14ac:dyDescent="0.3">
      <c r="N476" s="9"/>
    </row>
    <row r="477" spans="14:14" ht="15.75" customHeight="1" x14ac:dyDescent="0.3">
      <c r="N477" s="9"/>
    </row>
    <row r="478" spans="14:14" ht="15.75" customHeight="1" x14ac:dyDescent="0.3">
      <c r="N478" s="9"/>
    </row>
    <row r="479" spans="14:14" ht="15.75" customHeight="1" x14ac:dyDescent="0.3">
      <c r="N479" s="9"/>
    </row>
    <row r="480" spans="14:14" ht="15.75" customHeight="1" x14ac:dyDescent="0.3">
      <c r="N480" s="9"/>
    </row>
    <row r="481" spans="14:14" ht="15.75" customHeight="1" x14ac:dyDescent="0.3">
      <c r="N481" s="9"/>
    </row>
    <row r="482" spans="14:14" ht="15.75" customHeight="1" x14ac:dyDescent="0.3">
      <c r="N482" s="9"/>
    </row>
    <row r="483" spans="14:14" ht="15.75" customHeight="1" x14ac:dyDescent="0.3">
      <c r="N483" s="9"/>
    </row>
    <row r="484" spans="14:14" ht="15.75" customHeight="1" x14ac:dyDescent="0.3">
      <c r="N484" s="9"/>
    </row>
    <row r="485" spans="14:14" ht="15.75" customHeight="1" x14ac:dyDescent="0.3">
      <c r="N485" s="9"/>
    </row>
    <row r="486" spans="14:14" ht="15.75" customHeight="1" x14ac:dyDescent="0.3">
      <c r="N486" s="9"/>
    </row>
    <row r="487" spans="14:14" ht="15.75" customHeight="1" x14ac:dyDescent="0.3">
      <c r="N487" s="9"/>
    </row>
    <row r="488" spans="14:14" ht="15.75" customHeight="1" x14ac:dyDescent="0.3">
      <c r="N488" s="9"/>
    </row>
    <row r="489" spans="14:14" ht="15.75" customHeight="1" x14ac:dyDescent="0.3">
      <c r="N489" s="9"/>
    </row>
    <row r="490" spans="14:14" ht="15.75" customHeight="1" x14ac:dyDescent="0.3">
      <c r="N490" s="9"/>
    </row>
    <row r="491" spans="14:14" ht="15.75" customHeight="1" x14ac:dyDescent="0.3">
      <c r="N491" s="9"/>
    </row>
    <row r="492" spans="14:14" ht="15.75" customHeight="1" x14ac:dyDescent="0.3">
      <c r="N492" s="9"/>
    </row>
    <row r="493" spans="14:14" ht="15.75" customHeight="1" x14ac:dyDescent="0.3">
      <c r="N493" s="9"/>
    </row>
    <row r="494" spans="14:14" ht="15.75" customHeight="1" x14ac:dyDescent="0.3">
      <c r="N494" s="9"/>
    </row>
    <row r="495" spans="14:14" ht="15.75" customHeight="1" x14ac:dyDescent="0.3">
      <c r="N495" s="9"/>
    </row>
    <row r="496" spans="14:14" ht="15.75" customHeight="1" x14ac:dyDescent="0.3">
      <c r="N496" s="9"/>
    </row>
    <row r="497" spans="14:14" ht="15.75" customHeight="1" x14ac:dyDescent="0.3">
      <c r="N497" s="9"/>
    </row>
    <row r="498" spans="14:14" ht="15.75" customHeight="1" x14ac:dyDescent="0.3">
      <c r="N498" s="9"/>
    </row>
    <row r="499" spans="14:14" ht="15.75" customHeight="1" x14ac:dyDescent="0.3">
      <c r="N499" s="9"/>
    </row>
    <row r="500" spans="14:14" ht="15.75" customHeight="1" x14ac:dyDescent="0.3">
      <c r="N500" s="9"/>
    </row>
    <row r="501" spans="14:14" ht="15.75" customHeight="1" x14ac:dyDescent="0.3">
      <c r="N501" s="9"/>
    </row>
    <row r="502" spans="14:14" ht="15.75" customHeight="1" x14ac:dyDescent="0.3">
      <c r="N502" s="9"/>
    </row>
    <row r="503" spans="14:14" ht="15.75" customHeight="1" x14ac:dyDescent="0.3">
      <c r="N503" s="9"/>
    </row>
    <row r="504" spans="14:14" ht="15.75" customHeight="1" x14ac:dyDescent="0.3">
      <c r="N504" s="9"/>
    </row>
    <row r="505" spans="14:14" ht="15.75" customHeight="1" x14ac:dyDescent="0.3">
      <c r="N505" s="9"/>
    </row>
    <row r="506" spans="14:14" ht="15.75" customHeight="1" x14ac:dyDescent="0.3">
      <c r="N506" s="9"/>
    </row>
    <row r="507" spans="14:14" ht="15.75" customHeight="1" x14ac:dyDescent="0.3">
      <c r="N507" s="9"/>
    </row>
    <row r="508" spans="14:14" ht="15.75" customHeight="1" x14ac:dyDescent="0.3">
      <c r="N508" s="9"/>
    </row>
    <row r="509" spans="14:14" ht="15.75" customHeight="1" x14ac:dyDescent="0.3">
      <c r="N509" s="9"/>
    </row>
    <row r="510" spans="14:14" ht="15.75" customHeight="1" x14ac:dyDescent="0.3">
      <c r="N510" s="9"/>
    </row>
    <row r="511" spans="14:14" ht="15.75" customHeight="1" x14ac:dyDescent="0.3">
      <c r="N511" s="9"/>
    </row>
    <row r="512" spans="14:14" ht="15.75" customHeight="1" x14ac:dyDescent="0.3">
      <c r="N512" s="9"/>
    </row>
    <row r="513" spans="14:14" ht="15.75" customHeight="1" x14ac:dyDescent="0.3">
      <c r="N513" s="9"/>
    </row>
    <row r="514" spans="14:14" ht="15.75" customHeight="1" x14ac:dyDescent="0.3">
      <c r="N514" s="9"/>
    </row>
    <row r="515" spans="14:14" ht="15.75" customHeight="1" x14ac:dyDescent="0.3">
      <c r="N515" s="9"/>
    </row>
    <row r="516" spans="14:14" ht="15.75" customHeight="1" x14ac:dyDescent="0.3">
      <c r="N516" s="9"/>
    </row>
    <row r="517" spans="14:14" ht="15.75" customHeight="1" x14ac:dyDescent="0.3">
      <c r="N517" s="9"/>
    </row>
    <row r="518" spans="14:14" ht="15.75" customHeight="1" x14ac:dyDescent="0.3">
      <c r="N518" s="9"/>
    </row>
    <row r="519" spans="14:14" ht="15.75" customHeight="1" x14ac:dyDescent="0.3">
      <c r="N519" s="9"/>
    </row>
    <row r="520" spans="14:14" ht="15.75" customHeight="1" x14ac:dyDescent="0.3">
      <c r="N520" s="9"/>
    </row>
    <row r="521" spans="14:14" ht="15.75" customHeight="1" x14ac:dyDescent="0.3">
      <c r="N521" s="9"/>
    </row>
    <row r="522" spans="14:14" ht="15.75" customHeight="1" x14ac:dyDescent="0.3">
      <c r="N522" s="9"/>
    </row>
    <row r="523" spans="14:14" ht="15.75" customHeight="1" x14ac:dyDescent="0.3">
      <c r="N523" s="9"/>
    </row>
    <row r="524" spans="14:14" ht="15.75" customHeight="1" x14ac:dyDescent="0.3">
      <c r="N524" s="9"/>
    </row>
    <row r="525" spans="14:14" ht="15.75" customHeight="1" x14ac:dyDescent="0.3">
      <c r="N525" s="9"/>
    </row>
    <row r="526" spans="14:14" ht="15.75" customHeight="1" x14ac:dyDescent="0.3">
      <c r="N526" s="9"/>
    </row>
    <row r="527" spans="14:14" ht="15.75" customHeight="1" x14ac:dyDescent="0.3">
      <c r="N527" s="9"/>
    </row>
    <row r="528" spans="14:14" ht="15.75" customHeight="1" x14ac:dyDescent="0.3">
      <c r="N528" s="9"/>
    </row>
    <row r="529" spans="14:14" ht="15.75" customHeight="1" x14ac:dyDescent="0.3">
      <c r="N529" s="9"/>
    </row>
    <row r="530" spans="14:14" ht="15.75" customHeight="1" x14ac:dyDescent="0.3">
      <c r="N530" s="9"/>
    </row>
    <row r="531" spans="14:14" ht="15.75" customHeight="1" x14ac:dyDescent="0.3">
      <c r="N531" s="9"/>
    </row>
    <row r="532" spans="14:14" ht="15.75" customHeight="1" x14ac:dyDescent="0.3">
      <c r="N532" s="9"/>
    </row>
    <row r="533" spans="14:14" ht="15.75" customHeight="1" x14ac:dyDescent="0.3">
      <c r="N533" s="9"/>
    </row>
    <row r="534" spans="14:14" ht="15.75" customHeight="1" x14ac:dyDescent="0.3">
      <c r="N534" s="9"/>
    </row>
    <row r="535" spans="14:14" ht="15.75" customHeight="1" x14ac:dyDescent="0.3">
      <c r="N535" s="9"/>
    </row>
    <row r="536" spans="14:14" ht="15.75" customHeight="1" x14ac:dyDescent="0.3">
      <c r="N536" s="9"/>
    </row>
    <row r="537" spans="14:14" ht="15.75" customHeight="1" x14ac:dyDescent="0.3">
      <c r="N537" s="9"/>
    </row>
    <row r="538" spans="14:14" ht="15.75" customHeight="1" x14ac:dyDescent="0.3">
      <c r="N538" s="9"/>
    </row>
    <row r="539" spans="14:14" ht="15.75" customHeight="1" x14ac:dyDescent="0.3">
      <c r="N539" s="9"/>
    </row>
    <row r="540" spans="14:14" ht="15.75" customHeight="1" x14ac:dyDescent="0.3">
      <c r="N540" s="9"/>
    </row>
    <row r="541" spans="14:14" ht="15.75" customHeight="1" x14ac:dyDescent="0.3">
      <c r="N541" s="9"/>
    </row>
    <row r="542" spans="14:14" ht="15.75" customHeight="1" x14ac:dyDescent="0.3">
      <c r="N542" s="9"/>
    </row>
    <row r="543" spans="14:14" ht="15.75" customHeight="1" x14ac:dyDescent="0.3">
      <c r="N543" s="9"/>
    </row>
    <row r="544" spans="14:14" ht="15.75" customHeight="1" x14ac:dyDescent="0.3">
      <c r="N544" s="9"/>
    </row>
    <row r="545" spans="14:14" ht="15.75" customHeight="1" x14ac:dyDescent="0.3">
      <c r="N545" s="9"/>
    </row>
    <row r="546" spans="14:14" ht="15.75" customHeight="1" x14ac:dyDescent="0.3">
      <c r="N546" s="9"/>
    </row>
    <row r="547" spans="14:14" ht="15.75" customHeight="1" x14ac:dyDescent="0.3">
      <c r="N547" s="9"/>
    </row>
    <row r="548" spans="14:14" ht="15.75" customHeight="1" x14ac:dyDescent="0.3">
      <c r="N548" s="9"/>
    </row>
    <row r="549" spans="14:14" ht="15.75" customHeight="1" x14ac:dyDescent="0.3">
      <c r="N549" s="9"/>
    </row>
    <row r="550" spans="14:14" ht="15.75" customHeight="1" x14ac:dyDescent="0.3">
      <c r="N550" s="9"/>
    </row>
    <row r="551" spans="14:14" ht="15.75" customHeight="1" x14ac:dyDescent="0.3">
      <c r="N551" s="9"/>
    </row>
    <row r="552" spans="14:14" ht="15.75" customHeight="1" x14ac:dyDescent="0.3">
      <c r="N552" s="9"/>
    </row>
    <row r="553" spans="14:14" ht="15.75" customHeight="1" x14ac:dyDescent="0.3">
      <c r="N553" s="9"/>
    </row>
    <row r="554" spans="14:14" ht="15.75" customHeight="1" x14ac:dyDescent="0.3">
      <c r="N554" s="9"/>
    </row>
    <row r="555" spans="14:14" ht="15.75" customHeight="1" x14ac:dyDescent="0.3">
      <c r="N555" s="9"/>
    </row>
    <row r="556" spans="14:14" ht="15.75" customHeight="1" x14ac:dyDescent="0.3">
      <c r="N556" s="9"/>
    </row>
    <row r="557" spans="14:14" ht="15.75" customHeight="1" x14ac:dyDescent="0.3">
      <c r="N557" s="9"/>
    </row>
    <row r="558" spans="14:14" ht="15.75" customHeight="1" x14ac:dyDescent="0.3">
      <c r="N558" s="9"/>
    </row>
    <row r="559" spans="14:14" ht="15.75" customHeight="1" x14ac:dyDescent="0.3">
      <c r="N559" s="9"/>
    </row>
    <row r="560" spans="14:14" ht="15.75" customHeight="1" x14ac:dyDescent="0.3">
      <c r="N560" s="9"/>
    </row>
    <row r="561" spans="14:14" ht="15.75" customHeight="1" x14ac:dyDescent="0.3">
      <c r="N561" s="9"/>
    </row>
    <row r="562" spans="14:14" ht="15.75" customHeight="1" x14ac:dyDescent="0.3">
      <c r="N562" s="9"/>
    </row>
    <row r="563" spans="14:14" ht="15.75" customHeight="1" x14ac:dyDescent="0.3">
      <c r="N563" s="9"/>
    </row>
    <row r="564" spans="14:14" ht="15.75" customHeight="1" x14ac:dyDescent="0.3">
      <c r="N564" s="9"/>
    </row>
    <row r="565" spans="14:14" ht="15.75" customHeight="1" x14ac:dyDescent="0.3">
      <c r="N565" s="9"/>
    </row>
    <row r="566" spans="14:14" ht="15.75" customHeight="1" x14ac:dyDescent="0.3">
      <c r="N566" s="9"/>
    </row>
    <row r="567" spans="14:14" ht="15.75" customHeight="1" x14ac:dyDescent="0.3">
      <c r="N567" s="9"/>
    </row>
    <row r="568" spans="14:14" ht="15.75" customHeight="1" x14ac:dyDescent="0.3">
      <c r="N568" s="9"/>
    </row>
    <row r="569" spans="14:14" ht="15.75" customHeight="1" x14ac:dyDescent="0.3">
      <c r="N569" s="9"/>
    </row>
    <row r="570" spans="14:14" ht="15.75" customHeight="1" x14ac:dyDescent="0.3">
      <c r="N570" s="9"/>
    </row>
    <row r="571" spans="14:14" ht="15.75" customHeight="1" x14ac:dyDescent="0.3">
      <c r="N571" s="9"/>
    </row>
    <row r="572" spans="14:14" ht="15.75" customHeight="1" x14ac:dyDescent="0.3">
      <c r="N572" s="9"/>
    </row>
    <row r="573" spans="14:14" ht="15.75" customHeight="1" x14ac:dyDescent="0.3">
      <c r="N573" s="9"/>
    </row>
    <row r="574" spans="14:14" ht="15.75" customHeight="1" x14ac:dyDescent="0.3">
      <c r="N574" s="9"/>
    </row>
    <row r="575" spans="14:14" ht="15.75" customHeight="1" x14ac:dyDescent="0.3">
      <c r="N575" s="9"/>
    </row>
    <row r="576" spans="14:14" ht="15.75" customHeight="1" x14ac:dyDescent="0.3">
      <c r="N576" s="9"/>
    </row>
    <row r="577" spans="14:14" ht="15.75" customHeight="1" x14ac:dyDescent="0.3">
      <c r="N577" s="9"/>
    </row>
    <row r="578" spans="14:14" ht="15.75" customHeight="1" x14ac:dyDescent="0.3">
      <c r="N578" s="9"/>
    </row>
    <row r="579" spans="14:14" ht="15.75" customHeight="1" x14ac:dyDescent="0.3">
      <c r="N579" s="9"/>
    </row>
    <row r="580" spans="14:14" ht="15.75" customHeight="1" x14ac:dyDescent="0.3">
      <c r="N580" s="9"/>
    </row>
    <row r="581" spans="14:14" ht="15.75" customHeight="1" x14ac:dyDescent="0.3">
      <c r="N581" s="9"/>
    </row>
    <row r="582" spans="14:14" ht="15.75" customHeight="1" x14ac:dyDescent="0.3">
      <c r="N582" s="9"/>
    </row>
    <row r="583" spans="14:14" ht="15.75" customHeight="1" x14ac:dyDescent="0.3">
      <c r="N583" s="9"/>
    </row>
    <row r="584" spans="14:14" ht="15.75" customHeight="1" x14ac:dyDescent="0.3">
      <c r="N584" s="9"/>
    </row>
    <row r="585" spans="14:14" ht="15.75" customHeight="1" x14ac:dyDescent="0.3">
      <c r="N585" s="9"/>
    </row>
    <row r="586" spans="14:14" ht="15.75" customHeight="1" x14ac:dyDescent="0.3">
      <c r="N586" s="9"/>
    </row>
    <row r="587" spans="14:14" ht="15.75" customHeight="1" x14ac:dyDescent="0.3">
      <c r="N587" s="9"/>
    </row>
    <row r="588" spans="14:14" ht="15.75" customHeight="1" x14ac:dyDescent="0.3">
      <c r="N588" s="9"/>
    </row>
    <row r="589" spans="14:14" ht="15.75" customHeight="1" x14ac:dyDescent="0.3">
      <c r="N589" s="9"/>
    </row>
    <row r="590" spans="14:14" ht="15.75" customHeight="1" x14ac:dyDescent="0.3">
      <c r="N590" s="9"/>
    </row>
    <row r="591" spans="14:14" ht="15.75" customHeight="1" x14ac:dyDescent="0.3">
      <c r="N591" s="9"/>
    </row>
    <row r="592" spans="14:14" ht="15.75" customHeight="1" x14ac:dyDescent="0.3">
      <c r="N592" s="9"/>
    </row>
    <row r="593" spans="14:14" ht="15.75" customHeight="1" x14ac:dyDescent="0.3">
      <c r="N593" s="9"/>
    </row>
    <row r="594" spans="14:14" ht="15.75" customHeight="1" x14ac:dyDescent="0.3">
      <c r="N594" s="9"/>
    </row>
    <row r="595" spans="14:14" ht="15.75" customHeight="1" x14ac:dyDescent="0.3">
      <c r="N595" s="9"/>
    </row>
    <row r="596" spans="14:14" ht="15.75" customHeight="1" x14ac:dyDescent="0.3">
      <c r="N596" s="9"/>
    </row>
    <row r="597" spans="14:14" ht="15.75" customHeight="1" x14ac:dyDescent="0.3">
      <c r="N597" s="9"/>
    </row>
    <row r="598" spans="14:14" ht="15.75" customHeight="1" x14ac:dyDescent="0.3">
      <c r="N598" s="9"/>
    </row>
    <row r="599" spans="14:14" ht="15.75" customHeight="1" x14ac:dyDescent="0.3">
      <c r="N599" s="9"/>
    </row>
    <row r="600" spans="14:14" ht="15.75" customHeight="1" x14ac:dyDescent="0.3">
      <c r="N600" s="9"/>
    </row>
    <row r="601" spans="14:14" ht="15.75" customHeight="1" x14ac:dyDescent="0.3">
      <c r="N601" s="9"/>
    </row>
    <row r="602" spans="14:14" ht="15.75" customHeight="1" x14ac:dyDescent="0.3">
      <c r="N602" s="9"/>
    </row>
    <row r="603" spans="14:14" ht="15.75" customHeight="1" x14ac:dyDescent="0.3">
      <c r="N603" s="9"/>
    </row>
    <row r="604" spans="14:14" ht="15.75" customHeight="1" x14ac:dyDescent="0.3">
      <c r="N604" s="9"/>
    </row>
    <row r="605" spans="14:14" ht="15.75" customHeight="1" x14ac:dyDescent="0.3">
      <c r="N605" s="9"/>
    </row>
    <row r="606" spans="14:14" ht="15.75" customHeight="1" x14ac:dyDescent="0.3">
      <c r="N606" s="9"/>
    </row>
    <row r="607" spans="14:14" ht="15.75" customHeight="1" x14ac:dyDescent="0.3">
      <c r="N607" s="9"/>
    </row>
    <row r="608" spans="14:14" ht="15.75" customHeight="1" x14ac:dyDescent="0.3">
      <c r="N608" s="9"/>
    </row>
    <row r="609" spans="14:14" ht="15.75" customHeight="1" x14ac:dyDescent="0.3">
      <c r="N609" s="9"/>
    </row>
    <row r="610" spans="14:14" ht="15.75" customHeight="1" x14ac:dyDescent="0.3">
      <c r="N610" s="9"/>
    </row>
    <row r="611" spans="14:14" ht="15.75" customHeight="1" x14ac:dyDescent="0.3">
      <c r="N611" s="9"/>
    </row>
    <row r="612" spans="14:14" ht="15.75" customHeight="1" x14ac:dyDescent="0.3">
      <c r="N612" s="9"/>
    </row>
    <row r="613" spans="14:14" ht="15.75" customHeight="1" x14ac:dyDescent="0.3">
      <c r="N613" s="9"/>
    </row>
    <row r="614" spans="14:14" ht="15.75" customHeight="1" x14ac:dyDescent="0.3">
      <c r="N614" s="9"/>
    </row>
    <row r="615" spans="14:14" ht="15.75" customHeight="1" x14ac:dyDescent="0.3">
      <c r="N615" s="9"/>
    </row>
    <row r="616" spans="14:14" ht="15.75" customHeight="1" x14ac:dyDescent="0.3">
      <c r="N616" s="9"/>
    </row>
    <row r="617" spans="14:14" ht="15.75" customHeight="1" x14ac:dyDescent="0.3">
      <c r="N617" s="9"/>
    </row>
    <row r="618" spans="14:14" ht="15.75" customHeight="1" x14ac:dyDescent="0.3">
      <c r="N618" s="9"/>
    </row>
    <row r="619" spans="14:14" ht="15.75" customHeight="1" x14ac:dyDescent="0.3">
      <c r="N619" s="9"/>
    </row>
    <row r="620" spans="14:14" ht="15.75" customHeight="1" x14ac:dyDescent="0.3">
      <c r="N620" s="9"/>
    </row>
    <row r="621" spans="14:14" ht="15.75" customHeight="1" x14ac:dyDescent="0.3">
      <c r="N621" s="9"/>
    </row>
    <row r="622" spans="14:14" ht="15.75" customHeight="1" x14ac:dyDescent="0.3">
      <c r="N622" s="9"/>
    </row>
    <row r="623" spans="14:14" ht="15.75" customHeight="1" x14ac:dyDescent="0.3">
      <c r="N623" s="9"/>
    </row>
    <row r="624" spans="14:14" ht="15.75" customHeight="1" x14ac:dyDescent="0.3">
      <c r="N624" s="9"/>
    </row>
    <row r="625" spans="14:14" ht="15.75" customHeight="1" x14ac:dyDescent="0.3">
      <c r="N625" s="9"/>
    </row>
    <row r="626" spans="14:14" ht="15.75" customHeight="1" x14ac:dyDescent="0.3">
      <c r="N626" s="9"/>
    </row>
    <row r="627" spans="14:14" ht="15.75" customHeight="1" x14ac:dyDescent="0.3">
      <c r="N627" s="9"/>
    </row>
    <row r="628" spans="14:14" ht="15.75" customHeight="1" x14ac:dyDescent="0.3">
      <c r="N628" s="9"/>
    </row>
    <row r="629" spans="14:14" ht="15.75" customHeight="1" x14ac:dyDescent="0.3">
      <c r="N629" s="9"/>
    </row>
    <row r="630" spans="14:14" ht="15.75" customHeight="1" x14ac:dyDescent="0.3">
      <c r="N630" s="9"/>
    </row>
    <row r="631" spans="14:14" ht="15.75" customHeight="1" x14ac:dyDescent="0.3">
      <c r="N631" s="9"/>
    </row>
    <row r="632" spans="14:14" ht="15.75" customHeight="1" x14ac:dyDescent="0.3">
      <c r="N632" s="9"/>
    </row>
    <row r="633" spans="14:14" ht="15.75" customHeight="1" x14ac:dyDescent="0.3">
      <c r="N633" s="9"/>
    </row>
    <row r="634" spans="14:14" ht="15.75" customHeight="1" x14ac:dyDescent="0.3">
      <c r="N634" s="9"/>
    </row>
    <row r="635" spans="14:14" ht="15.75" customHeight="1" x14ac:dyDescent="0.3">
      <c r="N635" s="9"/>
    </row>
    <row r="636" spans="14:14" ht="15.75" customHeight="1" x14ac:dyDescent="0.3">
      <c r="N636" s="9"/>
    </row>
    <row r="637" spans="14:14" ht="15.75" customHeight="1" x14ac:dyDescent="0.3">
      <c r="N637" s="9"/>
    </row>
    <row r="638" spans="14:14" ht="15.75" customHeight="1" x14ac:dyDescent="0.3">
      <c r="N638" s="9"/>
    </row>
    <row r="639" spans="14:14" ht="15.75" customHeight="1" x14ac:dyDescent="0.3">
      <c r="N639" s="9"/>
    </row>
    <row r="640" spans="14:14" ht="15.75" customHeight="1" x14ac:dyDescent="0.3">
      <c r="N640" s="9"/>
    </row>
    <row r="641" spans="14:14" ht="15.75" customHeight="1" x14ac:dyDescent="0.3">
      <c r="N641" s="9"/>
    </row>
    <row r="642" spans="14:14" ht="15.75" customHeight="1" x14ac:dyDescent="0.3">
      <c r="N642" s="9"/>
    </row>
    <row r="643" spans="14:14" ht="15.75" customHeight="1" x14ac:dyDescent="0.3">
      <c r="N643" s="9"/>
    </row>
    <row r="644" spans="14:14" ht="15.75" customHeight="1" x14ac:dyDescent="0.3">
      <c r="N644" s="9"/>
    </row>
    <row r="645" spans="14:14" ht="15.75" customHeight="1" x14ac:dyDescent="0.3">
      <c r="N645" s="9"/>
    </row>
    <row r="646" spans="14:14" ht="15.75" customHeight="1" x14ac:dyDescent="0.3">
      <c r="N646" s="9"/>
    </row>
    <row r="647" spans="14:14" ht="15.75" customHeight="1" x14ac:dyDescent="0.3">
      <c r="N647" s="9"/>
    </row>
    <row r="648" spans="14:14" ht="15.75" customHeight="1" x14ac:dyDescent="0.3">
      <c r="N648" s="9"/>
    </row>
    <row r="649" spans="14:14" ht="15.75" customHeight="1" x14ac:dyDescent="0.3">
      <c r="N649" s="9"/>
    </row>
    <row r="650" spans="14:14" ht="15.75" customHeight="1" x14ac:dyDescent="0.3">
      <c r="N650" s="9"/>
    </row>
    <row r="651" spans="14:14" ht="15.75" customHeight="1" x14ac:dyDescent="0.3">
      <c r="N651" s="9"/>
    </row>
    <row r="652" spans="14:14" ht="15.75" customHeight="1" x14ac:dyDescent="0.3">
      <c r="N652" s="9"/>
    </row>
    <row r="653" spans="14:14" ht="15.75" customHeight="1" x14ac:dyDescent="0.3">
      <c r="N653" s="9"/>
    </row>
    <row r="654" spans="14:14" ht="15.75" customHeight="1" x14ac:dyDescent="0.3">
      <c r="N654" s="9"/>
    </row>
    <row r="655" spans="14:14" ht="15.75" customHeight="1" x14ac:dyDescent="0.3">
      <c r="N655" s="9"/>
    </row>
    <row r="656" spans="14:14" ht="15.75" customHeight="1" x14ac:dyDescent="0.3">
      <c r="N656" s="9"/>
    </row>
    <row r="657" spans="14:14" ht="15.75" customHeight="1" x14ac:dyDescent="0.3">
      <c r="N657" s="9"/>
    </row>
    <row r="658" spans="14:14" ht="15.75" customHeight="1" x14ac:dyDescent="0.3">
      <c r="N658" s="9"/>
    </row>
    <row r="659" spans="14:14" ht="15.75" customHeight="1" x14ac:dyDescent="0.3">
      <c r="N659" s="9"/>
    </row>
    <row r="660" spans="14:14" ht="15.75" customHeight="1" x14ac:dyDescent="0.3">
      <c r="N660" s="9"/>
    </row>
    <row r="661" spans="14:14" ht="15.75" customHeight="1" x14ac:dyDescent="0.3">
      <c r="N661" s="9"/>
    </row>
    <row r="662" spans="14:14" ht="15.75" customHeight="1" x14ac:dyDescent="0.3">
      <c r="N662" s="9"/>
    </row>
    <row r="663" spans="14:14" ht="15.75" customHeight="1" x14ac:dyDescent="0.3">
      <c r="N663" s="9"/>
    </row>
    <row r="664" spans="14:14" ht="15.75" customHeight="1" x14ac:dyDescent="0.3">
      <c r="N664" s="9"/>
    </row>
    <row r="665" spans="14:14" ht="15.75" customHeight="1" x14ac:dyDescent="0.3">
      <c r="N665" s="9"/>
    </row>
    <row r="666" spans="14:14" ht="15.75" customHeight="1" x14ac:dyDescent="0.3">
      <c r="N666" s="9"/>
    </row>
    <row r="667" spans="14:14" ht="15.75" customHeight="1" x14ac:dyDescent="0.3">
      <c r="N667" s="9"/>
    </row>
    <row r="668" spans="14:14" ht="15.75" customHeight="1" x14ac:dyDescent="0.3">
      <c r="N668" s="9"/>
    </row>
    <row r="669" spans="14:14" ht="15.75" customHeight="1" x14ac:dyDescent="0.3">
      <c r="N669" s="9"/>
    </row>
    <row r="670" spans="14:14" ht="15.75" customHeight="1" x14ac:dyDescent="0.3">
      <c r="N670" s="9"/>
    </row>
    <row r="671" spans="14:14" ht="15.75" customHeight="1" x14ac:dyDescent="0.3">
      <c r="N671" s="9"/>
    </row>
    <row r="672" spans="14:14" ht="15.75" customHeight="1" x14ac:dyDescent="0.3">
      <c r="N672" s="9"/>
    </row>
    <row r="673" spans="14:14" ht="15.75" customHeight="1" x14ac:dyDescent="0.3">
      <c r="N673" s="9"/>
    </row>
    <row r="674" spans="14:14" ht="15.75" customHeight="1" x14ac:dyDescent="0.3">
      <c r="N674" s="9"/>
    </row>
    <row r="675" spans="14:14" ht="15.75" customHeight="1" x14ac:dyDescent="0.3">
      <c r="N675" s="9"/>
    </row>
    <row r="676" spans="14:14" ht="15.75" customHeight="1" x14ac:dyDescent="0.3">
      <c r="N676" s="9"/>
    </row>
    <row r="677" spans="14:14" ht="15.75" customHeight="1" x14ac:dyDescent="0.3">
      <c r="N677" s="9"/>
    </row>
    <row r="678" spans="14:14" ht="15.75" customHeight="1" x14ac:dyDescent="0.3">
      <c r="N678" s="9"/>
    </row>
    <row r="679" spans="14:14" ht="15.75" customHeight="1" x14ac:dyDescent="0.3">
      <c r="N679" s="9"/>
    </row>
    <row r="680" spans="14:14" ht="15.75" customHeight="1" x14ac:dyDescent="0.3">
      <c r="N680" s="9"/>
    </row>
    <row r="681" spans="14:14" ht="15.75" customHeight="1" x14ac:dyDescent="0.3">
      <c r="N681" s="9"/>
    </row>
    <row r="682" spans="14:14" ht="15.75" customHeight="1" x14ac:dyDescent="0.3">
      <c r="N682" s="9"/>
    </row>
    <row r="683" spans="14:14" ht="15.75" customHeight="1" x14ac:dyDescent="0.3">
      <c r="N683" s="9"/>
    </row>
    <row r="684" spans="14:14" ht="15.75" customHeight="1" x14ac:dyDescent="0.3">
      <c r="N684" s="9"/>
    </row>
    <row r="685" spans="14:14" ht="15.75" customHeight="1" x14ac:dyDescent="0.3">
      <c r="N685" s="9"/>
    </row>
    <row r="686" spans="14:14" ht="15.75" customHeight="1" x14ac:dyDescent="0.3">
      <c r="N686" s="9"/>
    </row>
    <row r="687" spans="14:14" ht="15.75" customHeight="1" x14ac:dyDescent="0.3">
      <c r="N687" s="9"/>
    </row>
    <row r="688" spans="14:14" ht="15.75" customHeight="1" x14ac:dyDescent="0.3">
      <c r="N688" s="9"/>
    </row>
    <row r="689" spans="14:14" ht="15.75" customHeight="1" x14ac:dyDescent="0.3">
      <c r="N689" s="9"/>
    </row>
    <row r="690" spans="14:14" ht="15.75" customHeight="1" x14ac:dyDescent="0.3">
      <c r="N690" s="9"/>
    </row>
    <row r="691" spans="14:14" ht="15.75" customHeight="1" x14ac:dyDescent="0.3">
      <c r="N691" s="9"/>
    </row>
    <row r="692" spans="14:14" ht="15.75" customHeight="1" x14ac:dyDescent="0.3">
      <c r="N692" s="9"/>
    </row>
    <row r="693" spans="14:14" ht="15.75" customHeight="1" x14ac:dyDescent="0.3">
      <c r="N693" s="9"/>
    </row>
    <row r="694" spans="14:14" ht="15.75" customHeight="1" x14ac:dyDescent="0.3">
      <c r="N694" s="9"/>
    </row>
    <row r="695" spans="14:14" ht="15.75" customHeight="1" x14ac:dyDescent="0.3">
      <c r="N695" s="9"/>
    </row>
    <row r="696" spans="14:14" ht="15.75" customHeight="1" x14ac:dyDescent="0.3">
      <c r="N696" s="9"/>
    </row>
    <row r="697" spans="14:14" ht="15.75" customHeight="1" x14ac:dyDescent="0.3">
      <c r="N697" s="9"/>
    </row>
    <row r="698" spans="14:14" ht="15.75" customHeight="1" x14ac:dyDescent="0.3">
      <c r="N698" s="9"/>
    </row>
    <row r="699" spans="14:14" ht="15.75" customHeight="1" x14ac:dyDescent="0.3">
      <c r="N699" s="9"/>
    </row>
    <row r="700" spans="14:14" ht="15.75" customHeight="1" x14ac:dyDescent="0.3">
      <c r="N700" s="9"/>
    </row>
    <row r="701" spans="14:14" ht="15.75" customHeight="1" x14ac:dyDescent="0.3">
      <c r="N701" s="9"/>
    </row>
    <row r="702" spans="14:14" ht="15.75" customHeight="1" x14ac:dyDescent="0.3">
      <c r="N702" s="9"/>
    </row>
    <row r="703" spans="14:14" ht="15.75" customHeight="1" x14ac:dyDescent="0.3">
      <c r="N703" s="9"/>
    </row>
    <row r="704" spans="14:14" ht="15.75" customHeight="1" x14ac:dyDescent="0.3">
      <c r="N704" s="9"/>
    </row>
    <row r="705" spans="14:14" ht="15.75" customHeight="1" x14ac:dyDescent="0.3">
      <c r="N705" s="9"/>
    </row>
    <row r="706" spans="14:14" ht="15.75" customHeight="1" x14ac:dyDescent="0.3">
      <c r="N706" s="9"/>
    </row>
    <row r="707" spans="14:14" ht="15.75" customHeight="1" x14ac:dyDescent="0.3">
      <c r="N707" s="9"/>
    </row>
    <row r="708" spans="14:14" ht="15.75" customHeight="1" x14ac:dyDescent="0.3">
      <c r="N708" s="9"/>
    </row>
    <row r="709" spans="14:14" ht="15.75" customHeight="1" x14ac:dyDescent="0.3">
      <c r="N709" s="9"/>
    </row>
    <row r="710" spans="14:14" ht="15.75" customHeight="1" x14ac:dyDescent="0.3">
      <c r="N710" s="9"/>
    </row>
    <row r="711" spans="14:14" ht="15.75" customHeight="1" x14ac:dyDescent="0.3">
      <c r="N711" s="9"/>
    </row>
    <row r="712" spans="14:14" ht="15.75" customHeight="1" x14ac:dyDescent="0.3">
      <c r="N712" s="9"/>
    </row>
    <row r="713" spans="14:14" ht="15.75" customHeight="1" x14ac:dyDescent="0.3">
      <c r="N713" s="9"/>
    </row>
    <row r="714" spans="14:14" ht="15.75" customHeight="1" x14ac:dyDescent="0.3">
      <c r="N714" s="9"/>
    </row>
    <row r="715" spans="14:14" ht="15.75" customHeight="1" x14ac:dyDescent="0.3">
      <c r="N715" s="9"/>
    </row>
    <row r="716" spans="14:14" ht="15.75" customHeight="1" x14ac:dyDescent="0.3">
      <c r="N716" s="9"/>
    </row>
    <row r="717" spans="14:14" ht="15.75" customHeight="1" x14ac:dyDescent="0.3">
      <c r="N717" s="9"/>
    </row>
    <row r="718" spans="14:14" ht="15.75" customHeight="1" x14ac:dyDescent="0.3">
      <c r="N718" s="9"/>
    </row>
    <row r="719" spans="14:14" ht="15.75" customHeight="1" x14ac:dyDescent="0.3">
      <c r="N719" s="9"/>
    </row>
    <row r="720" spans="14:14" ht="15.75" customHeight="1" x14ac:dyDescent="0.3">
      <c r="N720" s="9"/>
    </row>
    <row r="721" spans="14:14" ht="15.75" customHeight="1" x14ac:dyDescent="0.3">
      <c r="N721" s="9"/>
    </row>
    <row r="722" spans="14:14" ht="15.75" customHeight="1" x14ac:dyDescent="0.3">
      <c r="N722" s="9"/>
    </row>
    <row r="723" spans="14:14" ht="15.75" customHeight="1" x14ac:dyDescent="0.3">
      <c r="N723" s="9"/>
    </row>
    <row r="724" spans="14:14" ht="15.75" customHeight="1" x14ac:dyDescent="0.3">
      <c r="N724" s="9"/>
    </row>
    <row r="725" spans="14:14" ht="15.75" customHeight="1" x14ac:dyDescent="0.3">
      <c r="N725" s="9"/>
    </row>
    <row r="726" spans="14:14" ht="15.75" customHeight="1" x14ac:dyDescent="0.3">
      <c r="N726" s="9"/>
    </row>
    <row r="727" spans="14:14" ht="15.75" customHeight="1" x14ac:dyDescent="0.3">
      <c r="N727" s="9"/>
    </row>
    <row r="728" spans="14:14" ht="15.75" customHeight="1" x14ac:dyDescent="0.3">
      <c r="N728" s="9"/>
    </row>
    <row r="729" spans="14:14" ht="15.75" customHeight="1" x14ac:dyDescent="0.3">
      <c r="N729" s="9"/>
    </row>
    <row r="730" spans="14:14" ht="15.75" customHeight="1" x14ac:dyDescent="0.3">
      <c r="N730" s="9"/>
    </row>
    <row r="731" spans="14:14" ht="15.75" customHeight="1" x14ac:dyDescent="0.3">
      <c r="N731" s="9"/>
    </row>
    <row r="732" spans="14:14" ht="15.75" customHeight="1" x14ac:dyDescent="0.3">
      <c r="N732" s="9"/>
    </row>
    <row r="733" spans="14:14" ht="15.75" customHeight="1" x14ac:dyDescent="0.3">
      <c r="N733" s="9"/>
    </row>
    <row r="734" spans="14:14" ht="15.75" customHeight="1" x14ac:dyDescent="0.3">
      <c r="N734" s="9"/>
    </row>
    <row r="735" spans="14:14" ht="15.75" customHeight="1" x14ac:dyDescent="0.3">
      <c r="N735" s="9"/>
    </row>
    <row r="736" spans="14:14" ht="15.75" customHeight="1" x14ac:dyDescent="0.3">
      <c r="N736" s="9"/>
    </row>
    <row r="737" spans="14:14" ht="15.75" customHeight="1" x14ac:dyDescent="0.3">
      <c r="N737" s="9"/>
    </row>
    <row r="738" spans="14:14" ht="15.75" customHeight="1" x14ac:dyDescent="0.3">
      <c r="N738" s="9"/>
    </row>
    <row r="739" spans="14:14" ht="15.75" customHeight="1" x14ac:dyDescent="0.3">
      <c r="N739" s="9"/>
    </row>
    <row r="740" spans="14:14" ht="15.75" customHeight="1" x14ac:dyDescent="0.3">
      <c r="N740" s="9"/>
    </row>
    <row r="741" spans="14:14" ht="15.75" customHeight="1" x14ac:dyDescent="0.3">
      <c r="N741" s="9"/>
    </row>
    <row r="742" spans="14:14" ht="15.75" customHeight="1" x14ac:dyDescent="0.3">
      <c r="N742" s="9"/>
    </row>
    <row r="743" spans="14:14" ht="15.75" customHeight="1" x14ac:dyDescent="0.3">
      <c r="N743" s="9"/>
    </row>
    <row r="744" spans="14:14" ht="15.75" customHeight="1" x14ac:dyDescent="0.3">
      <c r="N744" s="9"/>
    </row>
    <row r="745" spans="14:14" ht="15.75" customHeight="1" x14ac:dyDescent="0.3">
      <c r="N745" s="9"/>
    </row>
    <row r="746" spans="14:14" ht="15.75" customHeight="1" x14ac:dyDescent="0.3">
      <c r="N746" s="9"/>
    </row>
    <row r="747" spans="14:14" ht="15.75" customHeight="1" x14ac:dyDescent="0.3">
      <c r="N747" s="9"/>
    </row>
    <row r="748" spans="14:14" ht="15.75" customHeight="1" x14ac:dyDescent="0.3">
      <c r="N748" s="9"/>
    </row>
    <row r="749" spans="14:14" ht="15.75" customHeight="1" x14ac:dyDescent="0.3">
      <c r="N749" s="9"/>
    </row>
    <row r="750" spans="14:14" ht="15.75" customHeight="1" x14ac:dyDescent="0.3">
      <c r="N750" s="9"/>
    </row>
    <row r="751" spans="14:14" ht="15.75" customHeight="1" x14ac:dyDescent="0.3">
      <c r="N751" s="9"/>
    </row>
    <row r="752" spans="14:14" ht="15.75" customHeight="1" x14ac:dyDescent="0.3">
      <c r="N752" s="9"/>
    </row>
    <row r="753" spans="14:14" ht="15.75" customHeight="1" x14ac:dyDescent="0.3">
      <c r="N753" s="9"/>
    </row>
    <row r="754" spans="14:14" ht="15.75" customHeight="1" x14ac:dyDescent="0.3">
      <c r="N754" s="9"/>
    </row>
    <row r="755" spans="14:14" ht="15.75" customHeight="1" x14ac:dyDescent="0.3">
      <c r="N755" s="9"/>
    </row>
    <row r="756" spans="14:14" ht="15.75" customHeight="1" x14ac:dyDescent="0.3">
      <c r="N756" s="9"/>
    </row>
    <row r="757" spans="14:14" ht="15.75" customHeight="1" x14ac:dyDescent="0.3">
      <c r="N757" s="9"/>
    </row>
    <row r="758" spans="14:14" ht="15.75" customHeight="1" x14ac:dyDescent="0.3">
      <c r="N758" s="9"/>
    </row>
    <row r="759" spans="14:14" ht="15.75" customHeight="1" x14ac:dyDescent="0.3">
      <c r="N759" s="9"/>
    </row>
    <row r="760" spans="14:14" ht="15.75" customHeight="1" x14ac:dyDescent="0.3">
      <c r="N760" s="9"/>
    </row>
    <row r="761" spans="14:14" ht="15.75" customHeight="1" x14ac:dyDescent="0.3">
      <c r="N761" s="9"/>
    </row>
    <row r="762" spans="14:14" ht="15.75" customHeight="1" x14ac:dyDescent="0.3">
      <c r="N762" s="9"/>
    </row>
    <row r="763" spans="14:14" ht="15.75" customHeight="1" x14ac:dyDescent="0.3">
      <c r="N763" s="9"/>
    </row>
    <row r="764" spans="14:14" ht="15.75" customHeight="1" x14ac:dyDescent="0.3">
      <c r="N764" s="9"/>
    </row>
    <row r="765" spans="14:14" ht="15.75" customHeight="1" x14ac:dyDescent="0.3">
      <c r="N765" s="9"/>
    </row>
    <row r="766" spans="14:14" ht="15.75" customHeight="1" x14ac:dyDescent="0.3">
      <c r="N766" s="9"/>
    </row>
    <row r="767" spans="14:14" ht="15.75" customHeight="1" x14ac:dyDescent="0.3">
      <c r="N767" s="9"/>
    </row>
    <row r="768" spans="14:14" ht="15.75" customHeight="1" x14ac:dyDescent="0.3">
      <c r="N768" s="9"/>
    </row>
    <row r="769" spans="14:14" ht="15.75" customHeight="1" x14ac:dyDescent="0.3">
      <c r="N769" s="9"/>
    </row>
    <row r="770" spans="14:14" ht="15.75" customHeight="1" x14ac:dyDescent="0.3">
      <c r="N770" s="9"/>
    </row>
    <row r="771" spans="14:14" ht="15.75" customHeight="1" x14ac:dyDescent="0.3">
      <c r="N771" s="9"/>
    </row>
    <row r="772" spans="14:14" ht="15.75" customHeight="1" x14ac:dyDescent="0.3">
      <c r="N772" s="9"/>
    </row>
    <row r="773" spans="14:14" ht="15.75" customHeight="1" x14ac:dyDescent="0.3">
      <c r="N773" s="9"/>
    </row>
    <row r="774" spans="14:14" ht="15.75" customHeight="1" x14ac:dyDescent="0.3">
      <c r="N774" s="9"/>
    </row>
    <row r="775" spans="14:14" ht="15.75" customHeight="1" x14ac:dyDescent="0.3">
      <c r="N775" s="9"/>
    </row>
    <row r="776" spans="14:14" ht="15.75" customHeight="1" x14ac:dyDescent="0.3">
      <c r="N776" s="9"/>
    </row>
    <row r="777" spans="14:14" ht="15.75" customHeight="1" x14ac:dyDescent="0.3">
      <c r="N777" s="9"/>
    </row>
    <row r="778" spans="14:14" ht="15.75" customHeight="1" x14ac:dyDescent="0.3">
      <c r="N778" s="9"/>
    </row>
    <row r="779" spans="14:14" ht="15.75" customHeight="1" x14ac:dyDescent="0.3">
      <c r="N779" s="9"/>
    </row>
    <row r="780" spans="14:14" ht="15.75" customHeight="1" x14ac:dyDescent="0.3">
      <c r="N780" s="9"/>
    </row>
    <row r="781" spans="14:14" ht="15.75" customHeight="1" x14ac:dyDescent="0.3">
      <c r="N781" s="9"/>
    </row>
    <row r="782" spans="14:14" ht="15.75" customHeight="1" x14ac:dyDescent="0.3">
      <c r="N782" s="9"/>
    </row>
    <row r="783" spans="14:14" ht="15.75" customHeight="1" x14ac:dyDescent="0.3">
      <c r="N783" s="9"/>
    </row>
    <row r="784" spans="14:14" ht="15.75" customHeight="1" x14ac:dyDescent="0.3">
      <c r="N784" s="9"/>
    </row>
    <row r="785" spans="14:14" ht="15.75" customHeight="1" x14ac:dyDescent="0.3">
      <c r="N785" s="9"/>
    </row>
    <row r="786" spans="14:14" ht="15.75" customHeight="1" x14ac:dyDescent="0.3">
      <c r="N786" s="9"/>
    </row>
    <row r="787" spans="14:14" ht="15.75" customHeight="1" x14ac:dyDescent="0.3">
      <c r="N787" s="9"/>
    </row>
    <row r="788" spans="14:14" ht="15.75" customHeight="1" x14ac:dyDescent="0.3">
      <c r="N788" s="9"/>
    </row>
    <row r="789" spans="14:14" ht="15.75" customHeight="1" x14ac:dyDescent="0.3">
      <c r="N789" s="9"/>
    </row>
    <row r="790" spans="14:14" ht="15.75" customHeight="1" x14ac:dyDescent="0.3">
      <c r="N790" s="9"/>
    </row>
    <row r="791" spans="14:14" ht="15.75" customHeight="1" x14ac:dyDescent="0.3">
      <c r="N791" s="9"/>
    </row>
    <row r="792" spans="14:14" ht="15.75" customHeight="1" x14ac:dyDescent="0.3">
      <c r="N792" s="9"/>
    </row>
    <row r="793" spans="14:14" ht="15.75" customHeight="1" x14ac:dyDescent="0.3">
      <c r="N793" s="9"/>
    </row>
    <row r="794" spans="14:14" ht="15.75" customHeight="1" x14ac:dyDescent="0.3">
      <c r="N794" s="9"/>
    </row>
    <row r="795" spans="14:14" ht="15.75" customHeight="1" x14ac:dyDescent="0.3">
      <c r="N795" s="9"/>
    </row>
    <row r="796" spans="14:14" ht="15.75" customHeight="1" x14ac:dyDescent="0.3">
      <c r="N796" s="9"/>
    </row>
    <row r="797" spans="14:14" ht="15.75" customHeight="1" x14ac:dyDescent="0.3">
      <c r="N797" s="9"/>
    </row>
    <row r="798" spans="14:14" ht="15.75" customHeight="1" x14ac:dyDescent="0.3">
      <c r="N798" s="9"/>
    </row>
    <row r="799" spans="14:14" ht="15.75" customHeight="1" x14ac:dyDescent="0.3">
      <c r="N799" s="9"/>
    </row>
    <row r="800" spans="14:14" ht="15.75" customHeight="1" x14ac:dyDescent="0.3">
      <c r="N800" s="9"/>
    </row>
    <row r="801" spans="14:14" ht="15.75" customHeight="1" x14ac:dyDescent="0.3">
      <c r="N801" s="9"/>
    </row>
    <row r="802" spans="14:14" ht="15.75" customHeight="1" x14ac:dyDescent="0.3">
      <c r="N802" s="9"/>
    </row>
    <row r="803" spans="14:14" ht="15.75" customHeight="1" x14ac:dyDescent="0.3">
      <c r="N803" s="9"/>
    </row>
    <row r="804" spans="14:14" ht="15.75" customHeight="1" x14ac:dyDescent="0.3">
      <c r="N804" s="9"/>
    </row>
    <row r="805" spans="14:14" ht="15.75" customHeight="1" x14ac:dyDescent="0.3">
      <c r="N805" s="9"/>
    </row>
    <row r="806" spans="14:14" ht="15.75" customHeight="1" x14ac:dyDescent="0.3">
      <c r="N806" s="9"/>
    </row>
    <row r="807" spans="14:14" ht="15.75" customHeight="1" x14ac:dyDescent="0.3">
      <c r="N807" s="9"/>
    </row>
    <row r="808" spans="14:14" ht="15.75" customHeight="1" x14ac:dyDescent="0.3">
      <c r="N808" s="9"/>
    </row>
    <row r="809" spans="14:14" ht="15.75" customHeight="1" x14ac:dyDescent="0.3">
      <c r="N809" s="9"/>
    </row>
    <row r="810" spans="14:14" ht="15.75" customHeight="1" x14ac:dyDescent="0.3">
      <c r="N810" s="9"/>
    </row>
    <row r="811" spans="14:14" ht="15.75" customHeight="1" x14ac:dyDescent="0.3">
      <c r="N811" s="9"/>
    </row>
    <row r="812" spans="14:14" ht="15.75" customHeight="1" x14ac:dyDescent="0.3">
      <c r="N812" s="9"/>
    </row>
    <row r="813" spans="14:14" ht="15.75" customHeight="1" x14ac:dyDescent="0.3">
      <c r="N813" s="9"/>
    </row>
    <row r="814" spans="14:14" ht="15.75" customHeight="1" x14ac:dyDescent="0.3">
      <c r="N814" s="9"/>
    </row>
    <row r="815" spans="14:14" ht="15.75" customHeight="1" x14ac:dyDescent="0.3">
      <c r="N815" s="9"/>
    </row>
    <row r="816" spans="14:14" ht="15.75" customHeight="1" x14ac:dyDescent="0.3">
      <c r="N816" s="9"/>
    </row>
    <row r="817" spans="14:14" ht="15.75" customHeight="1" x14ac:dyDescent="0.3">
      <c r="N817" s="9"/>
    </row>
    <row r="818" spans="14:14" ht="15.75" customHeight="1" x14ac:dyDescent="0.3">
      <c r="N818" s="9"/>
    </row>
    <row r="819" spans="14:14" ht="15.75" customHeight="1" x14ac:dyDescent="0.3">
      <c r="N819" s="9"/>
    </row>
    <row r="820" spans="14:14" ht="15.75" customHeight="1" x14ac:dyDescent="0.3">
      <c r="N820" s="9"/>
    </row>
    <row r="821" spans="14:14" ht="15.75" customHeight="1" x14ac:dyDescent="0.3">
      <c r="N821" s="9"/>
    </row>
    <row r="822" spans="14:14" ht="15.75" customHeight="1" x14ac:dyDescent="0.3">
      <c r="N822" s="9"/>
    </row>
    <row r="823" spans="14:14" ht="15.75" customHeight="1" x14ac:dyDescent="0.3">
      <c r="N823" s="9"/>
    </row>
    <row r="824" spans="14:14" ht="15.75" customHeight="1" x14ac:dyDescent="0.3">
      <c r="N824" s="9"/>
    </row>
    <row r="825" spans="14:14" ht="15.75" customHeight="1" x14ac:dyDescent="0.3">
      <c r="N825" s="9"/>
    </row>
    <row r="826" spans="14:14" ht="15.75" customHeight="1" x14ac:dyDescent="0.3">
      <c r="N826" s="9"/>
    </row>
    <row r="827" spans="14:14" ht="15.75" customHeight="1" x14ac:dyDescent="0.3">
      <c r="N827" s="9"/>
    </row>
    <row r="828" spans="14:14" ht="15.75" customHeight="1" x14ac:dyDescent="0.3">
      <c r="N828" s="9"/>
    </row>
    <row r="829" spans="14:14" ht="15.75" customHeight="1" x14ac:dyDescent="0.3">
      <c r="N829" s="9"/>
    </row>
    <row r="830" spans="14:14" ht="15.75" customHeight="1" x14ac:dyDescent="0.3">
      <c r="N830" s="9"/>
    </row>
    <row r="831" spans="14:14" ht="15.75" customHeight="1" x14ac:dyDescent="0.3">
      <c r="N831" s="9"/>
    </row>
    <row r="832" spans="14:14" ht="15.75" customHeight="1" x14ac:dyDescent="0.3">
      <c r="N832" s="9"/>
    </row>
    <row r="833" spans="14:14" ht="15.75" customHeight="1" x14ac:dyDescent="0.3">
      <c r="N833" s="9"/>
    </row>
    <row r="834" spans="14:14" ht="15.75" customHeight="1" x14ac:dyDescent="0.3">
      <c r="N834" s="9"/>
    </row>
    <row r="835" spans="14:14" ht="15.75" customHeight="1" x14ac:dyDescent="0.3">
      <c r="N835" s="9"/>
    </row>
    <row r="836" spans="14:14" ht="15.75" customHeight="1" x14ac:dyDescent="0.3">
      <c r="N836" s="9"/>
    </row>
    <row r="837" spans="14:14" ht="15.75" customHeight="1" x14ac:dyDescent="0.3">
      <c r="N837" s="9"/>
    </row>
    <row r="838" spans="14:14" ht="15.75" customHeight="1" x14ac:dyDescent="0.3">
      <c r="N838" s="9"/>
    </row>
    <row r="839" spans="14:14" ht="15.75" customHeight="1" x14ac:dyDescent="0.3">
      <c r="N839" s="9"/>
    </row>
    <row r="840" spans="14:14" ht="15.75" customHeight="1" x14ac:dyDescent="0.3">
      <c r="N840" s="9"/>
    </row>
    <row r="841" spans="14:14" ht="15.75" customHeight="1" x14ac:dyDescent="0.3">
      <c r="N841" s="9"/>
    </row>
    <row r="842" spans="14:14" ht="15.75" customHeight="1" x14ac:dyDescent="0.3">
      <c r="N842" s="9"/>
    </row>
    <row r="843" spans="14:14" ht="15.75" customHeight="1" x14ac:dyDescent="0.3">
      <c r="N843" s="9"/>
    </row>
    <row r="844" spans="14:14" ht="15.75" customHeight="1" x14ac:dyDescent="0.3">
      <c r="N844" s="9"/>
    </row>
    <row r="845" spans="14:14" ht="15.75" customHeight="1" x14ac:dyDescent="0.3">
      <c r="N845" s="9"/>
    </row>
    <row r="846" spans="14:14" ht="15.75" customHeight="1" x14ac:dyDescent="0.3">
      <c r="N846" s="9"/>
    </row>
    <row r="847" spans="14:14" ht="15.75" customHeight="1" x14ac:dyDescent="0.3">
      <c r="N847" s="9"/>
    </row>
    <row r="848" spans="14:14" ht="15.75" customHeight="1" x14ac:dyDescent="0.3">
      <c r="N848" s="9"/>
    </row>
    <row r="849" spans="14:14" ht="15.75" customHeight="1" x14ac:dyDescent="0.3">
      <c r="N849" s="9"/>
    </row>
    <row r="850" spans="14:14" ht="15.75" customHeight="1" x14ac:dyDescent="0.3">
      <c r="N850" s="9"/>
    </row>
    <row r="851" spans="14:14" ht="15.75" customHeight="1" x14ac:dyDescent="0.3">
      <c r="N851" s="9"/>
    </row>
    <row r="852" spans="14:14" ht="15.75" customHeight="1" x14ac:dyDescent="0.3">
      <c r="N852" s="9"/>
    </row>
    <row r="853" spans="14:14" ht="15.75" customHeight="1" x14ac:dyDescent="0.3">
      <c r="N853" s="9"/>
    </row>
    <row r="854" spans="14:14" ht="15.75" customHeight="1" x14ac:dyDescent="0.3">
      <c r="N854" s="9"/>
    </row>
    <row r="855" spans="14:14" ht="15.75" customHeight="1" x14ac:dyDescent="0.3">
      <c r="N855" s="9"/>
    </row>
    <row r="856" spans="14:14" ht="15.75" customHeight="1" x14ac:dyDescent="0.3">
      <c r="N856" s="9"/>
    </row>
    <row r="857" spans="14:14" ht="15.75" customHeight="1" x14ac:dyDescent="0.3">
      <c r="N857" s="9"/>
    </row>
    <row r="858" spans="14:14" ht="15.75" customHeight="1" x14ac:dyDescent="0.3">
      <c r="N858" s="9"/>
    </row>
    <row r="859" spans="14:14" ht="15.75" customHeight="1" x14ac:dyDescent="0.3">
      <c r="N859" s="9"/>
    </row>
    <row r="860" spans="14:14" ht="15.75" customHeight="1" x14ac:dyDescent="0.3">
      <c r="N860" s="9"/>
    </row>
    <row r="861" spans="14:14" ht="15.75" customHeight="1" x14ac:dyDescent="0.3">
      <c r="N861" s="9"/>
    </row>
    <row r="862" spans="14:14" ht="15.75" customHeight="1" x14ac:dyDescent="0.3">
      <c r="N862" s="9"/>
    </row>
    <row r="863" spans="14:14" ht="15.75" customHeight="1" x14ac:dyDescent="0.3">
      <c r="N863" s="9"/>
    </row>
    <row r="864" spans="14:14" ht="15.75" customHeight="1" x14ac:dyDescent="0.3">
      <c r="N864" s="9"/>
    </row>
    <row r="865" spans="14:14" ht="15.75" customHeight="1" x14ac:dyDescent="0.3">
      <c r="N865" s="9"/>
    </row>
    <row r="866" spans="14:14" ht="15.75" customHeight="1" x14ac:dyDescent="0.3">
      <c r="N866" s="9"/>
    </row>
    <row r="867" spans="14:14" ht="15.75" customHeight="1" x14ac:dyDescent="0.3">
      <c r="N867" s="9"/>
    </row>
    <row r="868" spans="14:14" ht="15.75" customHeight="1" x14ac:dyDescent="0.3">
      <c r="N868" s="9"/>
    </row>
    <row r="869" spans="14:14" ht="15.75" customHeight="1" x14ac:dyDescent="0.3">
      <c r="N869" s="9"/>
    </row>
    <row r="870" spans="14:14" ht="15.75" customHeight="1" x14ac:dyDescent="0.3">
      <c r="N870" s="9"/>
    </row>
    <row r="871" spans="14:14" ht="15.75" customHeight="1" x14ac:dyDescent="0.3">
      <c r="N871" s="9"/>
    </row>
    <row r="872" spans="14:14" ht="15.75" customHeight="1" x14ac:dyDescent="0.3">
      <c r="N872" s="9"/>
    </row>
    <row r="873" spans="14:14" ht="15.75" customHeight="1" x14ac:dyDescent="0.3">
      <c r="N873" s="9"/>
    </row>
    <row r="874" spans="14:14" ht="15.75" customHeight="1" x14ac:dyDescent="0.3">
      <c r="N874" s="9"/>
    </row>
    <row r="875" spans="14:14" ht="15.75" customHeight="1" x14ac:dyDescent="0.3">
      <c r="N875" s="9"/>
    </row>
    <row r="876" spans="14:14" ht="15.75" customHeight="1" x14ac:dyDescent="0.3">
      <c r="N876" s="9"/>
    </row>
    <row r="877" spans="14:14" ht="15.75" customHeight="1" x14ac:dyDescent="0.3">
      <c r="N877" s="9"/>
    </row>
    <row r="878" spans="14:14" ht="15.75" customHeight="1" x14ac:dyDescent="0.3">
      <c r="N878" s="9"/>
    </row>
    <row r="879" spans="14:14" ht="15.75" customHeight="1" x14ac:dyDescent="0.3">
      <c r="N879" s="9"/>
    </row>
    <row r="880" spans="14:14" ht="15.75" customHeight="1" x14ac:dyDescent="0.3">
      <c r="N880" s="9"/>
    </row>
    <row r="881" spans="14:14" ht="15.75" customHeight="1" x14ac:dyDescent="0.3">
      <c r="N881" s="9"/>
    </row>
    <row r="882" spans="14:14" ht="15.75" customHeight="1" x14ac:dyDescent="0.3">
      <c r="N882" s="9"/>
    </row>
    <row r="883" spans="14:14" ht="15.75" customHeight="1" x14ac:dyDescent="0.3">
      <c r="N883" s="9"/>
    </row>
    <row r="884" spans="14:14" ht="15.75" customHeight="1" x14ac:dyDescent="0.3">
      <c r="N884" s="9"/>
    </row>
    <row r="885" spans="14:14" ht="15.75" customHeight="1" x14ac:dyDescent="0.3">
      <c r="N885" s="9"/>
    </row>
    <row r="886" spans="14:14" ht="15.75" customHeight="1" x14ac:dyDescent="0.3">
      <c r="N886" s="9"/>
    </row>
    <row r="887" spans="14:14" ht="15.75" customHeight="1" x14ac:dyDescent="0.3">
      <c r="N887" s="9"/>
    </row>
    <row r="888" spans="14:14" ht="15.75" customHeight="1" x14ac:dyDescent="0.3">
      <c r="N888" s="9"/>
    </row>
    <row r="889" spans="14:14" ht="15.75" customHeight="1" x14ac:dyDescent="0.3">
      <c r="N889" s="9"/>
    </row>
    <row r="890" spans="14:14" ht="15.75" customHeight="1" x14ac:dyDescent="0.3">
      <c r="N890" s="9"/>
    </row>
    <row r="891" spans="14:14" ht="15.75" customHeight="1" x14ac:dyDescent="0.3">
      <c r="N891" s="9"/>
    </row>
    <row r="892" spans="14:14" ht="15.75" customHeight="1" x14ac:dyDescent="0.3">
      <c r="N892" s="9"/>
    </row>
    <row r="893" spans="14:14" ht="15.75" customHeight="1" x14ac:dyDescent="0.3">
      <c r="N893" s="9"/>
    </row>
    <row r="894" spans="14:14" ht="15.75" customHeight="1" x14ac:dyDescent="0.3">
      <c r="N894" s="9"/>
    </row>
    <row r="895" spans="14:14" ht="15.75" customHeight="1" x14ac:dyDescent="0.3">
      <c r="N895" s="9"/>
    </row>
    <row r="896" spans="14:14" ht="15.75" customHeight="1" x14ac:dyDescent="0.3">
      <c r="N896" s="9"/>
    </row>
    <row r="897" spans="14:14" ht="15.75" customHeight="1" x14ac:dyDescent="0.3">
      <c r="N897" s="9"/>
    </row>
    <row r="898" spans="14:14" ht="15.75" customHeight="1" x14ac:dyDescent="0.3">
      <c r="N898" s="9"/>
    </row>
    <row r="899" spans="14:14" ht="15.75" customHeight="1" x14ac:dyDescent="0.3">
      <c r="N899" s="9"/>
    </row>
    <row r="900" spans="14:14" ht="15.75" customHeight="1" x14ac:dyDescent="0.3">
      <c r="N900" s="9"/>
    </row>
    <row r="901" spans="14:14" ht="15.75" customHeight="1" x14ac:dyDescent="0.3">
      <c r="N901" s="9"/>
    </row>
    <row r="902" spans="14:14" ht="15.75" customHeight="1" x14ac:dyDescent="0.3">
      <c r="N902" s="9"/>
    </row>
    <row r="903" spans="14:14" ht="15.75" customHeight="1" x14ac:dyDescent="0.3">
      <c r="N903" s="9"/>
    </row>
    <row r="904" spans="14:14" ht="15.75" customHeight="1" x14ac:dyDescent="0.3">
      <c r="N904" s="9"/>
    </row>
    <row r="905" spans="14:14" ht="15.75" customHeight="1" x14ac:dyDescent="0.3">
      <c r="N905" s="9"/>
    </row>
    <row r="906" spans="14:14" ht="15.75" customHeight="1" x14ac:dyDescent="0.3">
      <c r="N906" s="9"/>
    </row>
    <row r="907" spans="14:14" ht="15.75" customHeight="1" x14ac:dyDescent="0.3">
      <c r="N907" s="9"/>
    </row>
    <row r="908" spans="14:14" ht="15.75" customHeight="1" x14ac:dyDescent="0.3">
      <c r="N908" s="9"/>
    </row>
    <row r="909" spans="14:14" ht="15.75" customHeight="1" x14ac:dyDescent="0.3">
      <c r="N909" s="9"/>
    </row>
    <row r="910" spans="14:14" ht="15.75" customHeight="1" x14ac:dyDescent="0.3">
      <c r="N910" s="9"/>
    </row>
    <row r="911" spans="14:14" ht="15.75" customHeight="1" x14ac:dyDescent="0.3">
      <c r="N911" s="9"/>
    </row>
    <row r="912" spans="14:14" ht="15.75" customHeight="1" x14ac:dyDescent="0.3">
      <c r="N912" s="9"/>
    </row>
    <row r="913" spans="14:14" ht="15.75" customHeight="1" x14ac:dyDescent="0.3">
      <c r="N913" s="9"/>
    </row>
    <row r="914" spans="14:14" ht="15.75" customHeight="1" x14ac:dyDescent="0.3">
      <c r="N914" s="9"/>
    </row>
    <row r="915" spans="14:14" ht="15.75" customHeight="1" x14ac:dyDescent="0.3">
      <c r="N915" s="9"/>
    </row>
    <row r="916" spans="14:14" ht="15.75" customHeight="1" x14ac:dyDescent="0.3">
      <c r="N916" s="9"/>
    </row>
    <row r="917" spans="14:14" ht="15.75" customHeight="1" x14ac:dyDescent="0.3">
      <c r="N917" s="9"/>
    </row>
    <row r="918" spans="14:14" ht="15.75" customHeight="1" x14ac:dyDescent="0.3">
      <c r="N918" s="9"/>
    </row>
    <row r="919" spans="14:14" ht="15.75" customHeight="1" x14ac:dyDescent="0.3">
      <c r="N919" s="9"/>
    </row>
    <row r="920" spans="14:14" ht="15.75" customHeight="1" x14ac:dyDescent="0.3">
      <c r="N920" s="9"/>
    </row>
    <row r="921" spans="14:14" ht="15.75" customHeight="1" x14ac:dyDescent="0.3">
      <c r="N921" s="9"/>
    </row>
    <row r="922" spans="14:14" ht="15.75" customHeight="1" x14ac:dyDescent="0.3">
      <c r="N922" s="9"/>
    </row>
    <row r="923" spans="14:14" ht="15.75" customHeight="1" x14ac:dyDescent="0.3">
      <c r="N923" s="9"/>
    </row>
    <row r="924" spans="14:14" ht="15.75" customHeight="1" x14ac:dyDescent="0.3">
      <c r="N924" s="9"/>
    </row>
    <row r="925" spans="14:14" ht="15.75" customHeight="1" x14ac:dyDescent="0.3">
      <c r="N925" s="9"/>
    </row>
    <row r="926" spans="14:14" ht="15.75" customHeight="1" x14ac:dyDescent="0.3">
      <c r="N926" s="9"/>
    </row>
    <row r="927" spans="14:14" ht="15.75" customHeight="1" x14ac:dyDescent="0.3">
      <c r="N927" s="9"/>
    </row>
    <row r="928" spans="14:14" ht="15.75" customHeight="1" x14ac:dyDescent="0.3">
      <c r="N928" s="9"/>
    </row>
    <row r="929" spans="14:14" ht="15.75" customHeight="1" x14ac:dyDescent="0.3">
      <c r="N929" s="9"/>
    </row>
    <row r="930" spans="14:14" ht="15.75" customHeight="1" x14ac:dyDescent="0.3">
      <c r="N930" s="9"/>
    </row>
    <row r="931" spans="14:14" ht="15.75" customHeight="1" x14ac:dyDescent="0.3">
      <c r="N931" s="9"/>
    </row>
    <row r="932" spans="14:14" ht="15.75" customHeight="1" x14ac:dyDescent="0.3">
      <c r="N932" s="9"/>
    </row>
    <row r="933" spans="14:14" ht="15.75" customHeight="1" x14ac:dyDescent="0.3">
      <c r="N933" s="9"/>
    </row>
    <row r="934" spans="14:14" ht="15.75" customHeight="1" x14ac:dyDescent="0.3">
      <c r="N934" s="9"/>
    </row>
    <row r="935" spans="14:14" ht="15.75" customHeight="1" x14ac:dyDescent="0.3">
      <c r="N935" s="9"/>
    </row>
    <row r="936" spans="14:14" ht="15.75" customHeight="1" x14ac:dyDescent="0.3">
      <c r="N936" s="9"/>
    </row>
    <row r="937" spans="14:14" ht="15.75" customHeight="1" x14ac:dyDescent="0.3">
      <c r="N937" s="9"/>
    </row>
    <row r="938" spans="14:14" ht="15.75" customHeight="1" x14ac:dyDescent="0.3">
      <c r="N938" s="9"/>
    </row>
    <row r="939" spans="14:14" ht="15.75" customHeight="1" x14ac:dyDescent="0.3">
      <c r="N939" s="9"/>
    </row>
    <row r="940" spans="14:14" ht="15.75" customHeight="1" x14ac:dyDescent="0.3">
      <c r="N940" s="9"/>
    </row>
    <row r="941" spans="14:14" ht="15.75" customHeight="1" x14ac:dyDescent="0.3">
      <c r="N941" s="9"/>
    </row>
    <row r="942" spans="14:14" ht="15.75" customHeight="1" x14ac:dyDescent="0.3">
      <c r="N942" s="9"/>
    </row>
    <row r="943" spans="14:14" ht="15.75" customHeight="1" x14ac:dyDescent="0.3">
      <c r="N943" s="9"/>
    </row>
    <row r="944" spans="14:14" ht="15.75" customHeight="1" x14ac:dyDescent="0.3">
      <c r="N944" s="9"/>
    </row>
    <row r="945" spans="14:14" ht="15.75" customHeight="1" x14ac:dyDescent="0.3">
      <c r="N945" s="9"/>
    </row>
    <row r="946" spans="14:14" ht="15.75" customHeight="1" x14ac:dyDescent="0.3">
      <c r="N946" s="9"/>
    </row>
    <row r="947" spans="14:14" ht="15.75" customHeight="1" x14ac:dyDescent="0.3">
      <c r="N947" s="9"/>
    </row>
    <row r="948" spans="14:14" ht="15.75" customHeight="1" x14ac:dyDescent="0.3">
      <c r="N948" s="9"/>
    </row>
    <row r="949" spans="14:14" ht="15.75" customHeight="1" x14ac:dyDescent="0.3">
      <c r="N949" s="9"/>
    </row>
    <row r="950" spans="14:14" ht="15.75" customHeight="1" x14ac:dyDescent="0.3">
      <c r="N950" s="9"/>
    </row>
    <row r="951" spans="14:14" ht="15.75" customHeight="1" x14ac:dyDescent="0.3">
      <c r="N951" s="9"/>
    </row>
    <row r="952" spans="14:14" ht="15.75" customHeight="1" x14ac:dyDescent="0.3">
      <c r="N952" s="9"/>
    </row>
    <row r="953" spans="14:14" ht="15.75" customHeight="1" x14ac:dyDescent="0.3">
      <c r="N953" s="9"/>
    </row>
    <row r="954" spans="14:14" ht="15.75" customHeight="1" x14ac:dyDescent="0.3">
      <c r="N954" s="9"/>
    </row>
    <row r="955" spans="14:14" ht="15.75" customHeight="1" x14ac:dyDescent="0.3">
      <c r="N955" s="9"/>
    </row>
    <row r="956" spans="14:14" ht="15.75" customHeight="1" x14ac:dyDescent="0.3">
      <c r="N956" s="9"/>
    </row>
    <row r="957" spans="14:14" ht="15.75" customHeight="1" x14ac:dyDescent="0.3">
      <c r="N957" s="9"/>
    </row>
    <row r="958" spans="14:14" ht="15.75" customHeight="1" x14ac:dyDescent="0.3">
      <c r="N958" s="9"/>
    </row>
    <row r="959" spans="14:14" ht="15.75" customHeight="1" x14ac:dyDescent="0.3">
      <c r="N959" s="9"/>
    </row>
    <row r="960" spans="14:14" ht="15.75" customHeight="1" x14ac:dyDescent="0.3">
      <c r="N960" s="9"/>
    </row>
    <row r="961" spans="14:14" ht="15.75" customHeight="1" x14ac:dyDescent="0.3">
      <c r="N961" s="9"/>
    </row>
    <row r="962" spans="14:14" ht="15.75" customHeight="1" x14ac:dyDescent="0.3">
      <c r="N962" s="9"/>
    </row>
    <row r="963" spans="14:14" ht="15.75" customHeight="1" x14ac:dyDescent="0.3">
      <c r="N963" s="9"/>
    </row>
    <row r="964" spans="14:14" ht="15.75" customHeight="1" x14ac:dyDescent="0.3">
      <c r="N964" s="9"/>
    </row>
    <row r="965" spans="14:14" ht="15.75" customHeight="1" x14ac:dyDescent="0.3">
      <c r="N965" s="9"/>
    </row>
    <row r="966" spans="14:14" ht="15.75" customHeight="1" x14ac:dyDescent="0.3">
      <c r="N966" s="9"/>
    </row>
    <row r="967" spans="14:14" ht="15.75" customHeight="1" x14ac:dyDescent="0.3">
      <c r="N967" s="9"/>
    </row>
    <row r="968" spans="14:14" ht="15.75" customHeight="1" x14ac:dyDescent="0.3">
      <c r="N968" s="9"/>
    </row>
    <row r="969" spans="14:14" ht="15.75" customHeight="1" x14ac:dyDescent="0.3">
      <c r="N969" s="9"/>
    </row>
    <row r="970" spans="14:14" ht="15.75" customHeight="1" x14ac:dyDescent="0.3">
      <c r="N970" s="9"/>
    </row>
    <row r="971" spans="14:14" ht="15.75" customHeight="1" x14ac:dyDescent="0.3">
      <c r="N971" s="9"/>
    </row>
    <row r="972" spans="14:14" ht="15.75" customHeight="1" x14ac:dyDescent="0.3">
      <c r="N972" s="9"/>
    </row>
    <row r="973" spans="14:14" ht="15.75" customHeight="1" x14ac:dyDescent="0.3">
      <c r="N973" s="9"/>
    </row>
    <row r="974" spans="14:14" ht="15.75" customHeight="1" x14ac:dyDescent="0.3">
      <c r="N974" s="9"/>
    </row>
    <row r="975" spans="14:14" ht="15.75" customHeight="1" x14ac:dyDescent="0.3">
      <c r="N975" s="9"/>
    </row>
    <row r="976" spans="14:14" ht="15.75" customHeight="1" x14ac:dyDescent="0.3">
      <c r="N976" s="9"/>
    </row>
    <row r="977" spans="14:14" ht="15.75" customHeight="1" x14ac:dyDescent="0.3">
      <c r="N977" s="9"/>
    </row>
    <row r="978" spans="14:14" ht="15.75" customHeight="1" x14ac:dyDescent="0.3">
      <c r="N978" s="9"/>
    </row>
    <row r="979" spans="14:14" ht="15.75" customHeight="1" x14ac:dyDescent="0.3">
      <c r="N979" s="9"/>
    </row>
    <row r="980" spans="14:14" ht="15.75" customHeight="1" x14ac:dyDescent="0.3">
      <c r="N980" s="9"/>
    </row>
    <row r="981" spans="14:14" ht="15.75" customHeight="1" x14ac:dyDescent="0.3">
      <c r="N981" s="9"/>
    </row>
    <row r="982" spans="14:14" ht="15.75" customHeight="1" x14ac:dyDescent="0.3">
      <c r="N982" s="9"/>
    </row>
    <row r="983" spans="14:14" ht="15.75" customHeight="1" x14ac:dyDescent="0.3">
      <c r="N983" s="9"/>
    </row>
    <row r="984" spans="14:14" ht="15.75" customHeight="1" x14ac:dyDescent="0.3">
      <c r="N984" s="9"/>
    </row>
    <row r="985" spans="14:14" ht="15.75" customHeight="1" x14ac:dyDescent="0.3">
      <c r="N985" s="9"/>
    </row>
    <row r="986" spans="14:14" ht="15.75" customHeight="1" x14ac:dyDescent="0.3">
      <c r="N986" s="9"/>
    </row>
    <row r="987" spans="14:14" ht="15.75" customHeight="1" x14ac:dyDescent="0.3">
      <c r="N987" s="9"/>
    </row>
    <row r="988" spans="14:14" ht="15.75" customHeight="1" x14ac:dyDescent="0.3">
      <c r="N988" s="9"/>
    </row>
    <row r="989" spans="14:14" ht="15.75" customHeight="1" x14ac:dyDescent="0.3">
      <c r="N989" s="9"/>
    </row>
    <row r="990" spans="14:14" ht="15.75" customHeight="1" x14ac:dyDescent="0.3">
      <c r="N990" s="9"/>
    </row>
    <row r="991" spans="14:14" ht="15.75" customHeight="1" x14ac:dyDescent="0.3">
      <c r="N991" s="9"/>
    </row>
    <row r="992" spans="14:14" ht="15.75" customHeight="1" x14ac:dyDescent="0.3">
      <c r="N992" s="9"/>
    </row>
    <row r="993" spans="14:14" ht="15.75" customHeight="1" x14ac:dyDescent="0.3">
      <c r="N993" s="9"/>
    </row>
    <row r="994" spans="14:14" ht="15.75" customHeight="1" x14ac:dyDescent="0.3">
      <c r="N994" s="9"/>
    </row>
    <row r="995" spans="14:14" ht="15.75" customHeight="1" x14ac:dyDescent="0.3">
      <c r="N995" s="9"/>
    </row>
    <row r="996" spans="14:14" ht="15.75" customHeight="1" x14ac:dyDescent="0.3">
      <c r="N996" s="9"/>
    </row>
    <row r="997" spans="14:14" ht="15.75" customHeight="1" x14ac:dyDescent="0.3">
      <c r="N997" s="9"/>
    </row>
    <row r="998" spans="14:14" ht="15.75" customHeight="1" x14ac:dyDescent="0.3">
      <c r="N998" s="9"/>
    </row>
    <row r="999" spans="14:14" ht="15.75" customHeight="1" x14ac:dyDescent="0.3">
      <c r="N999" s="9"/>
    </row>
    <row r="1000" spans="14:14" ht="15.75" customHeight="1" x14ac:dyDescent="0.3">
      <c r="N1000" s="9"/>
    </row>
    <row r="1001" spans="14:14" ht="15.75" customHeight="1" x14ac:dyDescent="0.3">
      <c r="N1001" s="9"/>
    </row>
    <row r="1002" spans="14:14" ht="15.75" customHeight="1" x14ac:dyDescent="0.3">
      <c r="N1002" s="9"/>
    </row>
    <row r="1003" spans="14:14" ht="15" customHeight="1" x14ac:dyDescent="0.3">
      <c r="N1003" s="9"/>
    </row>
    <row r="1004" spans="14:14" ht="15" customHeight="1" x14ac:dyDescent="0.3">
      <c r="N1004" s="9"/>
    </row>
    <row r="1005" spans="14:14" ht="15" customHeight="1" x14ac:dyDescent="0.3">
      <c r="N1005" s="9"/>
    </row>
    <row r="1006" spans="14:14" ht="15" customHeight="1" x14ac:dyDescent="0.3">
      <c r="N1006" s="9"/>
    </row>
    <row r="1007" spans="14:14" ht="15" customHeight="1" x14ac:dyDescent="0.3">
      <c r="N1007" s="9"/>
    </row>
    <row r="1008" spans="14:14" ht="15" customHeight="1" x14ac:dyDescent="0.3">
      <c r="N1008" s="9"/>
    </row>
    <row r="1009" spans="14:14" ht="15" customHeight="1" x14ac:dyDescent="0.3">
      <c r="N1009" s="9"/>
    </row>
    <row r="1010" spans="14:14" ht="15" customHeight="1" x14ac:dyDescent="0.3">
      <c r="N1010" s="9"/>
    </row>
    <row r="1011" spans="14:14" ht="15" customHeight="1" x14ac:dyDescent="0.3">
      <c r="N1011" s="9"/>
    </row>
    <row r="1012" spans="14:14" ht="15" customHeight="1" x14ac:dyDescent="0.3">
      <c r="N1012" s="9"/>
    </row>
    <row r="1013" spans="14:14" ht="15" customHeight="1" x14ac:dyDescent="0.3">
      <c r="N1013" s="9"/>
    </row>
    <row r="1014" spans="14:14" ht="15" customHeight="1" x14ac:dyDescent="0.3">
      <c r="N1014" s="9"/>
    </row>
    <row r="1015" spans="14:14" ht="15" customHeight="1" x14ac:dyDescent="0.3">
      <c r="N1015" s="9"/>
    </row>
    <row r="1016" spans="14:14" ht="15" customHeight="1" x14ac:dyDescent="0.3">
      <c r="N1016" s="9"/>
    </row>
    <row r="1017" spans="14:14" ht="15" customHeight="1" x14ac:dyDescent="0.3">
      <c r="N1017" s="9"/>
    </row>
    <row r="1018" spans="14:14" ht="15" customHeight="1" x14ac:dyDescent="0.3">
      <c r="N1018" s="9"/>
    </row>
    <row r="1019" spans="14:14" ht="15" customHeight="1" x14ac:dyDescent="0.3">
      <c r="N1019" s="9"/>
    </row>
    <row r="1020" spans="14:14" ht="15" customHeight="1" x14ac:dyDescent="0.3">
      <c r="N1020" s="9"/>
    </row>
    <row r="1021" spans="14:14" ht="15" customHeight="1" x14ac:dyDescent="0.3">
      <c r="N1021" s="9"/>
    </row>
    <row r="1022" spans="14:14" ht="15" customHeight="1" x14ac:dyDescent="0.3">
      <c r="N1022" s="9"/>
    </row>
    <row r="1023" spans="14:14" ht="15" customHeight="1" x14ac:dyDescent="0.3">
      <c r="N1023" s="9"/>
    </row>
    <row r="1024" spans="14:14" ht="15" customHeight="1" x14ac:dyDescent="0.3">
      <c r="N1024" s="9"/>
    </row>
    <row r="1025" spans="14:14" ht="15" customHeight="1" x14ac:dyDescent="0.3">
      <c r="N1025" s="9"/>
    </row>
    <row r="1026" spans="14:14" ht="15" customHeight="1" x14ac:dyDescent="0.3">
      <c r="N1026" s="9"/>
    </row>
    <row r="1027" spans="14:14" ht="15" customHeight="1" x14ac:dyDescent="0.3">
      <c r="N1027" s="9"/>
    </row>
    <row r="1028" spans="14:14" ht="15" customHeight="1" x14ac:dyDescent="0.3">
      <c r="N1028" s="9"/>
    </row>
    <row r="1029" spans="14:14" ht="15" customHeight="1" x14ac:dyDescent="0.3">
      <c r="N1029" s="9"/>
    </row>
    <row r="1030" spans="14:14" ht="15" customHeight="1" x14ac:dyDescent="0.3">
      <c r="N1030" s="9"/>
    </row>
    <row r="1031" spans="14:14" ht="15" customHeight="1" x14ac:dyDescent="0.3">
      <c r="N1031" s="9"/>
    </row>
    <row r="1032" spans="14:14" ht="15" customHeight="1" x14ac:dyDescent="0.3">
      <c r="N1032" s="9"/>
    </row>
    <row r="1033" spans="14:14" ht="15" customHeight="1" x14ac:dyDescent="0.3">
      <c r="N1033" s="9"/>
    </row>
    <row r="1034" spans="14:14" ht="15" customHeight="1" x14ac:dyDescent="0.3">
      <c r="N1034" s="9"/>
    </row>
    <row r="1035" spans="14:14" ht="15" customHeight="1" x14ac:dyDescent="0.3">
      <c r="N1035" s="9"/>
    </row>
    <row r="1036" spans="14:14" ht="15" customHeight="1" x14ac:dyDescent="0.3">
      <c r="N1036" s="9"/>
    </row>
    <row r="1037" spans="14:14" ht="15" customHeight="1" x14ac:dyDescent="0.3">
      <c r="N1037" s="9"/>
    </row>
    <row r="1038" spans="14:14" ht="15" customHeight="1" x14ac:dyDescent="0.3">
      <c r="N1038" s="9"/>
    </row>
    <row r="1039" spans="14:14" ht="15" customHeight="1" x14ac:dyDescent="0.3">
      <c r="N1039" s="9"/>
    </row>
    <row r="1040" spans="14:14" ht="15" customHeight="1" x14ac:dyDescent="0.3">
      <c r="N1040" s="9"/>
    </row>
    <row r="1041" spans="14:14" ht="15" customHeight="1" x14ac:dyDescent="0.3">
      <c r="N1041" s="9"/>
    </row>
    <row r="1042" spans="14:14" ht="15" customHeight="1" x14ac:dyDescent="0.3">
      <c r="N1042" s="9"/>
    </row>
    <row r="1043" spans="14:14" ht="15" customHeight="1" x14ac:dyDescent="0.3">
      <c r="N1043" s="9"/>
    </row>
    <row r="1044" spans="14:14" ht="15" customHeight="1" x14ac:dyDescent="0.3">
      <c r="N1044" s="9"/>
    </row>
    <row r="1045" spans="14:14" ht="15" customHeight="1" x14ac:dyDescent="0.3">
      <c r="N1045" s="9"/>
    </row>
    <row r="1046" spans="14:14" ht="15" customHeight="1" x14ac:dyDescent="0.3">
      <c r="N1046" s="9"/>
    </row>
    <row r="1047" spans="14:14" ht="15" customHeight="1" x14ac:dyDescent="0.3">
      <c r="N1047" s="9"/>
    </row>
    <row r="1048" spans="14:14" ht="15" customHeight="1" x14ac:dyDescent="0.3">
      <c r="N1048" s="9"/>
    </row>
    <row r="1049" spans="14:14" ht="15" customHeight="1" x14ac:dyDescent="0.3">
      <c r="N1049" s="9"/>
    </row>
    <row r="1050" spans="14:14" ht="15" customHeight="1" x14ac:dyDescent="0.3">
      <c r="N1050" s="9"/>
    </row>
    <row r="1051" spans="14:14" ht="15" customHeight="1" x14ac:dyDescent="0.3">
      <c r="N1051" s="9"/>
    </row>
    <row r="1052" spans="14:14" ht="15" customHeight="1" x14ac:dyDescent="0.3">
      <c r="N1052" s="9"/>
    </row>
    <row r="1053" spans="14:14" ht="15" customHeight="1" x14ac:dyDescent="0.3">
      <c r="N1053" s="9"/>
    </row>
    <row r="1054" spans="14:14" ht="15" customHeight="1" x14ac:dyDescent="0.3">
      <c r="N1054" s="9"/>
    </row>
    <row r="1055" spans="14:14" ht="15" customHeight="1" x14ac:dyDescent="0.3">
      <c r="N1055" s="9"/>
    </row>
    <row r="1056" spans="14:14" ht="15" customHeight="1" x14ac:dyDescent="0.3">
      <c r="N1056" s="9"/>
    </row>
    <row r="1057" spans="14:14" ht="15" customHeight="1" x14ac:dyDescent="0.3">
      <c r="N1057" s="9"/>
    </row>
    <row r="1058" spans="14:14" ht="15" customHeight="1" x14ac:dyDescent="0.3">
      <c r="N1058" s="9"/>
    </row>
    <row r="1059" spans="14:14" ht="15" customHeight="1" x14ac:dyDescent="0.3">
      <c r="N1059" s="9"/>
    </row>
    <row r="1060" spans="14:14" ht="15" customHeight="1" x14ac:dyDescent="0.3">
      <c r="N1060" s="9"/>
    </row>
    <row r="1061" spans="14:14" ht="15" customHeight="1" x14ac:dyDescent="0.3">
      <c r="N1061" s="9"/>
    </row>
    <row r="1062" spans="14:14" ht="15" customHeight="1" x14ac:dyDescent="0.3">
      <c r="N1062" s="9"/>
    </row>
    <row r="1063" spans="14:14" ht="15" customHeight="1" x14ac:dyDescent="0.3">
      <c r="N1063" s="9"/>
    </row>
    <row r="1064" spans="14:14" ht="15" customHeight="1" x14ac:dyDescent="0.3">
      <c r="N1064" s="9"/>
    </row>
    <row r="1065" spans="14:14" ht="15" customHeight="1" x14ac:dyDescent="0.3">
      <c r="N1065" s="9"/>
    </row>
    <row r="1066" spans="14:14" ht="15" customHeight="1" x14ac:dyDescent="0.3">
      <c r="N1066" s="9"/>
    </row>
    <row r="1067" spans="14:14" ht="15" customHeight="1" x14ac:dyDescent="0.3">
      <c r="N1067" s="9"/>
    </row>
    <row r="1068" spans="14:14" ht="15" customHeight="1" x14ac:dyDescent="0.3">
      <c r="N1068" s="9"/>
    </row>
    <row r="1069" spans="14:14" ht="15" customHeight="1" x14ac:dyDescent="0.3">
      <c r="N1069" s="9"/>
    </row>
    <row r="1070" spans="14:14" ht="15" customHeight="1" x14ac:dyDescent="0.3">
      <c r="N1070" s="9"/>
    </row>
    <row r="1071" spans="14:14" ht="15" customHeight="1" x14ac:dyDescent="0.3">
      <c r="N1071" s="9"/>
    </row>
    <row r="1072" spans="14:14" ht="15" customHeight="1" x14ac:dyDescent="0.3">
      <c r="N1072" s="9"/>
    </row>
    <row r="1073" spans="14:14" ht="15" customHeight="1" x14ac:dyDescent="0.3">
      <c r="N1073" s="9"/>
    </row>
    <row r="1074" spans="14:14" ht="15" customHeight="1" x14ac:dyDescent="0.3">
      <c r="N1074" s="9"/>
    </row>
    <row r="1075" spans="14:14" ht="15" customHeight="1" x14ac:dyDescent="0.3">
      <c r="N1075" s="9"/>
    </row>
    <row r="1076" spans="14:14" ht="15" customHeight="1" x14ac:dyDescent="0.3">
      <c r="N1076" s="9"/>
    </row>
    <row r="1077" spans="14:14" ht="15" customHeight="1" x14ac:dyDescent="0.3">
      <c r="N1077" s="9"/>
    </row>
    <row r="1078" spans="14:14" ht="15" customHeight="1" x14ac:dyDescent="0.3">
      <c r="N1078" s="9"/>
    </row>
    <row r="1079" spans="14:14" ht="15" customHeight="1" x14ac:dyDescent="0.3">
      <c r="N1079" s="9"/>
    </row>
    <row r="1080" spans="14:14" ht="15" customHeight="1" x14ac:dyDescent="0.3">
      <c r="N1080" s="9"/>
    </row>
    <row r="1081" spans="14:14" ht="15" customHeight="1" x14ac:dyDescent="0.3">
      <c r="N1081" s="9"/>
    </row>
    <row r="1082" spans="14:14" ht="15" customHeight="1" x14ac:dyDescent="0.3">
      <c r="N1082" s="9"/>
    </row>
    <row r="1083" spans="14:14" ht="15" customHeight="1" x14ac:dyDescent="0.3">
      <c r="N1083" s="9"/>
    </row>
    <row r="1084" spans="14:14" ht="15" customHeight="1" x14ac:dyDescent="0.3">
      <c r="N1084" s="9"/>
    </row>
    <row r="1085" spans="14:14" ht="15" customHeight="1" x14ac:dyDescent="0.3">
      <c r="N1085" s="9"/>
    </row>
    <row r="1086" spans="14:14" ht="15" customHeight="1" x14ac:dyDescent="0.3">
      <c r="N1086" s="9"/>
    </row>
    <row r="1087" spans="14:14" ht="15" customHeight="1" x14ac:dyDescent="0.3">
      <c r="N1087" s="9"/>
    </row>
    <row r="1088" spans="14:14" ht="15" customHeight="1" x14ac:dyDescent="0.3">
      <c r="N1088" s="9"/>
    </row>
    <row r="1089" spans="14:14" ht="15" customHeight="1" x14ac:dyDescent="0.3">
      <c r="N1089" s="9"/>
    </row>
    <row r="1090" spans="14:14" ht="15" customHeight="1" x14ac:dyDescent="0.3">
      <c r="N1090" s="9"/>
    </row>
    <row r="1091" spans="14:14" ht="15" customHeight="1" x14ac:dyDescent="0.3">
      <c r="N1091" s="9"/>
    </row>
    <row r="1092" spans="14:14" ht="15" customHeight="1" x14ac:dyDescent="0.3">
      <c r="N1092" s="9"/>
    </row>
    <row r="1093" spans="14:14" ht="15" customHeight="1" x14ac:dyDescent="0.3">
      <c r="N1093" s="9"/>
    </row>
    <row r="1094" spans="14:14" ht="15" customHeight="1" x14ac:dyDescent="0.3">
      <c r="N1094" s="9"/>
    </row>
    <row r="1095" spans="14:14" ht="15" customHeight="1" x14ac:dyDescent="0.3">
      <c r="N1095" s="9"/>
    </row>
    <row r="1096" spans="14:14" ht="15" customHeight="1" x14ac:dyDescent="0.3">
      <c r="N1096" s="9"/>
    </row>
    <row r="1097" spans="14:14" ht="15" customHeight="1" x14ac:dyDescent="0.3">
      <c r="N1097" s="9"/>
    </row>
    <row r="1098" spans="14:14" ht="15" customHeight="1" x14ac:dyDescent="0.3">
      <c r="N1098" s="9"/>
    </row>
    <row r="1099" spans="14:14" ht="15" customHeight="1" x14ac:dyDescent="0.3">
      <c r="N1099" s="9"/>
    </row>
    <row r="1100" spans="14:14" ht="15" customHeight="1" x14ac:dyDescent="0.3">
      <c r="N1100" s="9"/>
    </row>
    <row r="1101" spans="14:14" ht="15" customHeight="1" x14ac:dyDescent="0.3">
      <c r="N1101" s="9"/>
    </row>
    <row r="1102" spans="14:14" ht="15" customHeight="1" x14ac:dyDescent="0.3">
      <c r="N1102" s="9"/>
    </row>
    <row r="1103" spans="14:14" ht="15" customHeight="1" x14ac:dyDescent="0.3">
      <c r="N1103" s="9"/>
    </row>
    <row r="1104" spans="14:14" ht="15" customHeight="1" x14ac:dyDescent="0.3">
      <c r="N1104" s="9"/>
    </row>
    <row r="1105" spans="14:14" ht="15" customHeight="1" x14ac:dyDescent="0.3">
      <c r="N1105" s="9"/>
    </row>
    <row r="1106" spans="14:14" ht="15" customHeight="1" x14ac:dyDescent="0.3">
      <c r="N1106" s="9"/>
    </row>
    <row r="1107" spans="14:14" ht="15" customHeight="1" x14ac:dyDescent="0.3">
      <c r="N1107" s="9"/>
    </row>
    <row r="1108" spans="14:14" ht="15" customHeight="1" x14ac:dyDescent="0.3">
      <c r="N1108" s="9"/>
    </row>
    <row r="1109" spans="14:14" ht="15" customHeight="1" x14ac:dyDescent="0.3">
      <c r="N1109" s="9"/>
    </row>
    <row r="1110" spans="14:14" ht="15" customHeight="1" x14ac:dyDescent="0.3">
      <c r="N1110" s="9"/>
    </row>
    <row r="1111" spans="14:14" ht="15" customHeight="1" x14ac:dyDescent="0.3">
      <c r="N1111" s="9"/>
    </row>
    <row r="1112" spans="14:14" ht="15" customHeight="1" x14ac:dyDescent="0.3">
      <c r="N1112" s="9"/>
    </row>
    <row r="1113" spans="14:14" ht="15" customHeight="1" x14ac:dyDescent="0.3">
      <c r="N1113" s="9"/>
    </row>
    <row r="1114" spans="14:14" ht="15" customHeight="1" x14ac:dyDescent="0.3">
      <c r="N1114" s="9"/>
    </row>
    <row r="1115" spans="14:14" ht="15" customHeight="1" x14ac:dyDescent="0.3">
      <c r="N1115" s="9"/>
    </row>
    <row r="1116" spans="14:14" ht="15" customHeight="1" x14ac:dyDescent="0.3">
      <c r="N1116" s="9"/>
    </row>
    <row r="1117" spans="14:14" ht="15" customHeight="1" x14ac:dyDescent="0.3">
      <c r="N1117" s="9"/>
    </row>
    <row r="1118" spans="14:14" ht="15" customHeight="1" x14ac:dyDescent="0.3">
      <c r="N1118" s="9"/>
    </row>
    <row r="1119" spans="14:14" ht="15" customHeight="1" x14ac:dyDescent="0.3">
      <c r="N1119" s="9"/>
    </row>
    <row r="1120" spans="14:14" ht="15" customHeight="1" x14ac:dyDescent="0.3">
      <c r="N1120" s="9"/>
    </row>
    <row r="1121" spans="14:14" ht="15" customHeight="1" x14ac:dyDescent="0.3">
      <c r="N1121" s="9"/>
    </row>
    <row r="1122" spans="14:14" ht="15" customHeight="1" x14ac:dyDescent="0.3">
      <c r="N1122" s="9"/>
    </row>
    <row r="1123" spans="14:14" ht="15" customHeight="1" x14ac:dyDescent="0.3">
      <c r="N1123" s="9"/>
    </row>
    <row r="1124" spans="14:14" ht="15" customHeight="1" x14ac:dyDescent="0.3">
      <c r="N1124" s="9"/>
    </row>
    <row r="1125" spans="14:14" ht="15" customHeight="1" x14ac:dyDescent="0.3">
      <c r="N1125" s="9"/>
    </row>
    <row r="1126" spans="14:14" ht="15" customHeight="1" x14ac:dyDescent="0.3">
      <c r="N1126" s="9"/>
    </row>
    <row r="1127" spans="14:14" ht="15" customHeight="1" x14ac:dyDescent="0.3">
      <c r="N1127" s="9"/>
    </row>
    <row r="1128" spans="14:14" ht="15" customHeight="1" x14ac:dyDescent="0.3">
      <c r="N1128" s="9"/>
    </row>
    <row r="1129" spans="14:14" ht="15" customHeight="1" x14ac:dyDescent="0.3">
      <c r="N1129" s="9"/>
    </row>
    <row r="1130" spans="14:14" ht="15" customHeight="1" x14ac:dyDescent="0.3">
      <c r="N1130" s="9"/>
    </row>
    <row r="1131" spans="14:14" ht="15" customHeight="1" x14ac:dyDescent="0.3">
      <c r="N1131" s="9"/>
    </row>
    <row r="1132" spans="14:14" ht="15" customHeight="1" x14ac:dyDescent="0.3">
      <c r="N1132" s="9"/>
    </row>
    <row r="1133" spans="14:14" ht="15" customHeight="1" x14ac:dyDescent="0.3">
      <c r="N1133" s="9"/>
    </row>
    <row r="1134" spans="14:14" ht="15" customHeight="1" x14ac:dyDescent="0.3">
      <c r="N1134" s="9"/>
    </row>
    <row r="1135" spans="14:14" ht="15" customHeight="1" x14ac:dyDescent="0.3">
      <c r="N1135" s="9"/>
    </row>
    <row r="1136" spans="14:14" ht="15" customHeight="1" x14ac:dyDescent="0.3">
      <c r="N1136" s="9"/>
    </row>
    <row r="1137" spans="14:14" ht="15" customHeight="1" x14ac:dyDescent="0.3">
      <c r="N1137" s="9"/>
    </row>
    <row r="1138" spans="14:14" ht="15" customHeight="1" x14ac:dyDescent="0.3">
      <c r="N1138" s="9"/>
    </row>
    <row r="1139" spans="14:14" ht="15" customHeight="1" x14ac:dyDescent="0.3">
      <c r="N1139" s="9"/>
    </row>
    <row r="1140" spans="14:14" ht="15" customHeight="1" x14ac:dyDescent="0.3">
      <c r="N1140" s="9"/>
    </row>
    <row r="1141" spans="14:14" ht="15" customHeight="1" x14ac:dyDescent="0.3">
      <c r="N1141" s="9"/>
    </row>
    <row r="1142" spans="14:14" ht="15" customHeight="1" x14ac:dyDescent="0.3">
      <c r="N1142" s="9"/>
    </row>
    <row r="1143" spans="14:14" ht="15" customHeight="1" x14ac:dyDescent="0.3">
      <c r="N1143" s="9"/>
    </row>
    <row r="1144" spans="14:14" ht="15" customHeight="1" x14ac:dyDescent="0.3">
      <c r="N1144" s="9"/>
    </row>
    <row r="1145" spans="14:14" ht="15" customHeight="1" x14ac:dyDescent="0.3">
      <c r="N1145" s="9"/>
    </row>
    <row r="1146" spans="14:14" ht="15" customHeight="1" x14ac:dyDescent="0.3">
      <c r="N1146" s="9"/>
    </row>
    <row r="1147" spans="14:14" ht="15" customHeight="1" x14ac:dyDescent="0.3">
      <c r="N1147" s="9"/>
    </row>
    <row r="1148" spans="14:14" ht="15" customHeight="1" x14ac:dyDescent="0.3">
      <c r="N1148" s="9"/>
    </row>
    <row r="1149" spans="14:14" ht="15" customHeight="1" x14ac:dyDescent="0.3">
      <c r="N1149" s="9"/>
    </row>
    <row r="1150" spans="14:14" ht="15" customHeight="1" x14ac:dyDescent="0.3">
      <c r="N1150" s="9"/>
    </row>
    <row r="1151" spans="14:14" ht="15" customHeight="1" x14ac:dyDescent="0.3">
      <c r="N1151" s="9"/>
    </row>
    <row r="1152" spans="14:14" ht="15" customHeight="1" x14ac:dyDescent="0.3">
      <c r="N1152" s="9"/>
    </row>
    <row r="1153" spans="14:14" ht="15" customHeight="1" x14ac:dyDescent="0.3">
      <c r="N1153" s="9"/>
    </row>
    <row r="1154" spans="14:14" ht="15" customHeight="1" x14ac:dyDescent="0.3">
      <c r="N1154" s="9"/>
    </row>
    <row r="1155" spans="14:14" ht="15" customHeight="1" x14ac:dyDescent="0.3">
      <c r="N1155" s="9"/>
    </row>
    <row r="1156" spans="14:14" ht="15" customHeight="1" x14ac:dyDescent="0.3">
      <c r="N1156" s="9"/>
    </row>
    <row r="1157" spans="14:14" ht="15" customHeight="1" x14ac:dyDescent="0.3">
      <c r="N1157" s="9"/>
    </row>
    <row r="1158" spans="14:14" ht="15" customHeight="1" x14ac:dyDescent="0.3">
      <c r="N1158" s="9"/>
    </row>
    <row r="1159" spans="14:14" ht="15" customHeight="1" x14ac:dyDescent="0.3">
      <c r="N1159" s="9"/>
    </row>
    <row r="1160" spans="14:14" ht="15" customHeight="1" x14ac:dyDescent="0.3">
      <c r="N1160" s="9"/>
    </row>
    <row r="1161" spans="14:14" ht="15" customHeight="1" x14ac:dyDescent="0.3">
      <c r="N1161" s="9"/>
    </row>
    <row r="1162" spans="14:14" ht="15" customHeight="1" x14ac:dyDescent="0.3">
      <c r="N1162" s="9"/>
    </row>
    <row r="1163" spans="14:14" ht="15" customHeight="1" x14ac:dyDescent="0.3">
      <c r="N1163" s="9"/>
    </row>
    <row r="1164" spans="14:14" ht="15" customHeight="1" x14ac:dyDescent="0.3">
      <c r="N1164" s="9"/>
    </row>
    <row r="1165" spans="14:14" ht="15" customHeight="1" x14ac:dyDescent="0.3">
      <c r="N1165" s="9"/>
    </row>
    <row r="1166" spans="14:14" ht="15" customHeight="1" x14ac:dyDescent="0.3">
      <c r="N1166" s="9"/>
    </row>
    <row r="1167" spans="14:14" ht="15" customHeight="1" x14ac:dyDescent="0.3">
      <c r="N1167" s="9"/>
    </row>
    <row r="1168" spans="14:14" ht="15" customHeight="1" x14ac:dyDescent="0.3">
      <c r="N1168" s="9"/>
    </row>
    <row r="1169" spans="14:14" ht="15" customHeight="1" x14ac:dyDescent="0.3">
      <c r="N1169" s="9"/>
    </row>
    <row r="1170" spans="14:14" ht="15" customHeight="1" x14ac:dyDescent="0.3">
      <c r="N1170" s="9"/>
    </row>
    <row r="1171" spans="14:14" ht="15" customHeight="1" x14ac:dyDescent="0.3">
      <c r="N1171" s="9"/>
    </row>
    <row r="1172" spans="14:14" ht="15" customHeight="1" x14ac:dyDescent="0.3">
      <c r="N1172" s="9"/>
    </row>
    <row r="1173" spans="14:14" ht="15" customHeight="1" x14ac:dyDescent="0.3">
      <c r="N1173" s="9"/>
    </row>
    <row r="1174" spans="14:14" ht="15" customHeight="1" x14ac:dyDescent="0.3">
      <c r="N1174" s="9"/>
    </row>
    <row r="1175" spans="14:14" ht="15" customHeight="1" x14ac:dyDescent="0.3">
      <c r="N1175" s="9"/>
    </row>
    <row r="1176" spans="14:14" ht="15" customHeight="1" x14ac:dyDescent="0.3">
      <c r="N1176" s="9"/>
    </row>
    <row r="1177" spans="14:14" ht="15" customHeight="1" x14ac:dyDescent="0.3">
      <c r="N1177" s="9"/>
    </row>
    <row r="1178" spans="14:14" ht="15" customHeight="1" x14ac:dyDescent="0.3">
      <c r="N1178" s="9"/>
    </row>
    <row r="1179" spans="14:14" ht="15" customHeight="1" x14ac:dyDescent="0.3">
      <c r="N1179" s="9"/>
    </row>
    <row r="1180" spans="14:14" ht="15" customHeight="1" x14ac:dyDescent="0.3">
      <c r="N1180" s="9"/>
    </row>
    <row r="1181" spans="14:14" ht="15" customHeight="1" x14ac:dyDescent="0.3">
      <c r="N1181" s="9"/>
    </row>
    <row r="1182" spans="14:14" ht="15" customHeight="1" x14ac:dyDescent="0.3">
      <c r="N1182" s="9"/>
    </row>
    <row r="1183" spans="14:14" ht="15" customHeight="1" x14ac:dyDescent="0.3">
      <c r="N1183" s="9"/>
    </row>
    <row r="1184" spans="14:14" ht="15" customHeight="1" x14ac:dyDescent="0.3">
      <c r="N1184" s="9"/>
    </row>
    <row r="1185" spans="14:14" ht="15" customHeight="1" x14ac:dyDescent="0.3">
      <c r="N1185" s="9"/>
    </row>
    <row r="1186" spans="14:14" ht="15" customHeight="1" x14ac:dyDescent="0.3">
      <c r="N1186" s="9"/>
    </row>
    <row r="1187" spans="14:14" ht="15" customHeight="1" x14ac:dyDescent="0.3">
      <c r="N1187" s="9"/>
    </row>
    <row r="1188" spans="14:14" ht="15" customHeight="1" x14ac:dyDescent="0.3">
      <c r="N1188" s="9"/>
    </row>
    <row r="1189" spans="14:14" ht="15" customHeight="1" x14ac:dyDescent="0.3">
      <c r="N1189" s="9"/>
    </row>
    <row r="1190" spans="14:14" ht="15" customHeight="1" x14ac:dyDescent="0.3">
      <c r="N1190" s="9"/>
    </row>
    <row r="1191" spans="14:14" ht="15" customHeight="1" x14ac:dyDescent="0.3">
      <c r="N1191" s="9"/>
    </row>
    <row r="1192" spans="14:14" ht="15" customHeight="1" x14ac:dyDescent="0.3">
      <c r="N1192" s="9"/>
    </row>
    <row r="1193" spans="14:14" ht="15" customHeight="1" x14ac:dyDescent="0.3">
      <c r="N1193" s="9"/>
    </row>
    <row r="1194" spans="14:14" ht="15" customHeight="1" x14ac:dyDescent="0.3">
      <c r="N1194" s="9"/>
    </row>
    <row r="1195" spans="14:14" ht="15" customHeight="1" x14ac:dyDescent="0.3">
      <c r="N1195" s="9"/>
    </row>
    <row r="1196" spans="14:14" ht="15" customHeight="1" x14ac:dyDescent="0.3">
      <c r="N1196" s="9"/>
    </row>
    <row r="1197" spans="14:14" ht="15" customHeight="1" x14ac:dyDescent="0.3">
      <c r="N1197" s="9"/>
    </row>
    <row r="1198" spans="14:14" ht="15" customHeight="1" x14ac:dyDescent="0.3">
      <c r="N1198" s="9"/>
    </row>
    <row r="1199" spans="14:14" ht="15" customHeight="1" x14ac:dyDescent="0.3">
      <c r="N1199" s="9"/>
    </row>
    <row r="1200" spans="14:14" ht="15" customHeight="1" x14ac:dyDescent="0.3">
      <c r="N1200" s="9"/>
    </row>
    <row r="1201" spans="14:14" ht="15" customHeight="1" x14ac:dyDescent="0.3">
      <c r="N1201" s="9"/>
    </row>
    <row r="1202" spans="14:14" ht="15" customHeight="1" x14ac:dyDescent="0.3">
      <c r="N1202" s="9"/>
    </row>
    <row r="1203" spans="14:14" ht="15" customHeight="1" x14ac:dyDescent="0.3">
      <c r="N1203" s="9"/>
    </row>
    <row r="1204" spans="14:14" ht="15" customHeight="1" x14ac:dyDescent="0.3">
      <c r="N1204" s="9"/>
    </row>
    <row r="1205" spans="14:14" ht="15" customHeight="1" x14ac:dyDescent="0.3">
      <c r="N1205" s="9"/>
    </row>
    <row r="1206" spans="14:14" ht="15" customHeight="1" x14ac:dyDescent="0.3">
      <c r="N1206" s="9"/>
    </row>
    <row r="1207" spans="14:14" ht="15" customHeight="1" x14ac:dyDescent="0.3">
      <c r="N1207" s="9"/>
    </row>
    <row r="1208" spans="14:14" ht="15" customHeight="1" x14ac:dyDescent="0.3">
      <c r="N1208" s="9"/>
    </row>
    <row r="1209" spans="14:14" ht="15" customHeight="1" x14ac:dyDescent="0.3">
      <c r="N1209" s="9"/>
    </row>
    <row r="1210" spans="14:14" ht="15" customHeight="1" x14ac:dyDescent="0.3">
      <c r="N1210" s="9"/>
    </row>
    <row r="1211" spans="14:14" ht="15" customHeight="1" x14ac:dyDescent="0.3">
      <c r="N1211" s="9"/>
    </row>
    <row r="1212" spans="14:14" ht="15" customHeight="1" x14ac:dyDescent="0.3">
      <c r="N1212" s="9"/>
    </row>
    <row r="1213" spans="14:14" ht="15" customHeight="1" x14ac:dyDescent="0.3">
      <c r="N1213" s="9"/>
    </row>
    <row r="1214" spans="14:14" ht="15" customHeight="1" x14ac:dyDescent="0.3">
      <c r="N1214" s="9"/>
    </row>
    <row r="1215" spans="14:14" ht="15" customHeight="1" x14ac:dyDescent="0.3">
      <c r="N1215" s="9"/>
    </row>
    <row r="1216" spans="14:14" ht="15" customHeight="1" x14ac:dyDescent="0.3">
      <c r="N1216" s="9"/>
    </row>
    <row r="1217" spans="14:14" ht="15" customHeight="1" x14ac:dyDescent="0.3">
      <c r="N1217" s="9"/>
    </row>
    <row r="1218" spans="14:14" ht="15" customHeight="1" x14ac:dyDescent="0.3">
      <c r="N1218" s="9"/>
    </row>
    <row r="1219" spans="14:14" ht="15" customHeight="1" x14ac:dyDescent="0.3">
      <c r="N1219" s="9"/>
    </row>
    <row r="1220" spans="14:14" ht="15" customHeight="1" x14ac:dyDescent="0.3">
      <c r="N1220" s="9"/>
    </row>
    <row r="1221" spans="14:14" ht="15" customHeight="1" x14ac:dyDescent="0.3">
      <c r="N1221" s="9"/>
    </row>
    <row r="1222" spans="14:14" ht="15" customHeight="1" x14ac:dyDescent="0.3">
      <c r="N1222" s="9"/>
    </row>
    <row r="1223" spans="14:14" ht="15" customHeight="1" x14ac:dyDescent="0.3">
      <c r="N1223" s="9"/>
    </row>
    <row r="1224" spans="14:14" ht="15" customHeight="1" x14ac:dyDescent="0.3">
      <c r="N1224" s="9"/>
    </row>
    <row r="1225" spans="14:14" ht="15" customHeight="1" x14ac:dyDescent="0.3">
      <c r="N1225" s="9"/>
    </row>
    <row r="1226" spans="14:14" ht="15" customHeight="1" x14ac:dyDescent="0.3">
      <c r="N1226" s="9"/>
    </row>
    <row r="1227" spans="14:14" ht="15" customHeight="1" x14ac:dyDescent="0.3">
      <c r="N1227" s="9"/>
    </row>
    <row r="1228" spans="14:14" ht="15" customHeight="1" x14ac:dyDescent="0.3">
      <c r="N1228" s="9"/>
    </row>
    <row r="1229" spans="14:14" ht="15" customHeight="1" x14ac:dyDescent="0.3">
      <c r="N1229" s="9"/>
    </row>
    <row r="1230" spans="14:14" ht="15" customHeight="1" x14ac:dyDescent="0.3">
      <c r="N1230" s="9"/>
    </row>
    <row r="1231" spans="14:14" ht="15" customHeight="1" x14ac:dyDescent="0.3">
      <c r="N1231" s="9"/>
    </row>
    <row r="1232" spans="14:14" ht="15" customHeight="1" x14ac:dyDescent="0.3">
      <c r="N1232" s="9"/>
    </row>
    <row r="1233" spans="14:14" ht="15" customHeight="1" x14ac:dyDescent="0.3">
      <c r="N1233" s="9"/>
    </row>
    <row r="1234" spans="14:14" ht="15" customHeight="1" x14ac:dyDescent="0.3">
      <c r="N1234" s="9"/>
    </row>
    <row r="1235" spans="14:14" ht="15" customHeight="1" x14ac:dyDescent="0.3">
      <c r="N1235" s="9"/>
    </row>
    <row r="1236" spans="14:14" ht="15" customHeight="1" x14ac:dyDescent="0.3">
      <c r="N1236" s="9"/>
    </row>
    <row r="1237" spans="14:14" ht="15" customHeight="1" x14ac:dyDescent="0.3">
      <c r="N1237" s="9"/>
    </row>
    <row r="1238" spans="14:14" ht="15" customHeight="1" x14ac:dyDescent="0.3">
      <c r="N1238" s="9"/>
    </row>
    <row r="1239" spans="14:14" ht="15" customHeight="1" x14ac:dyDescent="0.3">
      <c r="N1239" s="9"/>
    </row>
    <row r="1240" spans="14:14" ht="15" customHeight="1" x14ac:dyDescent="0.3">
      <c r="N1240" s="9"/>
    </row>
    <row r="1241" spans="14:14" ht="15" customHeight="1" x14ac:dyDescent="0.3">
      <c r="N1241" s="9"/>
    </row>
    <row r="1242" spans="14:14" ht="15" customHeight="1" x14ac:dyDescent="0.3">
      <c r="N1242" s="9"/>
    </row>
    <row r="1243" spans="14:14" ht="15" customHeight="1" x14ac:dyDescent="0.3">
      <c r="N1243" s="9"/>
    </row>
    <row r="1244" spans="14:14" ht="15" customHeight="1" x14ac:dyDescent="0.3">
      <c r="N1244" s="9"/>
    </row>
    <row r="1245" spans="14:14" ht="15" customHeight="1" x14ac:dyDescent="0.3">
      <c r="N1245" s="9"/>
    </row>
    <row r="1246" spans="14:14" ht="15" customHeight="1" x14ac:dyDescent="0.3">
      <c r="N1246" s="9"/>
    </row>
    <row r="1247" spans="14:14" ht="15" customHeight="1" x14ac:dyDescent="0.3">
      <c r="N1247" s="9"/>
    </row>
    <row r="1248" spans="14:14" ht="15" customHeight="1" x14ac:dyDescent="0.3">
      <c r="N1248" s="9"/>
    </row>
    <row r="1249" spans="14:14" ht="15" customHeight="1" x14ac:dyDescent="0.3">
      <c r="N1249" s="9"/>
    </row>
    <row r="1250" spans="14:14" ht="15" customHeight="1" x14ac:dyDescent="0.3">
      <c r="N1250" s="9"/>
    </row>
    <row r="1251" spans="14:14" ht="15" customHeight="1" x14ac:dyDescent="0.3">
      <c r="N1251" s="9"/>
    </row>
    <row r="1252" spans="14:14" ht="15" customHeight="1" x14ac:dyDescent="0.3">
      <c r="N1252" s="9"/>
    </row>
    <row r="1253" spans="14:14" ht="15" customHeight="1" x14ac:dyDescent="0.3">
      <c r="N1253" s="9"/>
    </row>
    <row r="1254" spans="14:14" ht="15" customHeight="1" x14ac:dyDescent="0.3">
      <c r="N1254" s="9"/>
    </row>
    <row r="1255" spans="14:14" ht="15" customHeight="1" x14ac:dyDescent="0.3">
      <c r="N1255" s="9"/>
    </row>
    <row r="1256" spans="14:14" ht="15" customHeight="1" x14ac:dyDescent="0.3">
      <c r="N1256" s="9"/>
    </row>
    <row r="1257" spans="14:14" ht="15" customHeight="1" x14ac:dyDescent="0.3">
      <c r="N1257" s="9"/>
    </row>
    <row r="1258" spans="14:14" ht="15" customHeight="1" x14ac:dyDescent="0.3">
      <c r="N1258" s="9"/>
    </row>
    <row r="1259" spans="14:14" ht="15" customHeight="1" x14ac:dyDescent="0.3">
      <c r="N1259" s="9"/>
    </row>
    <row r="1260" spans="14:14" ht="15" customHeight="1" x14ac:dyDescent="0.3">
      <c r="N1260" s="9"/>
    </row>
    <row r="1261" spans="14:14" ht="15" customHeight="1" x14ac:dyDescent="0.3">
      <c r="N1261" s="9"/>
    </row>
    <row r="1262" spans="14:14" ht="15" customHeight="1" x14ac:dyDescent="0.3">
      <c r="N1262" s="9"/>
    </row>
    <row r="1263" spans="14:14" ht="15" customHeight="1" x14ac:dyDescent="0.3">
      <c r="N1263" s="9"/>
    </row>
    <row r="1264" spans="14:14" ht="15" customHeight="1" x14ac:dyDescent="0.3">
      <c r="N1264" s="9"/>
    </row>
    <row r="1265" spans="14:14" ht="15" customHeight="1" x14ac:dyDescent="0.3">
      <c r="N1265" s="9"/>
    </row>
    <row r="1266" spans="14:14" ht="15" customHeight="1" x14ac:dyDescent="0.3">
      <c r="N1266" s="9"/>
    </row>
    <row r="1267" spans="14:14" ht="15" customHeight="1" x14ac:dyDescent="0.3">
      <c r="N1267" s="9"/>
    </row>
    <row r="1268" spans="14:14" ht="15" customHeight="1" x14ac:dyDescent="0.3">
      <c r="N1268" s="9"/>
    </row>
    <row r="1269" spans="14:14" ht="15" customHeight="1" x14ac:dyDescent="0.3">
      <c r="N1269" s="9"/>
    </row>
    <row r="1270" spans="14:14" ht="15" customHeight="1" x14ac:dyDescent="0.3">
      <c r="N1270" s="9"/>
    </row>
    <row r="1271" spans="14:14" ht="15" customHeight="1" x14ac:dyDescent="0.3">
      <c r="N1271" s="9"/>
    </row>
    <row r="1272" spans="14:14" ht="15" customHeight="1" x14ac:dyDescent="0.3">
      <c r="N1272" s="9"/>
    </row>
    <row r="1273" spans="14:14" ht="15" customHeight="1" x14ac:dyDescent="0.3">
      <c r="N1273" s="9"/>
    </row>
    <row r="1274" spans="14:14" ht="15" customHeight="1" x14ac:dyDescent="0.3">
      <c r="N1274" s="9"/>
    </row>
    <row r="1275" spans="14:14" ht="15" customHeight="1" x14ac:dyDescent="0.3">
      <c r="N1275" s="9"/>
    </row>
    <row r="1276" spans="14:14" ht="15" customHeight="1" x14ac:dyDescent="0.3">
      <c r="N1276" s="9"/>
    </row>
    <row r="1277" spans="14:14" ht="15" customHeight="1" x14ac:dyDescent="0.3">
      <c r="N1277" s="9"/>
    </row>
    <row r="1278" spans="14:14" ht="15" customHeight="1" x14ac:dyDescent="0.3">
      <c r="N1278" s="9"/>
    </row>
    <row r="1279" spans="14:14" ht="15" customHeight="1" x14ac:dyDescent="0.3">
      <c r="N1279" s="9"/>
    </row>
    <row r="1280" spans="14:14" ht="15" customHeight="1" x14ac:dyDescent="0.3">
      <c r="N1280" s="9"/>
    </row>
    <row r="1281" spans="14:14" ht="15" customHeight="1" x14ac:dyDescent="0.3">
      <c r="N1281" s="9"/>
    </row>
    <row r="1282" spans="14:14" ht="15" customHeight="1" x14ac:dyDescent="0.3">
      <c r="N1282" s="9"/>
    </row>
    <row r="1283" spans="14:14" ht="15" customHeight="1" x14ac:dyDescent="0.3">
      <c r="N1283" s="9"/>
    </row>
    <row r="1284" spans="14:14" ht="15" customHeight="1" x14ac:dyDescent="0.3">
      <c r="N1284" s="9"/>
    </row>
    <row r="1285" spans="14:14" ht="15" customHeight="1" x14ac:dyDescent="0.3">
      <c r="N1285" s="9"/>
    </row>
    <row r="1286" spans="14:14" ht="15" customHeight="1" x14ac:dyDescent="0.3">
      <c r="N1286" s="9"/>
    </row>
    <row r="1287" spans="14:14" ht="15" customHeight="1" x14ac:dyDescent="0.3">
      <c r="N1287" s="9"/>
    </row>
    <row r="1288" spans="14:14" ht="15" customHeight="1" x14ac:dyDescent="0.3">
      <c r="N1288" s="9"/>
    </row>
    <row r="1289" spans="14:14" ht="15" customHeight="1" x14ac:dyDescent="0.3">
      <c r="N1289" s="9"/>
    </row>
    <row r="1290" spans="14:14" ht="15" customHeight="1" x14ac:dyDescent="0.3">
      <c r="N1290" s="9"/>
    </row>
    <row r="1291" spans="14:14" ht="15" customHeight="1" x14ac:dyDescent="0.3">
      <c r="N1291" s="9"/>
    </row>
    <row r="1292" spans="14:14" ht="15" customHeight="1" x14ac:dyDescent="0.3">
      <c r="N1292" s="9"/>
    </row>
    <row r="1293" spans="14:14" ht="15" customHeight="1" x14ac:dyDescent="0.3">
      <c r="N1293" s="9"/>
    </row>
    <row r="1294" spans="14:14" ht="15" customHeight="1" x14ac:dyDescent="0.3">
      <c r="N1294" s="9"/>
    </row>
    <row r="1295" spans="14:14" ht="15" customHeight="1" x14ac:dyDescent="0.3">
      <c r="N1295" s="9"/>
    </row>
    <row r="1296" spans="14:14" ht="15" customHeight="1" x14ac:dyDescent="0.3">
      <c r="N1296" s="9"/>
    </row>
    <row r="1297" spans="14:14" ht="15" customHeight="1" x14ac:dyDescent="0.3">
      <c r="N1297" s="9"/>
    </row>
    <row r="1298" spans="14:14" ht="15" customHeight="1" x14ac:dyDescent="0.3">
      <c r="N1298" s="9"/>
    </row>
    <row r="1299" spans="14:14" ht="15" customHeight="1" x14ac:dyDescent="0.3">
      <c r="N1299" s="9"/>
    </row>
    <row r="1300" spans="14:14" ht="15" customHeight="1" x14ac:dyDescent="0.3">
      <c r="N1300" s="9"/>
    </row>
    <row r="1301" spans="14:14" ht="15" customHeight="1" x14ac:dyDescent="0.3">
      <c r="N1301" s="9"/>
    </row>
    <row r="1302" spans="14:14" ht="15" customHeight="1" x14ac:dyDescent="0.3">
      <c r="N1302" s="9"/>
    </row>
    <row r="1303" spans="14:14" ht="15" customHeight="1" x14ac:dyDescent="0.3">
      <c r="N1303" s="9"/>
    </row>
    <row r="1304" spans="14:14" ht="15" customHeight="1" x14ac:dyDescent="0.3">
      <c r="N1304" s="9"/>
    </row>
    <row r="1305" spans="14:14" ht="15" customHeight="1" x14ac:dyDescent="0.3">
      <c r="N1305" s="9"/>
    </row>
    <row r="1306" spans="14:14" ht="15" customHeight="1" x14ac:dyDescent="0.3">
      <c r="N1306" s="9"/>
    </row>
    <row r="1307" spans="14:14" ht="15" customHeight="1" x14ac:dyDescent="0.3">
      <c r="N1307" s="9"/>
    </row>
    <row r="1308" spans="14:14" ht="15" customHeight="1" x14ac:dyDescent="0.3">
      <c r="N1308" s="9"/>
    </row>
    <row r="1309" spans="14:14" ht="15" customHeight="1" x14ac:dyDescent="0.3">
      <c r="N1309" s="9"/>
    </row>
    <row r="1310" spans="14:14" ht="15" customHeight="1" x14ac:dyDescent="0.3">
      <c r="N1310" s="9"/>
    </row>
    <row r="1311" spans="14:14" ht="15" customHeight="1" x14ac:dyDescent="0.3">
      <c r="N1311" s="9"/>
    </row>
    <row r="1312" spans="14:14" ht="15" customHeight="1" x14ac:dyDescent="0.3">
      <c r="N1312" s="9"/>
    </row>
    <row r="1313" spans="14:14" ht="15" customHeight="1" x14ac:dyDescent="0.3">
      <c r="N1313" s="9"/>
    </row>
    <row r="1314" spans="14:14" ht="15" customHeight="1" x14ac:dyDescent="0.3">
      <c r="N1314" s="9"/>
    </row>
    <row r="1315" spans="14:14" ht="15" customHeight="1" x14ac:dyDescent="0.3">
      <c r="N1315" s="9"/>
    </row>
    <row r="1316" spans="14:14" ht="15" customHeight="1" x14ac:dyDescent="0.3">
      <c r="N1316" s="9"/>
    </row>
    <row r="1317" spans="14:14" ht="15" customHeight="1" x14ac:dyDescent="0.3">
      <c r="N1317" s="9"/>
    </row>
    <row r="1318" spans="14:14" ht="15" customHeight="1" x14ac:dyDescent="0.3">
      <c r="N1318" s="9"/>
    </row>
    <row r="1319" spans="14:14" ht="15" customHeight="1" x14ac:dyDescent="0.3">
      <c r="N1319" s="9"/>
    </row>
    <row r="1320" spans="14:14" ht="15" customHeight="1" x14ac:dyDescent="0.3">
      <c r="N1320" s="9"/>
    </row>
    <row r="1321" spans="14:14" ht="15" customHeight="1" x14ac:dyDescent="0.3">
      <c r="N1321" s="9"/>
    </row>
    <row r="1322" spans="14:14" ht="15" customHeight="1" x14ac:dyDescent="0.3">
      <c r="N1322" s="9"/>
    </row>
    <row r="1323" spans="14:14" ht="15" customHeight="1" x14ac:dyDescent="0.3">
      <c r="N1323" s="9"/>
    </row>
    <row r="1324" spans="14:14" ht="15" customHeight="1" x14ac:dyDescent="0.3">
      <c r="N1324" s="9"/>
    </row>
    <row r="1325" spans="14:14" ht="15" customHeight="1" x14ac:dyDescent="0.3">
      <c r="N1325" s="9"/>
    </row>
    <row r="1326" spans="14:14" ht="15" customHeight="1" x14ac:dyDescent="0.3">
      <c r="N1326" s="9"/>
    </row>
    <row r="1327" spans="14:14" ht="15" customHeight="1" x14ac:dyDescent="0.3">
      <c r="N1327" s="9"/>
    </row>
    <row r="1328" spans="14:14" ht="15" customHeight="1" x14ac:dyDescent="0.3">
      <c r="N1328" s="9"/>
    </row>
    <row r="1329" spans="14:14" ht="15" customHeight="1" x14ac:dyDescent="0.3">
      <c r="N1329" s="9"/>
    </row>
    <row r="1330" spans="14:14" ht="15" customHeight="1" x14ac:dyDescent="0.3">
      <c r="N1330" s="9"/>
    </row>
    <row r="1331" spans="14:14" ht="15" customHeight="1" x14ac:dyDescent="0.3">
      <c r="N1331" s="9"/>
    </row>
    <row r="1332" spans="14:14" ht="15" customHeight="1" x14ac:dyDescent="0.3">
      <c r="N1332" s="9"/>
    </row>
    <row r="1333" spans="14:14" ht="15" customHeight="1" x14ac:dyDescent="0.3">
      <c r="N1333" s="9"/>
    </row>
    <row r="1334" spans="14:14" ht="15" customHeight="1" x14ac:dyDescent="0.3">
      <c r="N1334" s="9"/>
    </row>
    <row r="1335" spans="14:14" ht="15" customHeight="1" x14ac:dyDescent="0.3">
      <c r="N1335" s="9"/>
    </row>
    <row r="1336" spans="14:14" ht="15" customHeight="1" x14ac:dyDescent="0.3">
      <c r="N1336" s="9"/>
    </row>
    <row r="1337" spans="14:14" ht="15" customHeight="1" x14ac:dyDescent="0.3">
      <c r="N1337" s="9"/>
    </row>
    <row r="1338" spans="14:14" ht="15" customHeight="1" x14ac:dyDescent="0.3">
      <c r="N1338" s="9"/>
    </row>
    <row r="1339" spans="14:14" ht="15" customHeight="1" x14ac:dyDescent="0.3">
      <c r="N1339" s="9"/>
    </row>
    <row r="1340" spans="14:14" ht="15" customHeight="1" x14ac:dyDescent="0.3">
      <c r="N1340" s="9"/>
    </row>
    <row r="1341" spans="14:14" ht="15" customHeight="1" x14ac:dyDescent="0.3">
      <c r="N1341" s="9"/>
    </row>
    <row r="1342" spans="14:14" ht="15" customHeight="1" x14ac:dyDescent="0.3">
      <c r="N1342" s="9"/>
    </row>
    <row r="1343" spans="14:14" ht="15" customHeight="1" x14ac:dyDescent="0.3">
      <c r="N1343" s="9"/>
    </row>
    <row r="1344" spans="14:14" ht="15" customHeight="1" x14ac:dyDescent="0.3">
      <c r="N1344" s="9"/>
    </row>
    <row r="1345" spans="14:14" ht="15" customHeight="1" x14ac:dyDescent="0.3">
      <c r="N1345" s="9"/>
    </row>
    <row r="1346" spans="14:14" ht="15" customHeight="1" x14ac:dyDescent="0.3">
      <c r="N1346" s="9"/>
    </row>
    <row r="1347" spans="14:14" ht="15" customHeight="1" x14ac:dyDescent="0.3">
      <c r="N1347" s="9"/>
    </row>
    <row r="1348" spans="14:14" ht="15" customHeight="1" x14ac:dyDescent="0.3">
      <c r="N1348" s="9"/>
    </row>
    <row r="1349" spans="14:14" ht="15" customHeight="1" x14ac:dyDescent="0.3">
      <c r="N1349" s="9"/>
    </row>
    <row r="1350" spans="14:14" ht="15" customHeight="1" x14ac:dyDescent="0.3">
      <c r="N1350" s="9"/>
    </row>
    <row r="1351" spans="14:14" ht="15" customHeight="1" x14ac:dyDescent="0.3">
      <c r="N1351" s="9"/>
    </row>
    <row r="1352" spans="14:14" ht="15" customHeight="1" x14ac:dyDescent="0.3">
      <c r="N1352" s="9"/>
    </row>
    <row r="1353" spans="14:14" ht="15" customHeight="1" x14ac:dyDescent="0.3">
      <c r="N1353" s="9"/>
    </row>
    <row r="1354" spans="14:14" ht="15" customHeight="1" x14ac:dyDescent="0.3">
      <c r="N1354" s="9"/>
    </row>
    <row r="1355" spans="14:14" ht="15" customHeight="1" x14ac:dyDescent="0.3">
      <c r="N1355" s="9"/>
    </row>
    <row r="1356" spans="14:14" ht="15" customHeight="1" x14ac:dyDescent="0.3">
      <c r="N1356" s="9"/>
    </row>
    <row r="1357" spans="14:14" ht="15" customHeight="1" x14ac:dyDescent="0.3">
      <c r="N1357" s="9"/>
    </row>
    <row r="1358" spans="14:14" ht="15" customHeight="1" x14ac:dyDescent="0.3">
      <c r="N1358" s="9"/>
    </row>
    <row r="1359" spans="14:14" ht="15" customHeight="1" x14ac:dyDescent="0.3">
      <c r="N1359" s="9"/>
    </row>
    <row r="1360" spans="14:14" ht="15" customHeight="1" x14ac:dyDescent="0.3">
      <c r="N1360" s="9"/>
    </row>
    <row r="1361" spans="14:14" ht="15" customHeight="1" x14ac:dyDescent="0.3">
      <c r="N1361" s="9"/>
    </row>
    <row r="1362" spans="14:14" ht="15" customHeight="1" x14ac:dyDescent="0.3">
      <c r="N1362" s="9"/>
    </row>
    <row r="1363" spans="14:14" ht="15" customHeight="1" x14ac:dyDescent="0.3">
      <c r="N1363" s="9"/>
    </row>
    <row r="1364" spans="14:14" ht="15" customHeight="1" x14ac:dyDescent="0.3">
      <c r="N1364" s="9"/>
    </row>
    <row r="1365" spans="14:14" ht="15" customHeight="1" x14ac:dyDescent="0.3">
      <c r="N1365" s="9"/>
    </row>
    <row r="1366" spans="14:14" ht="15" customHeight="1" x14ac:dyDescent="0.3">
      <c r="N1366" s="9"/>
    </row>
    <row r="1367" spans="14:14" ht="15" customHeight="1" x14ac:dyDescent="0.3">
      <c r="N1367" s="9"/>
    </row>
    <row r="1368" spans="14:14" ht="15" customHeight="1" x14ac:dyDescent="0.3">
      <c r="N1368" s="9"/>
    </row>
    <row r="1369" spans="14:14" ht="15" customHeight="1" x14ac:dyDescent="0.3">
      <c r="N1369" s="9"/>
    </row>
    <row r="1370" spans="14:14" ht="15" customHeight="1" x14ac:dyDescent="0.3">
      <c r="N1370" s="9"/>
    </row>
    <row r="1371" spans="14:14" ht="15" customHeight="1" x14ac:dyDescent="0.3">
      <c r="N1371" s="9"/>
    </row>
    <row r="1372" spans="14:14" ht="15" customHeight="1" x14ac:dyDescent="0.3">
      <c r="N1372" s="9"/>
    </row>
    <row r="1373" spans="14:14" ht="15" customHeight="1" x14ac:dyDescent="0.3">
      <c r="N1373" s="9"/>
    </row>
    <row r="1374" spans="14:14" ht="15" customHeight="1" x14ac:dyDescent="0.3">
      <c r="N1374" s="9"/>
    </row>
    <row r="1375" spans="14:14" ht="15" customHeight="1" x14ac:dyDescent="0.3">
      <c r="N1375" s="9"/>
    </row>
    <row r="1376" spans="14:14" ht="15" customHeight="1" x14ac:dyDescent="0.3">
      <c r="N1376" s="9"/>
    </row>
    <row r="1377" spans="14:14" ht="15" customHeight="1" x14ac:dyDescent="0.3">
      <c r="N1377" s="9"/>
    </row>
    <row r="1378" spans="14:14" ht="15" customHeight="1" x14ac:dyDescent="0.3">
      <c r="N1378" s="9"/>
    </row>
    <row r="1379" spans="14:14" ht="15" customHeight="1" x14ac:dyDescent="0.3">
      <c r="N1379" s="9"/>
    </row>
    <row r="1380" spans="14:14" ht="15" customHeight="1" x14ac:dyDescent="0.3">
      <c r="N1380" s="9"/>
    </row>
    <row r="1381" spans="14:14" ht="15" customHeight="1" x14ac:dyDescent="0.3">
      <c r="N1381" s="9"/>
    </row>
    <row r="1382" spans="14:14" ht="15" customHeight="1" x14ac:dyDescent="0.3">
      <c r="N1382" s="9"/>
    </row>
    <row r="1383" spans="14:14" ht="15" customHeight="1" x14ac:dyDescent="0.3">
      <c r="N1383" s="9"/>
    </row>
    <row r="1384" spans="14:14" ht="15" customHeight="1" x14ac:dyDescent="0.3">
      <c r="N1384" s="9"/>
    </row>
    <row r="1385" spans="14:14" ht="15" customHeight="1" x14ac:dyDescent="0.3">
      <c r="N1385" s="9"/>
    </row>
    <row r="1386" spans="14:14" ht="15" customHeight="1" x14ac:dyDescent="0.3">
      <c r="N1386" s="9"/>
    </row>
    <row r="1387" spans="14:14" ht="15" customHeight="1" x14ac:dyDescent="0.3">
      <c r="N1387" s="9"/>
    </row>
    <row r="1388" spans="14:14" ht="15" customHeight="1" x14ac:dyDescent="0.3">
      <c r="N1388" s="9"/>
    </row>
    <row r="1389" spans="14:14" ht="15" customHeight="1" x14ac:dyDescent="0.3">
      <c r="N1389" s="9"/>
    </row>
    <row r="1390" spans="14:14" ht="15" customHeight="1" x14ac:dyDescent="0.3">
      <c r="N1390" s="9"/>
    </row>
    <row r="1391" spans="14:14" ht="15" customHeight="1" x14ac:dyDescent="0.3">
      <c r="N1391" s="9"/>
    </row>
    <row r="1392" spans="14:14" ht="15" customHeight="1" x14ac:dyDescent="0.3">
      <c r="N1392" s="9"/>
    </row>
    <row r="1393" spans="14:14" ht="15" customHeight="1" x14ac:dyDescent="0.3">
      <c r="N1393" s="9"/>
    </row>
    <row r="1394" spans="14:14" ht="15" customHeight="1" x14ac:dyDescent="0.3">
      <c r="N1394" s="9"/>
    </row>
    <row r="1395" spans="14:14" ht="15" customHeight="1" x14ac:dyDescent="0.3">
      <c r="N1395" s="9"/>
    </row>
    <row r="1396" spans="14:14" ht="15" customHeight="1" x14ac:dyDescent="0.3">
      <c r="N1396" s="9"/>
    </row>
    <row r="1397" spans="14:14" ht="15" customHeight="1" x14ac:dyDescent="0.3">
      <c r="N1397" s="9"/>
    </row>
    <row r="1398" spans="14:14" ht="15" customHeight="1" x14ac:dyDescent="0.3">
      <c r="N1398" s="9"/>
    </row>
    <row r="1399" spans="14:14" ht="15" customHeight="1" x14ac:dyDescent="0.3">
      <c r="N1399" s="9"/>
    </row>
    <row r="1400" spans="14:14" ht="15" customHeight="1" x14ac:dyDescent="0.3">
      <c r="N1400" s="9"/>
    </row>
    <row r="1401" spans="14:14" ht="15" customHeight="1" x14ac:dyDescent="0.3">
      <c r="N1401" s="9"/>
    </row>
    <row r="1402" spans="14:14" ht="15" customHeight="1" x14ac:dyDescent="0.3">
      <c r="N1402" s="9"/>
    </row>
    <row r="1403" spans="14:14" ht="15" customHeight="1" x14ac:dyDescent="0.3">
      <c r="N1403" s="9"/>
    </row>
    <row r="1404" spans="14:14" ht="15" customHeight="1" x14ac:dyDescent="0.3">
      <c r="N1404" s="9"/>
    </row>
    <row r="1405" spans="14:14" ht="15" customHeight="1" x14ac:dyDescent="0.3">
      <c r="N1405" s="9"/>
    </row>
    <row r="1406" spans="14:14" ht="15" customHeight="1" x14ac:dyDescent="0.3">
      <c r="N1406" s="9"/>
    </row>
    <row r="1407" spans="14:14" ht="15" customHeight="1" x14ac:dyDescent="0.3">
      <c r="N1407" s="9"/>
    </row>
    <row r="1408" spans="14:14" ht="15" customHeight="1" x14ac:dyDescent="0.3">
      <c r="N1408" s="9"/>
    </row>
    <row r="1409" spans="14:14" ht="15" customHeight="1" x14ac:dyDescent="0.3">
      <c r="N1409" s="9"/>
    </row>
    <row r="1410" spans="14:14" ht="15" customHeight="1" x14ac:dyDescent="0.3">
      <c r="N1410" s="9"/>
    </row>
    <row r="1411" spans="14:14" ht="15" customHeight="1" x14ac:dyDescent="0.3">
      <c r="N1411" s="9"/>
    </row>
    <row r="1412" spans="14:14" ht="15" customHeight="1" x14ac:dyDescent="0.3">
      <c r="N1412" s="9"/>
    </row>
    <row r="1413" spans="14:14" ht="15" customHeight="1" x14ac:dyDescent="0.3">
      <c r="N1413" s="9"/>
    </row>
    <row r="1414" spans="14:14" ht="15" customHeight="1" x14ac:dyDescent="0.3">
      <c r="N1414" s="9"/>
    </row>
    <row r="1415" spans="14:14" ht="15" customHeight="1" x14ac:dyDescent="0.3">
      <c r="N1415" s="9"/>
    </row>
    <row r="1416" spans="14:14" ht="15" customHeight="1" x14ac:dyDescent="0.3">
      <c r="N1416" s="9"/>
    </row>
    <row r="1417" spans="14:14" ht="15" customHeight="1" x14ac:dyDescent="0.3">
      <c r="N1417" s="9"/>
    </row>
    <row r="1418" spans="14:14" ht="15" customHeight="1" x14ac:dyDescent="0.3">
      <c r="N1418" s="9"/>
    </row>
    <row r="1419" spans="14:14" ht="15" customHeight="1" x14ac:dyDescent="0.3">
      <c r="N1419" s="9"/>
    </row>
    <row r="1420" spans="14:14" ht="15" customHeight="1" x14ac:dyDescent="0.3">
      <c r="N1420" s="9"/>
    </row>
    <row r="1421" spans="14:14" ht="15" customHeight="1" x14ac:dyDescent="0.3">
      <c r="N1421" s="9"/>
    </row>
    <row r="1422" spans="14:14" ht="15" customHeight="1" x14ac:dyDescent="0.3">
      <c r="N1422" s="9"/>
    </row>
    <row r="1423" spans="14:14" ht="15" customHeight="1" x14ac:dyDescent="0.3">
      <c r="N1423" s="9"/>
    </row>
    <row r="1424" spans="14:14" ht="15" customHeight="1" x14ac:dyDescent="0.3">
      <c r="N1424" s="9"/>
    </row>
    <row r="1425" spans="14:14" ht="15" customHeight="1" x14ac:dyDescent="0.3">
      <c r="N1425" s="9"/>
    </row>
    <row r="1426" spans="14:14" ht="15" customHeight="1" x14ac:dyDescent="0.3">
      <c r="N1426" s="9"/>
    </row>
    <row r="1427" spans="14:14" ht="15" customHeight="1" x14ac:dyDescent="0.3">
      <c r="N1427" s="9"/>
    </row>
    <row r="1428" spans="14:14" ht="15" customHeight="1" x14ac:dyDescent="0.3">
      <c r="N1428" s="9"/>
    </row>
    <row r="1429" spans="14:14" ht="15" customHeight="1" x14ac:dyDescent="0.3">
      <c r="N1429" s="9"/>
    </row>
    <row r="1430" spans="14:14" ht="15" customHeight="1" x14ac:dyDescent="0.3">
      <c r="N1430" s="9"/>
    </row>
    <row r="1431" spans="14:14" ht="15" customHeight="1" x14ac:dyDescent="0.3">
      <c r="N1431" s="9"/>
    </row>
    <row r="1432" spans="14:14" ht="15" customHeight="1" x14ac:dyDescent="0.3">
      <c r="N1432" s="9"/>
    </row>
    <row r="1433" spans="14:14" ht="15" customHeight="1" x14ac:dyDescent="0.3">
      <c r="N1433" s="9"/>
    </row>
    <row r="1434" spans="14:14" ht="15" customHeight="1" x14ac:dyDescent="0.3">
      <c r="N1434" s="9"/>
    </row>
    <row r="1435" spans="14:14" ht="15" customHeight="1" x14ac:dyDescent="0.3">
      <c r="N1435" s="9"/>
    </row>
    <row r="1436" spans="14:14" ht="15" customHeight="1" x14ac:dyDescent="0.3">
      <c r="N1436" s="9"/>
    </row>
    <row r="1437" spans="14:14" ht="15" customHeight="1" x14ac:dyDescent="0.3">
      <c r="N1437" s="9"/>
    </row>
    <row r="1438" spans="14:14" ht="15" customHeight="1" x14ac:dyDescent="0.3">
      <c r="N1438" s="9"/>
    </row>
    <row r="1439" spans="14:14" ht="15" customHeight="1" x14ac:dyDescent="0.3">
      <c r="N1439" s="9"/>
    </row>
    <row r="1440" spans="14:14" ht="15" customHeight="1" x14ac:dyDescent="0.3">
      <c r="N1440" s="9"/>
    </row>
    <row r="1441" spans="14:14" ht="15" customHeight="1" x14ac:dyDescent="0.3">
      <c r="N1441" s="9"/>
    </row>
    <row r="1442" spans="14:14" ht="15" customHeight="1" x14ac:dyDescent="0.3">
      <c r="N1442" s="9"/>
    </row>
    <row r="1443" spans="14:14" ht="15" customHeight="1" x14ac:dyDescent="0.3">
      <c r="N1443" s="9"/>
    </row>
    <row r="1444" spans="14:14" ht="15" customHeight="1" x14ac:dyDescent="0.3">
      <c r="N1444" s="9"/>
    </row>
    <row r="1445" spans="14:14" ht="15" customHeight="1" x14ac:dyDescent="0.3">
      <c r="N1445" s="9"/>
    </row>
    <row r="1446" spans="14:14" ht="15" customHeight="1" x14ac:dyDescent="0.3">
      <c r="N1446" s="9"/>
    </row>
    <row r="1447" spans="14:14" ht="15" customHeight="1" x14ac:dyDescent="0.3">
      <c r="N1447" s="9"/>
    </row>
    <row r="1448" spans="14:14" ht="15" customHeight="1" x14ac:dyDescent="0.3">
      <c r="N1448" s="9"/>
    </row>
    <row r="1449" spans="14:14" ht="15" customHeight="1" x14ac:dyDescent="0.3">
      <c r="N1449" s="9"/>
    </row>
    <row r="1450" spans="14:14" ht="15" customHeight="1" x14ac:dyDescent="0.3">
      <c r="N1450" s="9"/>
    </row>
    <row r="1451" spans="14:14" ht="15" customHeight="1" x14ac:dyDescent="0.3">
      <c r="N1451" s="9"/>
    </row>
    <row r="1452" spans="14:14" ht="15" customHeight="1" x14ac:dyDescent="0.3">
      <c r="N1452" s="9"/>
    </row>
    <row r="1453" spans="14:14" ht="15" customHeight="1" x14ac:dyDescent="0.3">
      <c r="N1453" s="9"/>
    </row>
    <row r="1454" spans="14:14" ht="15" customHeight="1" x14ac:dyDescent="0.3">
      <c r="N1454" s="9"/>
    </row>
    <row r="1455" spans="14:14" ht="15" customHeight="1" x14ac:dyDescent="0.3">
      <c r="N1455" s="9"/>
    </row>
    <row r="1456" spans="14:14" ht="15" customHeight="1" x14ac:dyDescent="0.3">
      <c r="N1456" s="9"/>
    </row>
    <row r="1457" spans="14:14" ht="15" customHeight="1" x14ac:dyDescent="0.3">
      <c r="N1457" s="9"/>
    </row>
    <row r="1458" spans="14:14" ht="15" customHeight="1" x14ac:dyDescent="0.3">
      <c r="N1458" s="9"/>
    </row>
    <row r="1459" spans="14:14" ht="15" customHeight="1" x14ac:dyDescent="0.3">
      <c r="N1459" s="9"/>
    </row>
    <row r="1460" spans="14:14" ht="15" customHeight="1" x14ac:dyDescent="0.3">
      <c r="N1460" s="9"/>
    </row>
    <row r="1461" spans="14:14" ht="15" customHeight="1" x14ac:dyDescent="0.3">
      <c r="N1461" s="9"/>
    </row>
    <row r="1462" spans="14:14" ht="15" customHeight="1" x14ac:dyDescent="0.3">
      <c r="N1462" s="9"/>
    </row>
    <row r="1463" spans="14:14" ht="15" customHeight="1" x14ac:dyDescent="0.3">
      <c r="N1463" s="9"/>
    </row>
    <row r="1464" spans="14:14" ht="15" customHeight="1" x14ac:dyDescent="0.3">
      <c r="N1464" s="9"/>
    </row>
    <row r="1465" spans="14:14" ht="15" customHeight="1" x14ac:dyDescent="0.3">
      <c r="N1465" s="9"/>
    </row>
    <row r="1466" spans="14:14" ht="15" customHeight="1" x14ac:dyDescent="0.3">
      <c r="N1466" s="9"/>
    </row>
    <row r="1467" spans="14:14" ht="15" customHeight="1" x14ac:dyDescent="0.3">
      <c r="N1467" s="9"/>
    </row>
    <row r="1468" spans="14:14" ht="15" customHeight="1" x14ac:dyDescent="0.3">
      <c r="N1468" s="9"/>
    </row>
    <row r="1469" spans="14:14" ht="15" customHeight="1" x14ac:dyDescent="0.3">
      <c r="N1469" s="9"/>
    </row>
    <row r="1470" spans="14:14" ht="15" customHeight="1" x14ac:dyDescent="0.3">
      <c r="N1470" s="9"/>
    </row>
    <row r="1471" spans="14:14" ht="15" customHeight="1" x14ac:dyDescent="0.3">
      <c r="N1471" s="9"/>
    </row>
    <row r="1472" spans="14:14" ht="15" customHeight="1" x14ac:dyDescent="0.3">
      <c r="N1472" s="9"/>
    </row>
    <row r="1473" spans="14:14" ht="15" customHeight="1" x14ac:dyDescent="0.3">
      <c r="N1473" s="9"/>
    </row>
    <row r="1474" spans="14:14" ht="15" customHeight="1" x14ac:dyDescent="0.3">
      <c r="N1474" s="9"/>
    </row>
    <row r="1475" spans="14:14" ht="15" customHeight="1" x14ac:dyDescent="0.3">
      <c r="N1475" s="9"/>
    </row>
    <row r="1476" spans="14:14" ht="15" customHeight="1" x14ac:dyDescent="0.3">
      <c r="N1476" s="9"/>
    </row>
    <row r="1477" spans="14:14" ht="15" customHeight="1" x14ac:dyDescent="0.3">
      <c r="N1477" s="9"/>
    </row>
    <row r="1478" spans="14:14" ht="15" customHeight="1" x14ac:dyDescent="0.3">
      <c r="N1478" s="9"/>
    </row>
    <row r="1479" spans="14:14" ht="15" customHeight="1" x14ac:dyDescent="0.3">
      <c r="N1479" s="9"/>
    </row>
    <row r="1480" spans="14:14" ht="15" customHeight="1" x14ac:dyDescent="0.3">
      <c r="N1480" s="9"/>
    </row>
    <row r="1481" spans="14:14" ht="15" customHeight="1" x14ac:dyDescent="0.3">
      <c r="N1481" s="9"/>
    </row>
    <row r="1482" spans="14:14" ht="15" customHeight="1" x14ac:dyDescent="0.3">
      <c r="N1482" s="9"/>
    </row>
    <row r="1483" spans="14:14" ht="15" customHeight="1" x14ac:dyDescent="0.3">
      <c r="N1483" s="9"/>
    </row>
    <row r="1484" spans="14:14" ht="15" customHeight="1" x14ac:dyDescent="0.3">
      <c r="N1484" s="9"/>
    </row>
    <row r="1485" spans="14:14" ht="15" customHeight="1" x14ac:dyDescent="0.3">
      <c r="N1485" s="9"/>
    </row>
    <row r="1486" spans="14:14" ht="15" customHeight="1" x14ac:dyDescent="0.3">
      <c r="N1486" s="9"/>
    </row>
    <row r="1487" spans="14:14" ht="15" customHeight="1" x14ac:dyDescent="0.3">
      <c r="N1487" s="9"/>
    </row>
    <row r="1488" spans="14:14" ht="15" customHeight="1" x14ac:dyDescent="0.3">
      <c r="N1488" s="9"/>
    </row>
    <row r="1489" spans="14:14" ht="15" customHeight="1" x14ac:dyDescent="0.3">
      <c r="N1489" s="9"/>
    </row>
    <row r="1490" spans="14:14" ht="15" customHeight="1" x14ac:dyDescent="0.3">
      <c r="N1490" s="9"/>
    </row>
    <row r="1491" spans="14:14" ht="15" customHeight="1" x14ac:dyDescent="0.3">
      <c r="N1491" s="9"/>
    </row>
    <row r="1492" spans="14:14" ht="15" customHeight="1" x14ac:dyDescent="0.3">
      <c r="N1492" s="9"/>
    </row>
    <row r="1493" spans="14:14" ht="15" customHeight="1" x14ac:dyDescent="0.3">
      <c r="N1493" s="9"/>
    </row>
    <row r="1494" spans="14:14" ht="15" customHeight="1" x14ac:dyDescent="0.3">
      <c r="N1494" s="9"/>
    </row>
    <row r="1495" spans="14:14" ht="15" customHeight="1" x14ac:dyDescent="0.3">
      <c r="N1495" s="9"/>
    </row>
    <row r="1496" spans="14:14" ht="15" customHeight="1" x14ac:dyDescent="0.3">
      <c r="N1496" s="9"/>
    </row>
    <row r="1497" spans="14:14" ht="15" customHeight="1" x14ac:dyDescent="0.3">
      <c r="N1497" s="9"/>
    </row>
    <row r="1498" spans="14:14" ht="15" customHeight="1" x14ac:dyDescent="0.3">
      <c r="N1498" s="9"/>
    </row>
    <row r="1499" spans="14:14" ht="15" customHeight="1" x14ac:dyDescent="0.3">
      <c r="N1499" s="9"/>
    </row>
    <row r="1500" spans="14:14" ht="15" customHeight="1" x14ac:dyDescent="0.3">
      <c r="N1500" s="9"/>
    </row>
    <row r="1501" spans="14:14" ht="15" customHeight="1" x14ac:dyDescent="0.3">
      <c r="N1501" s="9"/>
    </row>
    <row r="1502" spans="14:14" ht="15" customHeight="1" x14ac:dyDescent="0.3">
      <c r="N1502" s="9"/>
    </row>
    <row r="1503" spans="14:14" ht="15" customHeight="1" x14ac:dyDescent="0.3">
      <c r="N1503" s="9"/>
    </row>
    <row r="1504" spans="14:14" ht="15" customHeight="1" x14ac:dyDescent="0.3">
      <c r="N1504" s="9"/>
    </row>
    <row r="1505" spans="14:14" ht="15" customHeight="1" x14ac:dyDescent="0.3">
      <c r="N1505" s="9"/>
    </row>
    <row r="1506" spans="14:14" ht="15" customHeight="1" x14ac:dyDescent="0.3">
      <c r="N1506" s="9"/>
    </row>
    <row r="1507" spans="14:14" ht="15" customHeight="1" x14ac:dyDescent="0.3">
      <c r="N1507" s="9"/>
    </row>
    <row r="1508" spans="14:14" ht="15" customHeight="1" x14ac:dyDescent="0.3">
      <c r="N1508" s="9"/>
    </row>
    <row r="1509" spans="14:14" ht="15" customHeight="1" x14ac:dyDescent="0.3">
      <c r="N1509" s="9"/>
    </row>
    <row r="1510" spans="14:14" ht="15" customHeight="1" x14ac:dyDescent="0.3">
      <c r="N1510" s="9"/>
    </row>
    <row r="1511" spans="14:14" ht="15" customHeight="1" x14ac:dyDescent="0.3">
      <c r="N1511" s="9"/>
    </row>
    <row r="1512" spans="14:14" ht="15" customHeight="1" x14ac:dyDescent="0.3">
      <c r="N1512" s="9"/>
    </row>
    <row r="1513" spans="14:14" ht="15" customHeight="1" x14ac:dyDescent="0.3">
      <c r="N1513" s="9"/>
    </row>
    <row r="1514" spans="14:14" ht="15" customHeight="1" x14ac:dyDescent="0.3">
      <c r="N1514" s="9"/>
    </row>
    <row r="1515" spans="14:14" ht="15" customHeight="1" x14ac:dyDescent="0.3">
      <c r="N1515" s="9"/>
    </row>
    <row r="1516" spans="14:14" ht="15" customHeight="1" x14ac:dyDescent="0.3">
      <c r="N1516" s="9"/>
    </row>
    <row r="1517" spans="14:14" ht="15" customHeight="1" x14ac:dyDescent="0.3">
      <c r="N1517" s="9"/>
    </row>
    <row r="1518" spans="14:14" ht="15" customHeight="1" x14ac:dyDescent="0.3">
      <c r="N1518" s="9"/>
    </row>
    <row r="1519" spans="14:14" ht="15" customHeight="1" x14ac:dyDescent="0.3">
      <c r="N1519" s="9"/>
    </row>
    <row r="1520" spans="14:14" ht="15" customHeight="1" x14ac:dyDescent="0.3">
      <c r="N1520" s="9"/>
    </row>
    <row r="1521" spans="14:14" ht="15" customHeight="1" x14ac:dyDescent="0.3">
      <c r="N1521" s="9"/>
    </row>
    <row r="1522" spans="14:14" ht="15" customHeight="1" x14ac:dyDescent="0.3">
      <c r="N1522" s="9"/>
    </row>
    <row r="1523" spans="14:14" ht="15" customHeight="1" x14ac:dyDescent="0.3">
      <c r="N1523" s="9"/>
    </row>
    <row r="1524" spans="14:14" ht="15" customHeight="1" x14ac:dyDescent="0.3">
      <c r="N1524" s="9"/>
    </row>
    <row r="1525" spans="14:14" ht="15" customHeight="1" x14ac:dyDescent="0.3">
      <c r="N1525" s="9"/>
    </row>
    <row r="1526" spans="14:14" ht="15" customHeight="1" x14ac:dyDescent="0.3">
      <c r="N1526" s="9"/>
    </row>
    <row r="1527" spans="14:14" ht="15" customHeight="1" x14ac:dyDescent="0.3">
      <c r="N1527" s="9"/>
    </row>
    <row r="1528" spans="14:14" ht="15" customHeight="1" x14ac:dyDescent="0.3">
      <c r="N1528" s="9"/>
    </row>
    <row r="1529" spans="14:14" ht="15" customHeight="1" x14ac:dyDescent="0.3">
      <c r="N1529" s="9"/>
    </row>
    <row r="1530" spans="14:14" ht="15" customHeight="1" x14ac:dyDescent="0.3">
      <c r="N1530" s="9"/>
    </row>
    <row r="1531" spans="14:14" ht="15" customHeight="1" x14ac:dyDescent="0.3">
      <c r="N1531" s="9"/>
    </row>
    <row r="1532" spans="14:14" ht="15" customHeight="1" x14ac:dyDescent="0.3">
      <c r="N1532" s="9"/>
    </row>
    <row r="1533" spans="14:14" ht="15" customHeight="1" x14ac:dyDescent="0.3">
      <c r="N1533" s="9"/>
    </row>
    <row r="1534" spans="14:14" ht="15" customHeight="1" x14ac:dyDescent="0.3">
      <c r="N1534" s="9"/>
    </row>
    <row r="1535" spans="14:14" ht="15" customHeight="1" x14ac:dyDescent="0.3">
      <c r="N1535" s="9"/>
    </row>
    <row r="1536" spans="14:14" ht="15" customHeight="1" x14ac:dyDescent="0.3">
      <c r="N1536" s="9"/>
    </row>
    <row r="1537" spans="14:14" ht="15" customHeight="1" x14ac:dyDescent="0.3">
      <c r="N1537" s="9"/>
    </row>
    <row r="1538" spans="14:14" ht="15" customHeight="1" x14ac:dyDescent="0.3">
      <c r="N1538" s="9"/>
    </row>
    <row r="1539" spans="14:14" ht="15" customHeight="1" x14ac:dyDescent="0.3">
      <c r="N1539" s="9"/>
    </row>
    <row r="1540" spans="14:14" ht="15" customHeight="1" x14ac:dyDescent="0.3">
      <c r="N1540" s="9"/>
    </row>
    <row r="1541" spans="14:14" ht="15" customHeight="1" x14ac:dyDescent="0.3">
      <c r="N1541" s="9"/>
    </row>
    <row r="1542" spans="14:14" ht="15" customHeight="1" x14ac:dyDescent="0.3">
      <c r="N1542" s="9"/>
    </row>
    <row r="1543" spans="14:14" ht="15" customHeight="1" x14ac:dyDescent="0.3">
      <c r="N1543" s="9"/>
    </row>
    <row r="1544" spans="14:14" ht="15" customHeight="1" x14ac:dyDescent="0.3">
      <c r="N1544" s="9"/>
    </row>
    <row r="1545" spans="14:14" ht="15" customHeight="1" x14ac:dyDescent="0.3">
      <c r="N1545" s="9"/>
    </row>
    <row r="1546" spans="14:14" ht="15" customHeight="1" x14ac:dyDescent="0.3">
      <c r="N1546" s="9"/>
    </row>
    <row r="1547" spans="14:14" ht="15" customHeight="1" x14ac:dyDescent="0.3">
      <c r="N1547" s="9"/>
    </row>
    <row r="1548" spans="14:14" ht="15" customHeight="1" x14ac:dyDescent="0.3">
      <c r="N1548" s="9"/>
    </row>
    <row r="1549" spans="14:14" ht="15" customHeight="1" x14ac:dyDescent="0.3">
      <c r="N1549" s="9"/>
    </row>
    <row r="1550" spans="14:14" ht="15" customHeight="1" x14ac:dyDescent="0.3">
      <c r="N1550" s="9"/>
    </row>
    <row r="1551" spans="14:14" ht="15" customHeight="1" x14ac:dyDescent="0.3">
      <c r="N1551" s="9"/>
    </row>
    <row r="1552" spans="14:14" ht="15" customHeight="1" x14ac:dyDescent="0.3">
      <c r="N1552" s="9"/>
    </row>
    <row r="1553" spans="14:14" ht="15" customHeight="1" x14ac:dyDescent="0.3">
      <c r="N1553" s="9"/>
    </row>
    <row r="1554" spans="14:14" ht="15" customHeight="1" x14ac:dyDescent="0.3">
      <c r="N1554" s="9"/>
    </row>
    <row r="1555" spans="14:14" ht="15" customHeight="1" x14ac:dyDescent="0.3">
      <c r="N1555" s="9"/>
    </row>
    <row r="1556" spans="14:14" ht="15" customHeight="1" x14ac:dyDescent="0.3">
      <c r="N1556" s="9"/>
    </row>
    <row r="1557" spans="14:14" ht="15" customHeight="1" x14ac:dyDescent="0.3">
      <c r="N1557" s="9"/>
    </row>
  </sheetData>
  <mergeCells count="3">
    <mergeCell ref="K3:L3"/>
    <mergeCell ref="O3:P3"/>
    <mergeCell ref="N4:N8"/>
  </mergeCells>
  <conditionalFormatting sqref="L1">
    <cfRule type="cellIs" dxfId="27" priority="1" operator="greaterThan">
      <formula>15</formula>
    </cfRule>
  </conditionalFormatting>
  <pageMargins left="0.23" right="0.28999999999999998" top="0.54" bottom="0.75" header="0" footer="0"/>
  <pageSetup paperSize="9" scale="9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X1000"/>
  <sheetViews>
    <sheetView topLeftCell="A5" workbookViewId="0">
      <selection activeCell="E16" sqref="E16"/>
    </sheetView>
  </sheetViews>
  <sheetFormatPr defaultColWidth="12.58203125" defaultRowHeight="15" customHeight="1" x14ac:dyDescent="0.3"/>
  <cols>
    <col min="1" max="2" width="8.58203125" customWidth="1"/>
    <col min="3" max="3" width="9.83203125" customWidth="1"/>
    <col min="4" max="4" width="6.83203125" customWidth="1"/>
    <col min="5" max="5" width="8.58203125" customWidth="1"/>
    <col min="6" max="6" width="11.08203125" customWidth="1"/>
    <col min="7" max="19" width="8.58203125" customWidth="1"/>
  </cols>
  <sheetData>
    <row r="1" spans="3:11" ht="14.25" customHeight="1" x14ac:dyDescent="0.3"/>
    <row r="2" spans="3:11" ht="14.25" customHeight="1" x14ac:dyDescent="0.3"/>
    <row r="3" spans="3:11" ht="14.25" customHeight="1" x14ac:dyDescent="0.3"/>
    <row r="4" spans="3:11" ht="14.25" customHeight="1" x14ac:dyDescent="0.3"/>
    <row r="5" spans="3:11" ht="14.25" customHeight="1" x14ac:dyDescent="0.3">
      <c r="E5" s="99"/>
      <c r="G5" s="99">
        <f>'GRADING PACKING'!L9</f>
        <v>102.65</v>
      </c>
      <c r="I5" s="99"/>
    </row>
    <row r="6" spans="3:11" ht="14.25" customHeight="1" x14ac:dyDescent="0.3">
      <c r="E6" s="123"/>
      <c r="I6" s="99"/>
      <c r="K6">
        <v>45</v>
      </c>
    </row>
    <row r="7" spans="3:11" ht="14.25" customHeight="1" x14ac:dyDescent="0.3">
      <c r="C7" s="90"/>
      <c r="D7" s="226" t="s">
        <v>131</v>
      </c>
      <c r="E7" s="227" t="s">
        <v>132</v>
      </c>
      <c r="F7" s="226" t="s">
        <v>133</v>
      </c>
      <c r="I7" s="99"/>
      <c r="K7">
        <v>40</v>
      </c>
    </row>
    <row r="8" spans="3:11" ht="14.25" customHeight="1" x14ac:dyDescent="0.3">
      <c r="C8" s="164"/>
      <c r="G8" s="82"/>
      <c r="K8">
        <v>25</v>
      </c>
    </row>
    <row r="9" spans="3:11" ht="14.25" customHeight="1" x14ac:dyDescent="0.3">
      <c r="C9" s="164"/>
      <c r="D9">
        <v>1049</v>
      </c>
      <c r="E9" s="99">
        <v>0.55000000000000004</v>
      </c>
      <c r="F9">
        <f>E9*D9</f>
        <v>576.95000000000005</v>
      </c>
      <c r="K9">
        <v>40</v>
      </c>
    </row>
    <row r="10" spans="3:11" ht="14.25" customHeight="1" x14ac:dyDescent="0.3">
      <c r="C10" s="59"/>
      <c r="E10" s="196">
        <v>0.3</v>
      </c>
      <c r="F10">
        <f>E10*D10</f>
        <v>0</v>
      </c>
      <c r="K10">
        <v>48</v>
      </c>
    </row>
    <row r="11" spans="3:11" ht="14.25" customHeight="1" x14ac:dyDescent="0.3">
      <c r="C11" s="59"/>
      <c r="E11" s="99"/>
      <c r="G11" s="60"/>
      <c r="K11">
        <v>48</v>
      </c>
    </row>
    <row r="12" spans="3:11" ht="14.25" customHeight="1" x14ac:dyDescent="0.3">
      <c r="C12" s="59"/>
      <c r="E12" s="99"/>
      <c r="F12">
        <f>SUM(F9:F11)</f>
        <v>576.95000000000005</v>
      </c>
      <c r="G12" s="228"/>
      <c r="H12" s="232" t="s">
        <v>66</v>
      </c>
      <c r="K12">
        <v>34</v>
      </c>
    </row>
    <row r="13" spans="3:11" ht="14.25" customHeight="1" x14ac:dyDescent="0.3">
      <c r="C13" s="59" t="s">
        <v>134</v>
      </c>
      <c r="D13" s="81"/>
      <c r="E13" s="99"/>
      <c r="H13" s="228">
        <f>F23/G5*100</f>
        <v>50.355577204091574</v>
      </c>
      <c r="K13" s="115">
        <v>39</v>
      </c>
    </row>
    <row r="14" spans="3:11" ht="14.25" customHeight="1" x14ac:dyDescent="0.3">
      <c r="C14" s="59"/>
      <c r="D14" s="81">
        <v>89</v>
      </c>
      <c r="E14" s="99">
        <v>0.5</v>
      </c>
      <c r="F14">
        <f t="shared" ref="F14:F22" si="0">E14*D14</f>
        <v>44.5</v>
      </c>
      <c r="G14" s="79"/>
      <c r="K14" s="235">
        <v>47</v>
      </c>
    </row>
    <row r="15" spans="3:11" ht="14.25" customHeight="1" x14ac:dyDescent="0.3">
      <c r="C15" s="59"/>
      <c r="D15" s="81">
        <v>1</v>
      </c>
      <c r="E15" s="99">
        <v>6.69</v>
      </c>
      <c r="F15">
        <f t="shared" si="0"/>
        <v>6.69</v>
      </c>
      <c r="G15" s="98"/>
      <c r="K15" s="235">
        <v>37</v>
      </c>
    </row>
    <row r="16" spans="3:11" ht="14.25" customHeight="1" x14ac:dyDescent="0.3">
      <c r="C16" s="59"/>
      <c r="D16" s="81">
        <v>1</v>
      </c>
      <c r="E16" s="99">
        <v>0.5</v>
      </c>
      <c r="F16">
        <f t="shared" si="0"/>
        <v>0.5</v>
      </c>
      <c r="G16" s="206"/>
      <c r="K16" s="235">
        <v>33</v>
      </c>
    </row>
    <row r="17" spans="2:11" ht="14.25" customHeight="1" x14ac:dyDescent="0.3">
      <c r="C17" s="59"/>
      <c r="D17" s="81"/>
      <c r="E17" s="99">
        <v>0.35</v>
      </c>
      <c r="F17">
        <f t="shared" si="0"/>
        <v>0</v>
      </c>
      <c r="G17" s="98"/>
      <c r="K17" s="235">
        <v>37</v>
      </c>
    </row>
    <row r="18" spans="2:11" ht="14.25" customHeight="1" x14ac:dyDescent="0.3">
      <c r="C18" s="59"/>
      <c r="D18" s="81"/>
      <c r="E18" s="196">
        <v>4.21</v>
      </c>
      <c r="F18">
        <f t="shared" si="0"/>
        <v>0</v>
      </c>
      <c r="G18" s="85"/>
      <c r="K18" s="235">
        <v>38</v>
      </c>
    </row>
    <row r="19" spans="2:11" ht="14.25" customHeight="1" x14ac:dyDescent="0.3">
      <c r="C19" s="59"/>
      <c r="D19" s="81"/>
      <c r="E19" s="99">
        <v>0.19</v>
      </c>
      <c r="F19">
        <f t="shared" si="0"/>
        <v>0</v>
      </c>
      <c r="G19" s="85"/>
      <c r="K19" s="235">
        <v>45</v>
      </c>
    </row>
    <row r="20" spans="2:11" ht="14.25" customHeight="1" x14ac:dyDescent="0.3">
      <c r="C20" s="59"/>
      <c r="E20" s="99"/>
      <c r="F20">
        <f t="shared" si="0"/>
        <v>0</v>
      </c>
      <c r="G20" s="84">
        <f>F12+F23</f>
        <v>628.6400000000001</v>
      </c>
      <c r="H20" t="s">
        <v>194</v>
      </c>
      <c r="K20" s="235">
        <v>40</v>
      </c>
    </row>
    <row r="21" spans="2:11" ht="14.25" customHeight="1" x14ac:dyDescent="0.3">
      <c r="B21" s="49"/>
      <c r="C21" s="59"/>
      <c r="E21" s="99"/>
      <c r="F21">
        <f t="shared" si="0"/>
        <v>0</v>
      </c>
      <c r="G21" s="84"/>
      <c r="K21" s="235">
        <v>42</v>
      </c>
    </row>
    <row r="22" spans="2:11" ht="14.25" customHeight="1" x14ac:dyDescent="0.3">
      <c r="B22" s="49"/>
      <c r="C22" s="61"/>
      <c r="F22">
        <f t="shared" si="0"/>
        <v>0</v>
      </c>
      <c r="G22" s="84"/>
      <c r="K22" s="235">
        <v>31</v>
      </c>
    </row>
    <row r="23" spans="2:11" ht="14.25" customHeight="1" x14ac:dyDescent="0.3">
      <c r="F23" s="84">
        <f>SUM(F14:F22)</f>
        <v>51.69</v>
      </c>
      <c r="G23" s="229">
        <f>G5-F12-F23</f>
        <v>-525.99</v>
      </c>
      <c r="H23" t="s">
        <v>193</v>
      </c>
      <c r="K23">
        <f>SUM(K6:K22)</f>
        <v>669</v>
      </c>
    </row>
    <row r="24" spans="2:11" ht="14.25" customHeight="1" x14ac:dyDescent="0.3">
      <c r="F24" s="84"/>
      <c r="G24" s="84"/>
    </row>
    <row r="25" spans="2:11" ht="14.25" customHeight="1" x14ac:dyDescent="0.3">
      <c r="F25" s="80"/>
      <c r="G25" s="80"/>
    </row>
    <row r="26" spans="2:11" ht="14.25" customHeight="1" x14ac:dyDescent="0.3"/>
    <row r="27" spans="2:11" ht="14.25" customHeight="1" x14ac:dyDescent="0.3"/>
    <row r="28" spans="2:11" ht="14.25" customHeight="1" x14ac:dyDescent="0.3"/>
    <row r="29" spans="2:11" ht="14.25" customHeight="1" x14ac:dyDescent="0.3"/>
    <row r="30" spans="2:11" ht="14.25" customHeight="1" x14ac:dyDescent="0.3"/>
    <row r="31" spans="2:11" ht="14.25" customHeight="1" x14ac:dyDescent="0.3"/>
    <row r="32" spans="2:11" ht="14.25" customHeight="1" x14ac:dyDescent="0.3"/>
    <row r="33" spans="1:24" ht="14.25" customHeight="1" x14ac:dyDescent="0.3"/>
    <row r="34" spans="1:24" ht="14.25" customHeight="1" x14ac:dyDescent="0.3"/>
    <row r="35" spans="1:24" ht="14.25" customHeight="1" x14ac:dyDescent="0.3"/>
    <row r="36" spans="1:24" ht="14.25" customHeight="1" x14ac:dyDescent="0.3"/>
    <row r="37" spans="1:24" ht="14.25" customHeight="1" x14ac:dyDescent="0.3"/>
    <row r="38" spans="1:24" ht="14.25" customHeight="1" x14ac:dyDescent="0.3"/>
    <row r="39" spans="1:24" ht="14.25" customHeight="1" x14ac:dyDescent="0.3"/>
    <row r="40" spans="1:24" ht="14.25" customHeight="1" x14ac:dyDescent="0.3"/>
    <row r="41" spans="1:24" ht="14.25" customHeight="1" x14ac:dyDescent="0.3"/>
    <row r="42" spans="1:24" ht="14.25" customHeight="1" x14ac:dyDescent="0.3"/>
    <row r="43" spans="1:24" ht="14.25" customHeight="1" x14ac:dyDescent="0.3"/>
    <row r="44" spans="1:24" ht="14.25" customHeight="1" x14ac:dyDescent="0.3"/>
    <row r="45" spans="1:24" ht="14.25" customHeight="1" x14ac:dyDescent="0.3">
      <c r="A45" s="91"/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</row>
    <row r="46" spans="1:24" ht="14.25" customHeight="1" x14ac:dyDescent="0.3">
      <c r="A46" s="91"/>
      <c r="B46" s="91"/>
      <c r="C46" s="91"/>
      <c r="D46" s="91"/>
      <c r="E46" s="92"/>
      <c r="F46" s="91"/>
      <c r="G46" s="92"/>
      <c r="H46" s="92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</row>
    <row r="47" spans="1:24" ht="14.25" customHeight="1" x14ac:dyDescent="0.3">
      <c r="A47" s="91"/>
      <c r="B47" s="91"/>
      <c r="C47" s="91"/>
      <c r="D47" s="91"/>
      <c r="E47" s="92"/>
      <c r="F47" s="92"/>
      <c r="G47" s="92"/>
      <c r="H47" s="92"/>
      <c r="I47" s="91"/>
      <c r="J47" s="93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2"/>
      <c r="V47" s="92"/>
      <c r="W47" s="91"/>
      <c r="X47" s="92"/>
    </row>
    <row r="48" spans="1:24" ht="14.25" customHeight="1" x14ac:dyDescent="0.3">
      <c r="A48" s="91"/>
      <c r="B48" s="91"/>
      <c r="C48" s="91"/>
      <c r="D48" s="91"/>
      <c r="E48" s="92"/>
      <c r="F48" s="92"/>
      <c r="G48" s="92"/>
      <c r="H48" s="92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</row>
    <row r="49" spans="1:24" ht="14.25" customHeight="1" x14ac:dyDescent="0.3">
      <c r="A49" s="91"/>
      <c r="B49" s="91"/>
      <c r="C49" s="91"/>
      <c r="D49" s="91"/>
      <c r="E49" s="92"/>
      <c r="F49" s="92"/>
      <c r="G49" s="92"/>
      <c r="H49" s="92"/>
      <c r="I49" s="91"/>
      <c r="J49" s="93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2"/>
      <c r="V49" s="92"/>
      <c r="W49" s="91"/>
      <c r="X49" s="92"/>
    </row>
    <row r="50" spans="1:24" ht="14.25" customHeight="1" x14ac:dyDescent="0.3">
      <c r="A50" s="91"/>
      <c r="B50" s="91"/>
      <c r="C50" s="91"/>
      <c r="D50" s="91"/>
      <c r="E50" s="92"/>
      <c r="F50" s="92"/>
      <c r="G50" s="92"/>
      <c r="H50" s="92"/>
      <c r="I50" s="91"/>
      <c r="J50" s="93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2"/>
      <c r="V50" s="92"/>
      <c r="W50" s="92"/>
      <c r="X50" s="92"/>
    </row>
    <row r="51" spans="1:24" ht="14.25" customHeight="1" x14ac:dyDescent="0.3">
      <c r="A51" s="91"/>
      <c r="B51" s="91"/>
      <c r="C51" s="91"/>
      <c r="D51" s="91"/>
      <c r="E51" s="92"/>
      <c r="F51" s="92"/>
      <c r="G51" s="92"/>
      <c r="H51" s="92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</row>
    <row r="52" spans="1:24" ht="14.25" customHeight="1" x14ac:dyDescent="0.3">
      <c r="A52" s="91"/>
      <c r="B52" s="91"/>
      <c r="C52" s="91"/>
      <c r="D52" s="91"/>
      <c r="E52" s="92"/>
      <c r="F52" s="92"/>
      <c r="G52" s="92"/>
      <c r="H52" s="92"/>
      <c r="I52" s="91"/>
      <c r="J52" s="93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2"/>
      <c r="V52" s="92"/>
      <c r="W52" s="91"/>
      <c r="X52" s="92"/>
    </row>
    <row r="53" spans="1:24" ht="14.25" customHeight="1" x14ac:dyDescent="0.3">
      <c r="A53" s="91"/>
      <c r="B53" s="91"/>
      <c r="C53" s="91"/>
      <c r="D53" s="91"/>
      <c r="E53" s="92"/>
      <c r="F53" s="92"/>
      <c r="G53" s="92"/>
      <c r="H53" s="92"/>
      <c r="I53" s="91"/>
      <c r="J53" s="93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2"/>
      <c r="V53" s="92"/>
      <c r="W53" s="91"/>
      <c r="X53" s="92"/>
    </row>
    <row r="54" spans="1:24" ht="14.25" customHeight="1" x14ac:dyDescent="0.3">
      <c r="A54" s="91"/>
      <c r="B54" s="91"/>
      <c r="C54" s="91"/>
      <c r="D54" s="91"/>
      <c r="E54" s="92"/>
      <c r="F54" s="92"/>
      <c r="G54" s="92"/>
      <c r="H54" s="92"/>
      <c r="I54" s="91"/>
      <c r="J54" s="93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2"/>
      <c r="V54" s="92"/>
      <c r="W54" s="91"/>
      <c r="X54" s="92"/>
    </row>
    <row r="55" spans="1:24" ht="14.25" customHeight="1" x14ac:dyDescent="0.3">
      <c r="A55" s="91"/>
      <c r="B55" s="91"/>
      <c r="C55" s="91"/>
      <c r="D55" s="91"/>
      <c r="E55" s="92"/>
      <c r="F55" s="92"/>
      <c r="G55" s="92"/>
      <c r="H55" s="92"/>
      <c r="I55" s="91"/>
      <c r="J55" s="93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2"/>
      <c r="V55" s="92"/>
      <c r="W55" s="91"/>
      <c r="X55" s="92"/>
    </row>
    <row r="56" spans="1:24" ht="14.25" customHeight="1" x14ac:dyDescent="0.3">
      <c r="A56" s="91"/>
      <c r="B56" s="91"/>
      <c r="C56" s="91"/>
      <c r="D56" s="91"/>
      <c r="E56" s="92"/>
      <c r="F56" s="92"/>
      <c r="G56" s="92"/>
      <c r="H56" s="92"/>
      <c r="I56" s="91"/>
      <c r="J56" s="93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2"/>
      <c r="V56" s="92"/>
      <c r="W56" s="91"/>
      <c r="X56" s="92"/>
    </row>
    <row r="57" spans="1:24" ht="14.25" customHeight="1" x14ac:dyDescent="0.3">
      <c r="A57" s="91"/>
      <c r="B57" s="91"/>
      <c r="C57" s="91"/>
      <c r="D57" s="91"/>
      <c r="E57" s="92"/>
      <c r="F57" s="92"/>
      <c r="G57" s="92"/>
      <c r="H57" s="92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</row>
    <row r="58" spans="1:24" ht="14.25" customHeight="1" x14ac:dyDescent="0.3">
      <c r="A58" s="91"/>
      <c r="B58" s="91"/>
      <c r="C58" s="91"/>
      <c r="D58" s="91"/>
      <c r="E58" s="92"/>
      <c r="F58" s="92"/>
      <c r="G58" s="92"/>
      <c r="H58" s="92"/>
      <c r="I58" s="91"/>
      <c r="J58" s="93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2"/>
      <c r="V58" s="92"/>
      <c r="W58" s="91"/>
      <c r="X58" s="92"/>
    </row>
    <row r="59" spans="1:24" ht="14.25" customHeight="1" x14ac:dyDescent="0.3">
      <c r="A59" s="91"/>
      <c r="B59" s="91"/>
      <c r="C59" s="91"/>
      <c r="D59" s="91"/>
      <c r="E59" s="92"/>
      <c r="F59" s="92"/>
      <c r="G59" s="92"/>
      <c r="H59" s="92"/>
      <c r="I59" s="91"/>
      <c r="J59" s="93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2"/>
      <c r="V59" s="92"/>
      <c r="W59" s="91"/>
      <c r="X59" s="92"/>
    </row>
    <row r="60" spans="1:24" ht="14.25" customHeight="1" x14ac:dyDescent="0.3">
      <c r="A60" s="91"/>
      <c r="B60" s="91"/>
      <c r="C60" s="91"/>
      <c r="D60" s="91"/>
      <c r="E60" s="92"/>
      <c r="F60" s="92"/>
      <c r="G60" s="92"/>
      <c r="H60" s="92"/>
      <c r="I60" s="91"/>
      <c r="J60" s="93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2"/>
      <c r="V60" s="92"/>
      <c r="W60" s="91"/>
      <c r="X60" s="92"/>
    </row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E1000"/>
  <sheetViews>
    <sheetView showGridLines="0" topLeftCell="A9" workbookViewId="0">
      <selection activeCell="A21" sqref="A21"/>
    </sheetView>
  </sheetViews>
  <sheetFormatPr defaultColWidth="12.58203125" defaultRowHeight="15" customHeight="1" x14ac:dyDescent="0.3"/>
  <cols>
    <col min="1" max="1" width="8.25" customWidth="1"/>
    <col min="2" max="2" width="8" customWidth="1"/>
    <col min="3" max="3" width="7.33203125" customWidth="1"/>
    <col min="4" max="4" width="16.33203125" customWidth="1"/>
    <col min="5" max="5" width="21.58203125" customWidth="1"/>
    <col min="6" max="7" width="10.83203125" customWidth="1"/>
    <col min="8" max="8" width="11.75" customWidth="1"/>
    <col min="9" max="9" width="8.83203125" customWidth="1"/>
    <col min="10" max="13" width="9.08203125" customWidth="1"/>
    <col min="14" max="14" width="8.33203125" customWidth="1"/>
    <col min="15" max="15" width="17.33203125" customWidth="1"/>
    <col min="16" max="16" width="10.33203125" customWidth="1"/>
    <col min="17" max="18" width="6.83203125" customWidth="1"/>
    <col min="19" max="19" width="7.08203125" customWidth="1"/>
    <col min="20" max="21" width="5.33203125" customWidth="1"/>
    <col min="22" max="22" width="7" customWidth="1"/>
    <col min="23" max="23" width="7.33203125" customWidth="1"/>
    <col min="24" max="24" width="18.83203125" customWidth="1"/>
    <col min="25" max="25" width="11.83203125" customWidth="1"/>
    <col min="26" max="26" width="1.58203125" customWidth="1"/>
    <col min="27" max="29" width="7.58203125" customWidth="1"/>
    <col min="30" max="30" width="16.08203125" customWidth="1"/>
    <col min="31" max="31" width="14" customWidth="1"/>
  </cols>
  <sheetData>
    <row r="1" spans="1:31" ht="14.5" x14ac:dyDescent="0.35">
      <c r="A1" s="62">
        <f ca="1">E8</f>
        <v>46134</v>
      </c>
      <c r="B1" s="63">
        <f>E10</f>
        <v>0</v>
      </c>
      <c r="C1" s="63">
        <f>E11</f>
        <v>0</v>
      </c>
      <c r="D1" s="63">
        <f>E12</f>
        <v>0</v>
      </c>
      <c r="E1" s="63">
        <f>E13</f>
        <v>0</v>
      </c>
      <c r="F1" s="64">
        <f>E14</f>
        <v>0</v>
      </c>
      <c r="G1" s="63">
        <f>E1*F1/100</f>
        <v>0</v>
      </c>
      <c r="H1" s="63">
        <f>E15</f>
        <v>0</v>
      </c>
      <c r="I1" s="63">
        <f>E16</f>
        <v>0</v>
      </c>
      <c r="J1" s="63">
        <f>G1+H1+I1</f>
        <v>0</v>
      </c>
      <c r="K1" s="63">
        <f>E18</f>
        <v>0</v>
      </c>
      <c r="L1" s="59">
        <f>E19</f>
        <v>0</v>
      </c>
      <c r="M1" s="59">
        <f>E20</f>
        <v>0</v>
      </c>
    </row>
    <row r="2" spans="1:31" ht="54.75" customHeight="1" x14ac:dyDescent="0.3">
      <c r="A2" s="65" t="s">
        <v>51</v>
      </c>
      <c r="B2" s="66" t="s">
        <v>58</v>
      </c>
      <c r="C2" s="66" t="s">
        <v>68</v>
      </c>
      <c r="D2" s="66" t="s">
        <v>41</v>
      </c>
      <c r="E2" s="66" t="s">
        <v>42</v>
      </c>
      <c r="F2" s="66" t="s">
        <v>43</v>
      </c>
      <c r="G2" s="66" t="s">
        <v>44</v>
      </c>
      <c r="H2" s="66" t="s">
        <v>45</v>
      </c>
      <c r="I2" s="66" t="s">
        <v>46</v>
      </c>
      <c r="J2" s="66" t="s">
        <v>47</v>
      </c>
      <c r="K2" s="66" t="s">
        <v>65</v>
      </c>
      <c r="L2" s="66" t="s">
        <v>16</v>
      </c>
      <c r="M2" s="66" t="s">
        <v>17</v>
      </c>
    </row>
    <row r="4" spans="1:31" ht="14.5" x14ac:dyDescent="0.3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</row>
    <row r="5" spans="1:31" ht="14.5" x14ac:dyDescent="0.3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</row>
    <row r="6" spans="1:31" ht="14.5" x14ac:dyDescent="0.35">
      <c r="A6" s="67"/>
      <c r="B6" s="67"/>
      <c r="C6" s="68"/>
      <c r="D6" s="68"/>
      <c r="E6" s="68"/>
      <c r="F6" s="68"/>
      <c r="G6" s="68"/>
      <c r="H6" s="68"/>
      <c r="I6" s="68"/>
      <c r="J6" s="68"/>
      <c r="K6" s="68"/>
      <c r="L6" s="68"/>
      <c r="M6" s="69"/>
      <c r="N6" s="69"/>
      <c r="O6" s="69"/>
      <c r="P6" s="69"/>
      <c r="Q6" s="69"/>
      <c r="R6" s="69"/>
      <c r="S6" s="70"/>
      <c r="T6" s="67"/>
      <c r="U6" s="67"/>
      <c r="V6" s="67"/>
      <c r="W6" s="68"/>
      <c r="X6" s="68"/>
      <c r="Y6" s="68"/>
      <c r="Z6" s="68"/>
      <c r="AA6" s="68"/>
      <c r="AB6" s="69"/>
      <c r="AC6" s="46"/>
      <c r="AD6" s="46"/>
      <c r="AE6" s="46"/>
    </row>
    <row r="7" spans="1:31" ht="14.5" x14ac:dyDescent="0.3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</row>
    <row r="8" spans="1:31" ht="14.5" x14ac:dyDescent="0.35">
      <c r="A8" s="46"/>
      <c r="B8" s="46"/>
      <c r="C8" s="46"/>
      <c r="D8" s="42" t="s">
        <v>55</v>
      </c>
      <c r="E8" s="71">
        <f ca="1">'GRADING PACKING'!P4</f>
        <v>46134</v>
      </c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ht="34.5" customHeight="1" x14ac:dyDescent="0.35">
      <c r="A9" s="72"/>
      <c r="B9" s="72"/>
      <c r="C9" s="72"/>
      <c r="D9" s="242" t="s">
        <v>69</v>
      </c>
      <c r="E9" s="237"/>
      <c r="F9" s="72"/>
      <c r="G9" s="72"/>
      <c r="H9" s="72"/>
      <c r="I9" s="72"/>
      <c r="J9" s="72"/>
      <c r="K9" s="72"/>
      <c r="L9" s="72"/>
      <c r="M9" s="72"/>
    </row>
    <row r="10" spans="1:31" ht="22.5" customHeight="1" x14ac:dyDescent="0.35">
      <c r="B10" s="63">
        <f>E11*E10/100+E12</f>
        <v>0</v>
      </c>
      <c r="C10" s="46"/>
      <c r="D10" s="53" t="s">
        <v>58</v>
      </c>
      <c r="E10" s="73">
        <f>'GRADING PACKING'!P7</f>
        <v>0</v>
      </c>
      <c r="F10" s="74" t="s">
        <v>70</v>
      </c>
      <c r="G10" s="74"/>
      <c r="H10" s="46"/>
      <c r="I10" s="46"/>
      <c r="J10" s="46"/>
      <c r="K10" s="46"/>
    </row>
    <row r="11" spans="1:31" ht="22.5" customHeight="1" x14ac:dyDescent="0.35">
      <c r="C11" s="46" t="s">
        <v>60</v>
      </c>
      <c r="D11" s="53" t="s">
        <v>68</v>
      </c>
      <c r="E11" s="73">
        <f>'GRADING PACKING'!P8</f>
        <v>0</v>
      </c>
      <c r="F11" s="74" t="s">
        <v>70</v>
      </c>
      <c r="G11" s="74"/>
      <c r="H11" s="46" t="s">
        <v>60</v>
      </c>
      <c r="I11" s="46"/>
      <c r="J11" s="46" t="s">
        <v>60</v>
      </c>
      <c r="K11" s="46"/>
    </row>
    <row r="12" spans="1:31" ht="22.5" customHeight="1" x14ac:dyDescent="0.35">
      <c r="C12" s="46" t="s">
        <v>60</v>
      </c>
      <c r="D12" s="53" t="s">
        <v>41</v>
      </c>
      <c r="E12" s="73">
        <f>'GRADING PACKING'!P9</f>
        <v>0</v>
      </c>
      <c r="F12" s="74" t="s">
        <v>70</v>
      </c>
      <c r="G12" s="74"/>
      <c r="H12" s="46" t="s">
        <v>60</v>
      </c>
      <c r="I12" s="46"/>
      <c r="J12" s="46" t="s">
        <v>60</v>
      </c>
      <c r="K12" s="46"/>
    </row>
    <row r="13" spans="1:31" ht="22.5" customHeight="1" x14ac:dyDescent="0.35">
      <c r="C13" s="46" t="s">
        <v>60</v>
      </c>
      <c r="D13" s="53" t="s">
        <v>42</v>
      </c>
      <c r="E13" s="73">
        <f>'GRADING PACKING'!P10</f>
        <v>0</v>
      </c>
      <c r="F13" s="74" t="s">
        <v>70</v>
      </c>
      <c r="G13" s="74"/>
      <c r="H13" s="46" t="s">
        <v>60</v>
      </c>
      <c r="I13" s="46"/>
      <c r="J13" s="46" t="s">
        <v>60</v>
      </c>
      <c r="K13" s="46"/>
    </row>
    <row r="14" spans="1:31" ht="22.5" customHeight="1" x14ac:dyDescent="0.35">
      <c r="C14" s="46" t="s">
        <v>60</v>
      </c>
      <c r="D14" s="53" t="s">
        <v>43</v>
      </c>
      <c r="E14" s="73">
        <f>'GRADING PACKING'!P11</f>
        <v>0</v>
      </c>
      <c r="F14" s="74" t="s">
        <v>70</v>
      </c>
      <c r="G14" s="74"/>
      <c r="H14" s="46" t="s">
        <v>60</v>
      </c>
      <c r="I14" s="46"/>
      <c r="J14" s="46" t="s">
        <v>60</v>
      </c>
      <c r="K14" s="46"/>
    </row>
    <row r="15" spans="1:31" ht="22.5" customHeight="1" x14ac:dyDescent="0.35">
      <c r="C15" s="46" t="s">
        <v>60</v>
      </c>
      <c r="D15" s="53" t="s">
        <v>45</v>
      </c>
      <c r="E15" s="73">
        <f>'GRADING PACKING'!P12</f>
        <v>0</v>
      </c>
      <c r="F15" s="74" t="s">
        <v>70</v>
      </c>
      <c r="G15" s="74"/>
      <c r="H15" s="46" t="s">
        <v>60</v>
      </c>
      <c r="I15" s="46"/>
      <c r="J15" s="46" t="s">
        <v>60</v>
      </c>
      <c r="K15" s="46"/>
    </row>
    <row r="16" spans="1:31" ht="22.5" customHeight="1" x14ac:dyDescent="0.35">
      <c r="C16" s="46" t="s">
        <v>60</v>
      </c>
      <c r="D16" s="53" t="s">
        <v>46</v>
      </c>
      <c r="E16" s="73">
        <f>'GRADING PACKING'!P13</f>
        <v>0</v>
      </c>
      <c r="F16" s="74" t="s">
        <v>70</v>
      </c>
      <c r="G16" s="74"/>
      <c r="H16" s="46" t="s">
        <v>60</v>
      </c>
      <c r="I16" s="46"/>
      <c r="J16" s="46" t="s">
        <v>60</v>
      </c>
      <c r="K16" s="46"/>
      <c r="M16" s="46"/>
    </row>
    <row r="17" spans="3:24" ht="22.5" customHeight="1" x14ac:dyDescent="0.35">
      <c r="C17" s="46" t="s">
        <v>60</v>
      </c>
      <c r="D17" s="53" t="s">
        <v>64</v>
      </c>
      <c r="E17" s="73">
        <f>'GRADING PACKING'!P14</f>
        <v>0</v>
      </c>
      <c r="F17" s="46" t="s">
        <v>60</v>
      </c>
      <c r="G17" s="46"/>
      <c r="H17" s="46" t="s">
        <v>60</v>
      </c>
      <c r="I17" s="46"/>
      <c r="J17" s="46" t="s">
        <v>60</v>
      </c>
      <c r="K17" s="46"/>
    </row>
    <row r="18" spans="3:24" ht="15" customHeight="1" x14ac:dyDescent="0.3">
      <c r="D18" s="53" t="s">
        <v>36</v>
      </c>
      <c r="E18" s="73">
        <f>'GRADING PACKING'!P15</f>
        <v>0</v>
      </c>
    </row>
    <row r="19" spans="3:24" ht="14.5" x14ac:dyDescent="0.35">
      <c r="C19" s="46"/>
      <c r="D19" s="53" t="s">
        <v>16</v>
      </c>
      <c r="E19" s="73">
        <f>'GRADING PACKING'!P16</f>
        <v>0</v>
      </c>
    </row>
    <row r="20" spans="3:24" ht="18.75" customHeight="1" x14ac:dyDescent="0.3">
      <c r="D20" s="53" t="s">
        <v>17</v>
      </c>
      <c r="E20" s="73">
        <f>'GRADING PACKING'!P17</f>
        <v>0</v>
      </c>
    </row>
    <row r="21" spans="3:24" ht="15.75" customHeight="1" x14ac:dyDescent="0.45">
      <c r="X21" s="75" t="s">
        <v>67</v>
      </c>
    </row>
    <row r="22" spans="3:24" ht="15.75" customHeight="1" x14ac:dyDescent="0.3"/>
    <row r="23" spans="3:24" ht="15.75" customHeight="1" x14ac:dyDescent="0.3"/>
    <row r="24" spans="3:24" ht="15.75" customHeight="1" x14ac:dyDescent="0.3"/>
    <row r="25" spans="3:24" ht="15.75" customHeight="1" x14ac:dyDescent="0.3"/>
    <row r="26" spans="3:24" ht="15.75" customHeight="1" x14ac:dyDescent="0.3"/>
    <row r="27" spans="3:24" ht="15.75" customHeight="1" x14ac:dyDescent="0.3"/>
    <row r="28" spans="3:24" ht="15.75" customHeight="1" x14ac:dyDescent="0.3"/>
    <row r="29" spans="3:24" ht="15.75" customHeight="1" x14ac:dyDescent="0.3"/>
    <row r="30" spans="3:24" ht="15.75" customHeight="1" x14ac:dyDescent="0.3"/>
    <row r="31" spans="3:24" ht="15.75" customHeight="1" x14ac:dyDescent="0.3"/>
    <row r="32" spans="3:24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D9:E9"/>
  </mergeCells>
  <pageMargins left="0.7" right="0.7" top="0.75" bottom="0.75" header="0" footer="0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EK875"/>
  <sheetViews>
    <sheetView topLeftCell="A6" zoomScale="72" zoomScaleNormal="80" workbookViewId="0">
      <selection activeCell="O25" sqref="O25"/>
    </sheetView>
  </sheetViews>
  <sheetFormatPr defaultColWidth="12.58203125" defaultRowHeight="15" customHeight="1" x14ac:dyDescent="0.3"/>
  <cols>
    <col min="1" max="1" width="3.25" customWidth="1"/>
    <col min="2" max="2" width="12.83203125" style="140" customWidth="1"/>
    <col min="3" max="3" width="20.25" customWidth="1"/>
    <col min="4" max="4" width="10.75" bestFit="1" customWidth="1"/>
    <col min="5" max="5" width="12.5" bestFit="1" customWidth="1"/>
    <col min="6" max="6" width="2.75" customWidth="1"/>
    <col min="7" max="7" width="11.25" customWidth="1"/>
    <col min="8" max="8" width="8" style="99" bestFit="1" customWidth="1"/>
    <col min="9" max="9" width="13" bestFit="1" customWidth="1"/>
    <col min="10" max="10" width="15.25" bestFit="1" customWidth="1"/>
    <col min="11" max="11" width="13.58203125" bestFit="1" customWidth="1"/>
    <col min="12" max="12" width="13" style="214" bestFit="1" customWidth="1"/>
    <col min="13" max="14" width="9.83203125" customWidth="1"/>
    <col min="15" max="15" width="19.33203125" bestFit="1" customWidth="1"/>
    <col min="16" max="17" width="13.08203125" bestFit="1" customWidth="1"/>
    <col min="18" max="18" width="3.08203125" bestFit="1" customWidth="1"/>
    <col min="19" max="20" width="3.75" bestFit="1" customWidth="1"/>
    <col min="21" max="21" width="6.83203125" bestFit="1" customWidth="1"/>
    <col min="22" max="25" width="9.08203125" bestFit="1" customWidth="1"/>
    <col min="26" max="26" width="11.58203125" bestFit="1" customWidth="1"/>
    <col min="27" max="29" width="9.08203125" bestFit="1" customWidth="1"/>
    <col min="30" max="30" width="6.5" bestFit="1" customWidth="1"/>
    <col min="31" max="31" width="15.08203125" bestFit="1" customWidth="1"/>
    <col min="32" max="32" width="16" bestFit="1" customWidth="1"/>
    <col min="33" max="33" width="5.75" bestFit="1" customWidth="1"/>
    <col min="34" max="35" width="14.08203125" bestFit="1" customWidth="1"/>
    <col min="36" max="36" width="13.08203125" bestFit="1" customWidth="1"/>
    <col min="37" max="37" width="3" bestFit="1" customWidth="1"/>
    <col min="38" max="38" width="11.08203125" bestFit="1" customWidth="1"/>
    <col min="39" max="39" width="18.83203125" bestFit="1" customWidth="1"/>
    <col min="40" max="43" width="13.08203125" bestFit="1" customWidth="1"/>
    <col min="44" max="44" width="5.75" bestFit="1" customWidth="1"/>
    <col min="45" max="45" width="6.75" bestFit="1" customWidth="1"/>
    <col min="46" max="46" width="5.75" bestFit="1" customWidth="1"/>
    <col min="47" max="47" width="6.83203125" bestFit="1" customWidth="1"/>
    <col min="48" max="51" width="9.08203125" bestFit="1" customWidth="1"/>
    <col min="52" max="52" width="11.58203125" bestFit="1" customWidth="1"/>
    <col min="53" max="55" width="9.08203125" bestFit="1" customWidth="1"/>
    <col min="56" max="56" width="6.5" bestFit="1" customWidth="1"/>
    <col min="57" max="57" width="4.75" bestFit="1" customWidth="1"/>
    <col min="58" max="58" width="16" bestFit="1" customWidth="1"/>
    <col min="59" max="59" width="4.75" bestFit="1" customWidth="1"/>
    <col min="60" max="61" width="14.08203125" bestFit="1" customWidth="1"/>
    <col min="62" max="62" width="13.08203125" bestFit="1" customWidth="1"/>
    <col min="63" max="63" width="3" bestFit="1" customWidth="1"/>
    <col min="64" max="64" width="11.08203125" bestFit="1" customWidth="1"/>
    <col min="65" max="65" width="18.83203125" bestFit="1" customWidth="1"/>
    <col min="66" max="69" width="13.08203125" bestFit="1" customWidth="1"/>
    <col min="70" max="70" width="3.75" bestFit="1" customWidth="1"/>
    <col min="71" max="71" width="5.75" bestFit="1" customWidth="1"/>
    <col min="72" max="72" width="4.75" bestFit="1" customWidth="1"/>
    <col min="73" max="73" width="6.83203125" bestFit="1" customWidth="1"/>
    <col min="74" max="77" width="9.08203125" bestFit="1" customWidth="1"/>
    <col min="78" max="78" width="11.58203125" bestFit="1" customWidth="1"/>
    <col min="79" max="81" width="9.08203125" bestFit="1" customWidth="1"/>
    <col min="82" max="82" width="6.5" bestFit="1" customWidth="1"/>
    <col min="83" max="83" width="11.58203125" bestFit="1" customWidth="1"/>
    <col min="84" max="84" width="16" bestFit="1" customWidth="1"/>
    <col min="85" max="85" width="3" bestFit="1" customWidth="1"/>
    <col min="86" max="87" width="14.08203125" bestFit="1" customWidth="1"/>
    <col min="88" max="88" width="13.08203125" bestFit="1" customWidth="1"/>
    <col min="89" max="89" width="3" bestFit="1" customWidth="1"/>
    <col min="90" max="90" width="11.08203125" bestFit="1" customWidth="1"/>
    <col min="91" max="91" width="18.83203125" bestFit="1" customWidth="1"/>
    <col min="92" max="95" width="13.08203125" bestFit="1" customWidth="1"/>
    <col min="96" max="98" width="3.08203125" bestFit="1" customWidth="1"/>
    <col min="99" max="99" width="6.83203125" bestFit="1" customWidth="1"/>
    <col min="100" max="103" width="9.08203125" bestFit="1" customWidth="1"/>
    <col min="104" max="104" width="11.58203125" bestFit="1" customWidth="1"/>
    <col min="105" max="107" width="9.08203125" bestFit="1" customWidth="1"/>
    <col min="108" max="108" width="6.5" bestFit="1" customWidth="1"/>
    <col min="109" max="109" width="10.5" bestFit="1" customWidth="1"/>
    <col min="110" max="110" width="16" bestFit="1" customWidth="1"/>
    <col min="111" max="111" width="3" bestFit="1" customWidth="1"/>
    <col min="112" max="113" width="14.08203125" bestFit="1" customWidth="1"/>
    <col min="114" max="114" width="13.08203125" bestFit="1" customWidth="1"/>
    <col min="115" max="115" width="3" bestFit="1" customWidth="1"/>
    <col min="116" max="116" width="11.08203125" bestFit="1" customWidth="1"/>
    <col min="117" max="117" width="18.83203125" bestFit="1" customWidth="1"/>
    <col min="118" max="121" width="13.08203125" bestFit="1" customWidth="1"/>
    <col min="122" max="124" width="3.08203125" bestFit="1" customWidth="1"/>
    <col min="125" max="125" width="6.83203125" bestFit="1" customWidth="1"/>
    <col min="126" max="129" width="9.08203125" bestFit="1" customWidth="1"/>
    <col min="130" max="130" width="11.58203125" bestFit="1" customWidth="1"/>
    <col min="131" max="133" width="9.08203125" bestFit="1" customWidth="1"/>
    <col min="134" max="134" width="6.5" bestFit="1" customWidth="1"/>
    <col min="135" max="135" width="18.83203125" bestFit="1" customWidth="1"/>
    <col min="136" max="136" width="14.33203125" bestFit="1" customWidth="1"/>
    <col min="137" max="137" width="18.08203125" bestFit="1" customWidth="1"/>
    <col min="138" max="138" width="20" bestFit="1" customWidth="1"/>
    <col min="139" max="139" width="8.33203125" bestFit="1" customWidth="1"/>
    <col min="140" max="140" width="16.5" bestFit="1" customWidth="1"/>
    <col min="141" max="141" width="15.33203125" bestFit="1" customWidth="1"/>
  </cols>
  <sheetData>
    <row r="1" spans="1:16" ht="15" customHeight="1" x14ac:dyDescent="0.3">
      <c r="A1" s="49"/>
      <c r="B1" s="76"/>
      <c r="D1" s="77"/>
      <c r="E1" s="77"/>
      <c r="F1" s="77"/>
      <c r="G1" s="78"/>
      <c r="H1" s="78"/>
      <c r="I1" s="77"/>
    </row>
    <row r="2" spans="1:16" ht="15" customHeight="1" x14ac:dyDescent="0.3">
      <c r="A2" s="49"/>
      <c r="B2" s="76"/>
      <c r="D2" s="77"/>
      <c r="E2" s="77"/>
      <c r="F2" s="77"/>
      <c r="G2" s="78"/>
      <c r="H2" s="78"/>
      <c r="I2" s="77"/>
    </row>
    <row r="3" spans="1:16" ht="14" x14ac:dyDescent="0.3">
      <c r="A3" s="49"/>
      <c r="B3" s="76"/>
      <c r="D3" s="77"/>
      <c r="E3" s="77"/>
      <c r="F3" s="77"/>
      <c r="G3" s="78"/>
      <c r="H3" s="78"/>
      <c r="I3" s="77"/>
    </row>
    <row r="4" spans="1:16" ht="14" x14ac:dyDescent="0.3">
      <c r="A4" s="49"/>
      <c r="B4" s="76"/>
      <c r="D4" s="77"/>
      <c r="E4" s="77"/>
      <c r="F4" s="77"/>
      <c r="G4" s="78"/>
      <c r="H4" s="78"/>
      <c r="I4" s="77"/>
    </row>
    <row r="5" spans="1:16" ht="14" x14ac:dyDescent="0.3">
      <c r="A5" s="49"/>
      <c r="B5" s="76"/>
      <c r="D5" s="77"/>
      <c r="E5" s="77"/>
      <c r="F5" s="77"/>
      <c r="G5" s="78"/>
      <c r="H5" s="78"/>
      <c r="I5" s="77"/>
    </row>
    <row r="6" spans="1:16" ht="14" x14ac:dyDescent="0.3">
      <c r="A6" s="49"/>
      <c r="B6" s="76"/>
      <c r="D6" s="77"/>
      <c r="E6" s="77"/>
      <c r="F6" s="77"/>
      <c r="G6" s="78"/>
      <c r="H6" s="78"/>
      <c r="I6" s="77"/>
    </row>
    <row r="7" spans="1:16" ht="14" x14ac:dyDescent="0.3">
      <c r="A7" s="49"/>
      <c r="B7" s="76"/>
      <c r="D7" s="77"/>
      <c r="E7" s="77"/>
      <c r="F7" s="77"/>
      <c r="G7" s="78"/>
      <c r="H7" s="78"/>
      <c r="I7" s="77"/>
    </row>
    <row r="8" spans="1:16" ht="14" x14ac:dyDescent="0.3">
      <c r="A8" s="49"/>
      <c r="B8" s="76"/>
      <c r="D8" s="77"/>
      <c r="E8" s="77"/>
      <c r="F8" s="77"/>
      <c r="G8" s="78"/>
      <c r="H8" s="78"/>
      <c r="I8" s="77"/>
    </row>
    <row r="9" spans="1:16" ht="14" x14ac:dyDescent="0.3">
      <c r="A9" s="49"/>
      <c r="B9" s="76"/>
      <c r="D9" s="77"/>
      <c r="E9" s="77"/>
      <c r="F9" s="77"/>
      <c r="G9" s="78"/>
      <c r="H9" s="78"/>
      <c r="I9" s="77"/>
    </row>
    <row r="10" spans="1:16" ht="14" x14ac:dyDescent="0.3">
      <c r="A10" s="49"/>
      <c r="B10" s="76"/>
      <c r="D10" s="77"/>
      <c r="E10" s="77"/>
      <c r="F10" s="77"/>
      <c r="G10" s="78"/>
      <c r="H10" s="78"/>
      <c r="I10" s="77"/>
    </row>
    <row r="11" spans="1:16" ht="14" x14ac:dyDescent="0.3">
      <c r="A11" s="49"/>
      <c r="B11" s="76"/>
      <c r="D11" s="77"/>
      <c r="E11" s="77"/>
      <c r="F11" s="77"/>
      <c r="G11" s="78"/>
      <c r="H11" s="78"/>
      <c r="I11" s="77"/>
      <c r="O11" t="s">
        <v>120</v>
      </c>
      <c r="P11" s="193">
        <v>46106</v>
      </c>
    </row>
    <row r="12" spans="1:16" ht="14" x14ac:dyDescent="0.3">
      <c r="A12" s="49"/>
      <c r="B12" s="76"/>
      <c r="D12" s="77"/>
      <c r="E12" s="77"/>
      <c r="F12" s="77"/>
      <c r="G12" s="78"/>
      <c r="H12" s="78"/>
      <c r="I12" s="77"/>
      <c r="O12" t="s">
        <v>121</v>
      </c>
      <c r="P12" s="193">
        <f ca="1">TODAY()</f>
        <v>46134</v>
      </c>
    </row>
    <row r="13" spans="1:16" ht="14" x14ac:dyDescent="0.3">
      <c r="A13" s="49"/>
      <c r="B13" s="76"/>
      <c r="D13" s="77"/>
      <c r="E13" s="77"/>
      <c r="F13" s="77"/>
      <c r="G13" s="78"/>
      <c r="H13" s="78"/>
      <c r="I13" s="77"/>
      <c r="O13" t="s">
        <v>122</v>
      </c>
      <c r="P13">
        <f ca="1">P12-P11</f>
        <v>28</v>
      </c>
    </row>
    <row r="14" spans="1:16" ht="20" x14ac:dyDescent="0.4">
      <c r="A14" s="49"/>
      <c r="B14" s="76"/>
      <c r="D14" s="77"/>
      <c r="E14" s="77"/>
      <c r="F14" s="77"/>
      <c r="G14" s="78"/>
      <c r="H14" s="78"/>
      <c r="I14" s="77"/>
      <c r="O14" t="s">
        <v>123</v>
      </c>
      <c r="P14" s="194">
        <f ca="1">GETPIVOTDATA("Total Graded QT",$B$19)/P13</f>
        <v>130.71535714285713</v>
      </c>
    </row>
    <row r="15" spans="1:16" ht="14" x14ac:dyDescent="0.3">
      <c r="A15" s="49"/>
      <c r="B15" s="76"/>
      <c r="D15" s="77"/>
      <c r="E15" s="77"/>
      <c r="F15" s="77"/>
      <c r="G15" s="78"/>
      <c r="H15" s="78"/>
      <c r="I15" s="77"/>
    </row>
    <row r="16" spans="1:16" ht="14" x14ac:dyDescent="0.3">
      <c r="B16" s="76"/>
      <c r="D16" s="77"/>
      <c r="E16" s="77"/>
      <c r="F16" s="77"/>
      <c r="G16" s="78"/>
      <c r="H16" s="78"/>
      <c r="I16" s="77"/>
    </row>
    <row r="17" spans="2:141" ht="14" x14ac:dyDescent="0.3">
      <c r="B17" s="216" t="s">
        <v>35</v>
      </c>
      <c r="C17" s="120" t="s">
        <v>188</v>
      </c>
      <c r="D17" s="77"/>
      <c r="E17" s="77"/>
      <c r="F17" s="77"/>
      <c r="G17" s="78"/>
      <c r="H17" s="78"/>
      <c r="I17" s="77"/>
    </row>
    <row r="18" spans="2:141" ht="14" x14ac:dyDescent="0.3">
      <c r="B18" s="220"/>
      <c r="C18" s="8"/>
      <c r="D18" s="77"/>
      <c r="E18" s="77"/>
      <c r="F18" s="77"/>
      <c r="G18" s="78"/>
      <c r="H18" s="78"/>
      <c r="I18" s="77"/>
    </row>
    <row r="19" spans="2:141" s="89" customFormat="1" ht="126" x14ac:dyDescent="0.3">
      <c r="B19" s="217" t="s">
        <v>8</v>
      </c>
      <c r="C19" s="139" t="s">
        <v>9</v>
      </c>
      <c r="D19" s="137" t="s">
        <v>72</v>
      </c>
      <c r="E19" s="137" t="s">
        <v>73</v>
      </c>
      <c r="F19" s="137" t="s">
        <v>74</v>
      </c>
      <c r="G19" s="137" t="s">
        <v>83</v>
      </c>
      <c r="H19" s="137" t="s">
        <v>75</v>
      </c>
      <c r="I19" s="138" t="s">
        <v>87</v>
      </c>
      <c r="J19" s="137" t="s">
        <v>76</v>
      </c>
      <c r="K19" s="137" t="s">
        <v>77</v>
      </c>
      <c r="L19" s="218" t="s">
        <v>88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</row>
    <row r="20" spans="2:141" ht="14" x14ac:dyDescent="0.3">
      <c r="B20" s="215" t="s">
        <v>119</v>
      </c>
      <c r="C20" s="120"/>
      <c r="D20" s="234"/>
      <c r="E20" s="234">
        <v>0</v>
      </c>
      <c r="F20" s="234"/>
      <c r="G20" s="234"/>
      <c r="H20" s="234"/>
      <c r="I20" s="234">
        <v>0.53129999999999644</v>
      </c>
      <c r="J20" s="234"/>
      <c r="K20" s="234"/>
      <c r="L20" s="234">
        <v>0</v>
      </c>
    </row>
    <row r="21" spans="2:141" ht="14" x14ac:dyDescent="0.3">
      <c r="B21" s="120">
        <v>0</v>
      </c>
      <c r="C21" s="120"/>
      <c r="D21" s="234">
        <v>0</v>
      </c>
      <c r="E21" s="234">
        <v>0</v>
      </c>
      <c r="F21" s="234"/>
      <c r="G21" s="234"/>
      <c r="H21" s="234"/>
      <c r="I21" s="234">
        <v>1.1000000000000001E-3</v>
      </c>
      <c r="J21" s="234"/>
      <c r="K21" s="234"/>
      <c r="L21" s="234">
        <v>0</v>
      </c>
    </row>
    <row r="22" spans="2:141" ht="14" x14ac:dyDescent="0.3">
      <c r="B22" s="120">
        <v>3385</v>
      </c>
      <c r="C22" s="120"/>
      <c r="D22" s="234">
        <v>963</v>
      </c>
      <c r="E22" s="234">
        <v>574.28</v>
      </c>
      <c r="F22" s="234"/>
      <c r="G22" s="234"/>
      <c r="H22" s="234"/>
      <c r="I22" s="234">
        <v>574.28880000000004</v>
      </c>
      <c r="J22" s="234"/>
      <c r="K22" s="234"/>
      <c r="L22" s="234">
        <v>0</v>
      </c>
    </row>
    <row r="23" spans="2:141" ht="14" x14ac:dyDescent="0.3">
      <c r="B23" s="120" t="s">
        <v>125</v>
      </c>
      <c r="C23" s="120"/>
      <c r="D23" s="234">
        <v>0</v>
      </c>
      <c r="E23" s="234">
        <v>1109.25</v>
      </c>
      <c r="F23" s="234">
        <v>1754</v>
      </c>
      <c r="G23" s="234">
        <v>964.69999999999993</v>
      </c>
      <c r="H23" s="234">
        <v>143.80000000000001</v>
      </c>
      <c r="I23" s="234">
        <v>0.77200000000003399</v>
      </c>
      <c r="J23" s="234"/>
      <c r="K23" s="234"/>
      <c r="L23" s="234">
        <v>964.69999999999993</v>
      </c>
    </row>
    <row r="24" spans="2:141" ht="14" x14ac:dyDescent="0.3">
      <c r="B24" s="120" t="s">
        <v>143</v>
      </c>
      <c r="C24" s="120"/>
      <c r="D24" s="234">
        <v>54</v>
      </c>
      <c r="E24" s="234">
        <v>956.56999999999994</v>
      </c>
      <c r="F24" s="234">
        <v>1589</v>
      </c>
      <c r="G24" s="234">
        <v>874.28</v>
      </c>
      <c r="H24" s="234">
        <v>80.539999999999992</v>
      </c>
      <c r="I24" s="234">
        <v>1.7621000000000464</v>
      </c>
      <c r="J24" s="234"/>
      <c r="K24" s="234"/>
      <c r="L24" s="234">
        <v>874.28</v>
      </c>
    </row>
    <row r="25" spans="2:141" ht="14" x14ac:dyDescent="0.3">
      <c r="B25" s="120" t="s">
        <v>146</v>
      </c>
      <c r="C25" s="120"/>
      <c r="D25" s="234">
        <v>88</v>
      </c>
      <c r="E25" s="234">
        <v>45.77</v>
      </c>
      <c r="F25" s="234"/>
      <c r="G25" s="234"/>
      <c r="H25" s="234"/>
      <c r="I25" s="234">
        <v>45.771100000000004</v>
      </c>
      <c r="J25" s="234"/>
      <c r="K25" s="234"/>
      <c r="L25" s="234">
        <v>0</v>
      </c>
    </row>
    <row r="26" spans="2:141" ht="14" x14ac:dyDescent="0.3">
      <c r="B26" s="120" t="s">
        <v>155</v>
      </c>
      <c r="C26" s="120"/>
      <c r="D26" s="234">
        <v>1501</v>
      </c>
      <c r="E26" s="234">
        <v>902.05</v>
      </c>
      <c r="F26" s="234"/>
      <c r="G26" s="234"/>
      <c r="H26" s="234"/>
      <c r="I26" s="234">
        <v>902.06539999999995</v>
      </c>
      <c r="J26" s="234"/>
      <c r="K26" s="234"/>
      <c r="L26" s="234">
        <v>0</v>
      </c>
    </row>
    <row r="27" spans="2:141" ht="14" x14ac:dyDescent="0.3">
      <c r="B27" s="120" t="s">
        <v>172</v>
      </c>
      <c r="C27" s="120"/>
      <c r="D27" s="234">
        <v>151</v>
      </c>
      <c r="E27" s="234">
        <v>80.050000000000011</v>
      </c>
      <c r="F27" s="234"/>
      <c r="G27" s="234"/>
      <c r="H27" s="234"/>
      <c r="I27" s="234">
        <v>80.052199999999999</v>
      </c>
      <c r="J27" s="234"/>
      <c r="K27" s="234"/>
      <c r="L27" s="234">
        <v>0</v>
      </c>
    </row>
    <row r="28" spans="2:141" ht="14" x14ac:dyDescent="0.3">
      <c r="B28" s="120" t="s">
        <v>176</v>
      </c>
      <c r="C28" s="120"/>
      <c r="D28" s="234">
        <v>171</v>
      </c>
      <c r="E28" s="234">
        <v>108.52</v>
      </c>
      <c r="F28" s="234"/>
      <c r="G28" s="234"/>
      <c r="H28" s="234"/>
      <c r="I28" s="234">
        <v>108.52330000000001</v>
      </c>
      <c r="J28" s="234"/>
      <c r="K28" s="234"/>
      <c r="L28" s="234">
        <v>0</v>
      </c>
    </row>
    <row r="29" spans="2:141" ht="14" x14ac:dyDescent="0.3">
      <c r="B29" s="120" t="s">
        <v>190</v>
      </c>
      <c r="C29" s="120"/>
      <c r="D29" s="234">
        <v>0</v>
      </c>
      <c r="E29" s="234">
        <v>438.84999999999997</v>
      </c>
      <c r="F29" s="234">
        <v>698</v>
      </c>
      <c r="G29" s="234">
        <v>384.14</v>
      </c>
      <c r="H29" s="234">
        <v>52.54</v>
      </c>
      <c r="I29" s="234">
        <v>2.1743999999999915</v>
      </c>
      <c r="J29" s="234"/>
      <c r="K29" s="234"/>
      <c r="L29" s="234">
        <v>384.14</v>
      </c>
    </row>
    <row r="30" spans="2:141" ht="14" x14ac:dyDescent="0.3">
      <c r="B30" s="120" t="s">
        <v>196</v>
      </c>
      <c r="C30" s="120"/>
      <c r="D30" s="234">
        <v>0</v>
      </c>
      <c r="E30" s="234">
        <v>466.25</v>
      </c>
      <c r="F30" s="234">
        <v>774</v>
      </c>
      <c r="G30" s="234">
        <v>425.7</v>
      </c>
      <c r="H30" s="234">
        <v>39.67</v>
      </c>
      <c r="I30" s="234">
        <v>0.88439999999999941</v>
      </c>
      <c r="J30" s="234"/>
      <c r="K30" s="234"/>
      <c r="L30" s="234">
        <v>425.7</v>
      </c>
    </row>
    <row r="31" spans="2:141" ht="14" x14ac:dyDescent="0.3">
      <c r="B31" s="120" t="s">
        <v>199</v>
      </c>
      <c r="C31" s="120"/>
      <c r="D31" s="234">
        <v>0</v>
      </c>
      <c r="E31" s="234">
        <v>1724.8</v>
      </c>
      <c r="F31" s="234">
        <v>1838</v>
      </c>
      <c r="G31" s="234">
        <v>1011.21</v>
      </c>
      <c r="H31" s="234">
        <v>96.390000000000015</v>
      </c>
      <c r="I31" s="234">
        <v>617.22860000000014</v>
      </c>
      <c r="J31" s="234"/>
      <c r="K31" s="234"/>
      <c r="L31" s="234">
        <v>1011.21</v>
      </c>
    </row>
    <row r="32" spans="2:141" ht="14" x14ac:dyDescent="0.3">
      <c r="B32" s="120" t="s">
        <v>202</v>
      </c>
      <c r="C32" s="120"/>
      <c r="D32" s="234">
        <v>300</v>
      </c>
      <c r="E32" s="234">
        <v>149.80000000000001</v>
      </c>
      <c r="F32" s="234"/>
      <c r="G32" s="234"/>
      <c r="H32" s="234"/>
      <c r="I32" s="234">
        <v>149.8022</v>
      </c>
      <c r="J32" s="234"/>
      <c r="K32" s="234"/>
      <c r="L32" s="234">
        <v>0</v>
      </c>
    </row>
    <row r="33" spans="2:12" ht="14" x14ac:dyDescent="0.3">
      <c r="B33" s="120" t="s">
        <v>215</v>
      </c>
      <c r="C33" s="120"/>
      <c r="D33" s="234">
        <v>558</v>
      </c>
      <c r="E33" s="234">
        <v>318.60000000000002</v>
      </c>
      <c r="F33" s="234"/>
      <c r="G33" s="234"/>
      <c r="H33" s="234"/>
      <c r="I33" s="234">
        <v>318.60329999999999</v>
      </c>
      <c r="J33" s="234"/>
      <c r="K33" s="234"/>
      <c r="L33" s="234">
        <v>0</v>
      </c>
    </row>
    <row r="34" spans="2:12" ht="14" x14ac:dyDescent="0.3">
      <c r="B34" s="120" t="s">
        <v>219</v>
      </c>
      <c r="C34" s="120"/>
      <c r="D34" s="234">
        <v>585</v>
      </c>
      <c r="E34" s="234">
        <v>323.43</v>
      </c>
      <c r="F34" s="234"/>
      <c r="G34" s="234"/>
      <c r="H34" s="234"/>
      <c r="I34" s="234">
        <v>323.43439999999998</v>
      </c>
      <c r="J34" s="234"/>
      <c r="K34" s="234"/>
      <c r="L34" s="234">
        <v>0</v>
      </c>
    </row>
    <row r="35" spans="2:12" ht="14" x14ac:dyDescent="0.3">
      <c r="B35" s="120" t="s">
        <v>231</v>
      </c>
      <c r="C35" s="120"/>
      <c r="D35" s="234">
        <v>193</v>
      </c>
      <c r="E35" s="234">
        <v>106.74</v>
      </c>
      <c r="F35" s="234"/>
      <c r="G35" s="234"/>
      <c r="H35" s="234"/>
      <c r="I35" s="234">
        <v>106.74109999999999</v>
      </c>
      <c r="J35" s="234"/>
      <c r="K35" s="234"/>
      <c r="L35" s="234">
        <v>0</v>
      </c>
    </row>
    <row r="36" spans="2:12" ht="14" x14ac:dyDescent="0.3">
      <c r="B36" s="215" t="s">
        <v>71</v>
      </c>
      <c r="C36" s="215"/>
      <c r="D36" s="234">
        <v>4564</v>
      </c>
      <c r="E36" s="234">
        <v>7304.9600000000009</v>
      </c>
      <c r="F36" s="234">
        <v>6653</v>
      </c>
      <c r="G36" s="234">
        <v>3660.0299999999997</v>
      </c>
      <c r="H36" s="234">
        <v>412.94000000000005</v>
      </c>
      <c r="I36" s="234">
        <v>3232.6357000000007</v>
      </c>
      <c r="J36" s="234"/>
      <c r="K36" s="234"/>
      <c r="L36" s="234">
        <v>3660.0299999999997</v>
      </c>
    </row>
    <row r="37" spans="2:12" ht="14" x14ac:dyDescent="0.3">
      <c r="B37"/>
      <c r="H37"/>
      <c r="L37"/>
    </row>
    <row r="38" spans="2:12" ht="14.25" customHeight="1" x14ac:dyDescent="0.3">
      <c r="B38"/>
      <c r="H38"/>
      <c r="L38"/>
    </row>
    <row r="39" spans="2:12" ht="14.25" customHeight="1" x14ac:dyDescent="0.3">
      <c r="B39"/>
      <c r="H39"/>
      <c r="L39"/>
    </row>
    <row r="40" spans="2:12" ht="14.25" customHeight="1" x14ac:dyDescent="0.3">
      <c r="B40"/>
      <c r="H40"/>
      <c r="L40"/>
    </row>
    <row r="41" spans="2:12" ht="14" x14ac:dyDescent="0.3">
      <c r="B41"/>
      <c r="H41"/>
      <c r="L41"/>
    </row>
    <row r="42" spans="2:12" ht="14" x14ac:dyDescent="0.3">
      <c r="B42"/>
      <c r="H42"/>
      <c r="L42"/>
    </row>
    <row r="43" spans="2:12" ht="14" x14ac:dyDescent="0.3">
      <c r="B43"/>
      <c r="H43"/>
      <c r="L43"/>
    </row>
    <row r="44" spans="2:12" ht="14" x14ac:dyDescent="0.3">
      <c r="B44"/>
      <c r="H44"/>
      <c r="L44"/>
    </row>
    <row r="45" spans="2:12" ht="14" x14ac:dyDescent="0.3">
      <c r="B45"/>
      <c r="H45"/>
      <c r="L45"/>
    </row>
    <row r="46" spans="2:12" ht="14" x14ac:dyDescent="0.3">
      <c r="B46"/>
      <c r="H46"/>
      <c r="L46"/>
    </row>
    <row r="47" spans="2:12" ht="14" x14ac:dyDescent="0.3">
      <c r="B47"/>
      <c r="H47"/>
      <c r="L47"/>
    </row>
    <row r="48" spans="2:12" ht="14" x14ac:dyDescent="0.3">
      <c r="B48"/>
      <c r="H48"/>
      <c r="L48"/>
    </row>
    <row r="49" customFormat="1" ht="14" x14ac:dyDescent="0.3"/>
    <row r="50" customFormat="1" ht="14" x14ac:dyDescent="0.3"/>
    <row r="51" customFormat="1" ht="14" x14ac:dyDescent="0.3"/>
    <row r="52" customFormat="1" ht="14" x14ac:dyDescent="0.3"/>
    <row r="53" customFormat="1" ht="14" x14ac:dyDescent="0.3"/>
    <row r="54" customFormat="1" ht="14" x14ac:dyDescent="0.3"/>
    <row r="55" customFormat="1" ht="14" x14ac:dyDescent="0.3"/>
    <row r="56" customFormat="1" ht="14" x14ac:dyDescent="0.3"/>
    <row r="57" customFormat="1" ht="14" x14ac:dyDescent="0.3"/>
    <row r="58" customFormat="1" ht="14" x14ac:dyDescent="0.3"/>
    <row r="59" customFormat="1" ht="14" x14ac:dyDescent="0.3"/>
    <row r="60" customFormat="1" ht="14" x14ac:dyDescent="0.3"/>
    <row r="61" customFormat="1" ht="14" x14ac:dyDescent="0.3"/>
    <row r="62" customFormat="1" ht="14.25" customHeight="1" x14ac:dyDescent="0.3"/>
    <row r="63" customFormat="1" ht="14.25" customHeight="1" x14ac:dyDescent="0.3"/>
    <row r="64" customFormat="1" ht="14.25" customHeight="1" x14ac:dyDescent="0.3"/>
    <row r="65" customFormat="1" ht="14.25" customHeight="1" x14ac:dyDescent="0.3"/>
    <row r="66" customFormat="1" ht="14.25" customHeight="1" x14ac:dyDescent="0.3"/>
    <row r="67" customFormat="1" ht="14.25" customHeight="1" x14ac:dyDescent="0.3"/>
    <row r="68" customFormat="1" ht="14.25" customHeight="1" x14ac:dyDescent="0.3"/>
    <row r="69" customFormat="1" ht="15.75" customHeight="1" x14ac:dyDescent="0.3"/>
    <row r="70" customFormat="1" ht="15.75" customHeight="1" x14ac:dyDescent="0.3"/>
    <row r="71" customFormat="1" ht="15.75" customHeight="1" x14ac:dyDescent="0.3"/>
    <row r="72" customFormat="1" ht="15.75" customHeight="1" x14ac:dyDescent="0.3"/>
    <row r="73" customFormat="1" ht="15.75" customHeight="1" x14ac:dyDescent="0.3"/>
    <row r="74" customFormat="1" ht="15.75" customHeight="1" x14ac:dyDescent="0.3"/>
    <row r="75" customFormat="1" ht="15.75" customHeight="1" x14ac:dyDescent="0.3"/>
    <row r="76" customFormat="1" ht="15.75" customHeight="1" x14ac:dyDescent="0.3"/>
    <row r="77" customFormat="1" ht="15.75" customHeight="1" x14ac:dyDescent="0.3"/>
    <row r="78" customFormat="1" ht="15.75" customHeight="1" x14ac:dyDescent="0.3"/>
    <row r="79" customFormat="1" ht="15.75" customHeight="1" x14ac:dyDescent="0.3"/>
    <row r="80" customFormat="1" ht="15.75" customHeight="1" x14ac:dyDescent="0.3"/>
    <row r="81" spans="2:12" ht="15.75" customHeight="1" x14ac:dyDescent="0.3">
      <c r="B81"/>
      <c r="H81"/>
      <c r="L81"/>
    </row>
    <row r="82" spans="2:12" ht="15.75" customHeight="1" x14ac:dyDescent="0.3">
      <c r="B82"/>
      <c r="H82"/>
      <c r="L82"/>
    </row>
    <row r="83" spans="2:12" ht="15.75" customHeight="1" x14ac:dyDescent="0.3">
      <c r="B83"/>
      <c r="H83"/>
      <c r="L83"/>
    </row>
    <row r="84" spans="2:12" ht="15.75" customHeight="1" x14ac:dyDescent="0.3">
      <c r="B84"/>
      <c r="H84"/>
      <c r="L84"/>
    </row>
    <row r="85" spans="2:12" ht="15.75" customHeight="1" x14ac:dyDescent="0.3">
      <c r="B85"/>
      <c r="H85"/>
      <c r="L85"/>
    </row>
    <row r="86" spans="2:12" ht="15.75" customHeight="1" x14ac:dyDescent="0.3">
      <c r="B86"/>
      <c r="H86"/>
      <c r="L86"/>
    </row>
    <row r="87" spans="2:12" ht="15.75" customHeight="1" x14ac:dyDescent="0.3">
      <c r="B87"/>
      <c r="H87"/>
      <c r="L87"/>
    </row>
    <row r="88" spans="2:12" ht="15.75" customHeight="1" x14ac:dyDescent="0.3">
      <c r="B88"/>
      <c r="H88"/>
      <c r="L88"/>
    </row>
    <row r="89" spans="2:12" ht="15.75" customHeight="1" x14ac:dyDescent="0.3">
      <c r="H89"/>
    </row>
    <row r="90" spans="2:12" ht="15.75" customHeight="1" x14ac:dyDescent="0.3">
      <c r="H90"/>
    </row>
    <row r="91" spans="2:12" ht="15.75" customHeight="1" x14ac:dyDescent="0.3">
      <c r="H91"/>
    </row>
    <row r="92" spans="2:12" ht="15.75" customHeight="1" x14ac:dyDescent="0.3">
      <c r="H92"/>
    </row>
    <row r="93" spans="2:12" ht="15.75" customHeight="1" x14ac:dyDescent="0.3">
      <c r="H93"/>
    </row>
    <row r="94" spans="2:12" ht="15.75" customHeight="1" x14ac:dyDescent="0.3">
      <c r="H94"/>
    </row>
    <row r="95" spans="2:12" ht="15.75" customHeight="1" x14ac:dyDescent="0.3">
      <c r="H95"/>
    </row>
    <row r="96" spans="2:12" ht="15.75" customHeight="1" x14ac:dyDescent="0.3">
      <c r="H96"/>
    </row>
    <row r="97" spans="8:8" ht="15.75" customHeight="1" x14ac:dyDescent="0.3">
      <c r="H97"/>
    </row>
    <row r="98" spans="8:8" ht="15.75" customHeight="1" x14ac:dyDescent="0.3">
      <c r="H98"/>
    </row>
    <row r="99" spans="8:8" ht="15.75" customHeight="1" x14ac:dyDescent="0.3">
      <c r="H99"/>
    </row>
    <row r="100" spans="8:8" ht="15.75" customHeight="1" x14ac:dyDescent="0.3">
      <c r="H100"/>
    </row>
    <row r="101" spans="8:8" ht="15.75" customHeight="1" x14ac:dyDescent="0.3">
      <c r="H101"/>
    </row>
    <row r="102" spans="8:8" ht="15.75" customHeight="1" x14ac:dyDescent="0.3">
      <c r="H102"/>
    </row>
    <row r="103" spans="8:8" ht="15.75" customHeight="1" x14ac:dyDescent="0.3">
      <c r="H103"/>
    </row>
    <row r="104" spans="8:8" ht="15.75" customHeight="1" x14ac:dyDescent="0.3">
      <c r="H104"/>
    </row>
    <row r="105" spans="8:8" ht="15.75" customHeight="1" x14ac:dyDescent="0.3">
      <c r="H105"/>
    </row>
    <row r="106" spans="8:8" ht="15.75" customHeight="1" x14ac:dyDescent="0.3">
      <c r="H106"/>
    </row>
    <row r="107" spans="8:8" ht="15.75" customHeight="1" x14ac:dyDescent="0.3">
      <c r="H107"/>
    </row>
    <row r="108" spans="8:8" ht="15.75" customHeight="1" x14ac:dyDescent="0.3">
      <c r="H108"/>
    </row>
    <row r="109" spans="8:8" ht="15.75" customHeight="1" x14ac:dyDescent="0.3">
      <c r="H109"/>
    </row>
    <row r="110" spans="8:8" ht="15.75" customHeight="1" x14ac:dyDescent="0.3">
      <c r="H110"/>
    </row>
    <row r="111" spans="8:8" ht="15.75" customHeight="1" x14ac:dyDescent="0.3">
      <c r="H111"/>
    </row>
    <row r="112" spans="8:8" ht="15.75" customHeight="1" x14ac:dyDescent="0.3">
      <c r="H112"/>
    </row>
    <row r="113" spans="8:8" ht="15.75" customHeight="1" x14ac:dyDescent="0.3">
      <c r="H113"/>
    </row>
    <row r="114" spans="8:8" ht="15.75" customHeight="1" x14ac:dyDescent="0.3">
      <c r="H114"/>
    </row>
    <row r="115" spans="8:8" ht="15.75" customHeight="1" x14ac:dyDescent="0.3">
      <c r="H115"/>
    </row>
    <row r="116" spans="8:8" ht="15.75" customHeight="1" x14ac:dyDescent="0.3">
      <c r="H116"/>
    </row>
    <row r="117" spans="8:8" ht="15.75" customHeight="1" x14ac:dyDescent="0.3">
      <c r="H117"/>
    </row>
    <row r="118" spans="8:8" ht="15.75" customHeight="1" x14ac:dyDescent="0.3">
      <c r="H118"/>
    </row>
    <row r="119" spans="8:8" ht="15.75" customHeight="1" x14ac:dyDescent="0.3">
      <c r="H119"/>
    </row>
    <row r="120" spans="8:8" ht="15.75" customHeight="1" x14ac:dyDescent="0.3">
      <c r="H120"/>
    </row>
    <row r="121" spans="8:8" ht="15.75" customHeight="1" x14ac:dyDescent="0.3">
      <c r="H121"/>
    </row>
    <row r="122" spans="8:8" ht="15.75" customHeight="1" x14ac:dyDescent="0.3">
      <c r="H122"/>
    </row>
    <row r="123" spans="8:8" ht="15.75" customHeight="1" x14ac:dyDescent="0.3">
      <c r="H123"/>
    </row>
    <row r="124" spans="8:8" ht="15.75" customHeight="1" x14ac:dyDescent="0.3">
      <c r="H124"/>
    </row>
    <row r="125" spans="8:8" ht="15.75" customHeight="1" x14ac:dyDescent="0.3">
      <c r="H125"/>
    </row>
    <row r="126" spans="8:8" ht="15.75" customHeight="1" x14ac:dyDescent="0.3">
      <c r="H126"/>
    </row>
    <row r="127" spans="8:8" ht="15.75" customHeight="1" x14ac:dyDescent="0.3">
      <c r="H127"/>
    </row>
    <row r="128" spans="8:8" ht="15.75" customHeight="1" x14ac:dyDescent="0.3">
      <c r="H128"/>
    </row>
    <row r="129" spans="8:8" ht="15.75" customHeight="1" x14ac:dyDescent="0.3">
      <c r="H129"/>
    </row>
    <row r="130" spans="8:8" ht="15.75" customHeight="1" x14ac:dyDescent="0.3">
      <c r="H130"/>
    </row>
    <row r="131" spans="8:8" ht="15.75" customHeight="1" x14ac:dyDescent="0.3">
      <c r="H131"/>
    </row>
    <row r="132" spans="8:8" ht="15.75" customHeight="1" x14ac:dyDescent="0.3">
      <c r="H132"/>
    </row>
    <row r="133" spans="8:8" ht="15.75" customHeight="1" x14ac:dyDescent="0.3">
      <c r="H133"/>
    </row>
    <row r="134" spans="8:8" ht="15.75" customHeight="1" x14ac:dyDescent="0.3">
      <c r="H134"/>
    </row>
    <row r="135" spans="8:8" ht="15.75" customHeight="1" x14ac:dyDescent="0.3">
      <c r="H135"/>
    </row>
    <row r="136" spans="8:8" ht="15.75" customHeight="1" x14ac:dyDescent="0.3">
      <c r="H136"/>
    </row>
    <row r="137" spans="8:8" ht="15.75" customHeight="1" x14ac:dyDescent="0.3">
      <c r="H137"/>
    </row>
    <row r="138" spans="8:8" ht="15.75" customHeight="1" x14ac:dyDescent="0.3">
      <c r="H138"/>
    </row>
    <row r="139" spans="8:8" ht="15.75" customHeight="1" x14ac:dyDescent="0.3">
      <c r="H139"/>
    </row>
    <row r="140" spans="8:8" ht="15.75" customHeight="1" x14ac:dyDescent="0.3">
      <c r="H140"/>
    </row>
    <row r="141" spans="8:8" ht="15.75" customHeight="1" x14ac:dyDescent="0.3">
      <c r="H141"/>
    </row>
    <row r="142" spans="8:8" ht="15.75" customHeight="1" x14ac:dyDescent="0.3">
      <c r="H142"/>
    </row>
    <row r="143" spans="8:8" ht="15.75" customHeight="1" x14ac:dyDescent="0.3">
      <c r="H143"/>
    </row>
    <row r="144" spans="8:8" ht="15.75" customHeight="1" x14ac:dyDescent="0.3">
      <c r="H144"/>
    </row>
    <row r="145" spans="8:8" ht="15.75" customHeight="1" x14ac:dyDescent="0.3">
      <c r="H145"/>
    </row>
    <row r="146" spans="8:8" ht="15.75" customHeight="1" x14ac:dyDescent="0.3">
      <c r="H146"/>
    </row>
    <row r="147" spans="8:8" ht="15.75" customHeight="1" x14ac:dyDescent="0.3">
      <c r="H147"/>
    </row>
    <row r="148" spans="8:8" ht="15.75" customHeight="1" x14ac:dyDescent="0.3">
      <c r="H148"/>
    </row>
    <row r="149" spans="8:8" ht="15.75" customHeight="1" x14ac:dyDescent="0.3">
      <c r="H149"/>
    </row>
    <row r="150" spans="8:8" ht="15.75" customHeight="1" x14ac:dyDescent="0.3">
      <c r="H150"/>
    </row>
    <row r="151" spans="8:8" ht="15.75" customHeight="1" x14ac:dyDescent="0.3">
      <c r="H151"/>
    </row>
    <row r="152" spans="8:8" ht="15.75" customHeight="1" x14ac:dyDescent="0.3">
      <c r="H152"/>
    </row>
    <row r="153" spans="8:8" ht="14" x14ac:dyDescent="0.3">
      <c r="H153"/>
    </row>
    <row r="154" spans="8:8" ht="14" x14ac:dyDescent="0.3">
      <c r="H154"/>
    </row>
    <row r="155" spans="8:8" ht="14" x14ac:dyDescent="0.3">
      <c r="H155"/>
    </row>
    <row r="156" spans="8:8" ht="14" x14ac:dyDescent="0.3">
      <c r="H156"/>
    </row>
    <row r="157" spans="8:8" ht="14" x14ac:dyDescent="0.3">
      <c r="H157"/>
    </row>
    <row r="158" spans="8:8" ht="14" x14ac:dyDescent="0.3">
      <c r="H158"/>
    </row>
    <row r="159" spans="8:8" ht="14" x14ac:dyDescent="0.3">
      <c r="H159"/>
    </row>
    <row r="160" spans="8:8" ht="14" x14ac:dyDescent="0.3">
      <c r="H160"/>
    </row>
    <row r="161" spans="8:8" ht="14" x14ac:dyDescent="0.3">
      <c r="H161"/>
    </row>
    <row r="162" spans="8:8" ht="14" x14ac:dyDescent="0.3">
      <c r="H162"/>
    </row>
    <row r="163" spans="8:8" ht="14" x14ac:dyDescent="0.3">
      <c r="H163"/>
    </row>
    <row r="164" spans="8:8" ht="14" x14ac:dyDescent="0.3">
      <c r="H164"/>
    </row>
    <row r="165" spans="8:8" ht="14" x14ac:dyDescent="0.3">
      <c r="H165"/>
    </row>
    <row r="166" spans="8:8" ht="14" x14ac:dyDescent="0.3">
      <c r="H166"/>
    </row>
    <row r="167" spans="8:8" ht="14" x14ac:dyDescent="0.3">
      <c r="H167"/>
    </row>
    <row r="168" spans="8:8" ht="14" x14ac:dyDescent="0.3">
      <c r="H168"/>
    </row>
    <row r="169" spans="8:8" ht="14" x14ac:dyDescent="0.3">
      <c r="H169"/>
    </row>
    <row r="170" spans="8:8" ht="14" x14ac:dyDescent="0.3">
      <c r="H170"/>
    </row>
    <row r="171" spans="8:8" ht="14" x14ac:dyDescent="0.3">
      <c r="H171"/>
    </row>
    <row r="172" spans="8:8" ht="14" x14ac:dyDescent="0.3">
      <c r="H172"/>
    </row>
    <row r="173" spans="8:8" ht="14" x14ac:dyDescent="0.3">
      <c r="H173"/>
    </row>
    <row r="174" spans="8:8" ht="14" x14ac:dyDescent="0.3">
      <c r="H174"/>
    </row>
    <row r="175" spans="8:8" ht="14" x14ac:dyDescent="0.3">
      <c r="H175"/>
    </row>
    <row r="176" spans="8:8" ht="14" x14ac:dyDescent="0.3">
      <c r="H176"/>
    </row>
    <row r="177" spans="8:8" ht="14" x14ac:dyDescent="0.3">
      <c r="H177"/>
    </row>
    <row r="178" spans="8:8" ht="14" x14ac:dyDescent="0.3">
      <c r="H178"/>
    </row>
    <row r="179" spans="8:8" ht="14" x14ac:dyDescent="0.3">
      <c r="H179"/>
    </row>
    <row r="180" spans="8:8" ht="14" x14ac:dyDescent="0.3">
      <c r="H180"/>
    </row>
    <row r="181" spans="8:8" ht="14" x14ac:dyDescent="0.3">
      <c r="H181"/>
    </row>
    <row r="182" spans="8:8" ht="14" x14ac:dyDescent="0.3">
      <c r="H182"/>
    </row>
    <row r="183" spans="8:8" ht="14" x14ac:dyDescent="0.3">
      <c r="H183"/>
    </row>
    <row r="184" spans="8:8" ht="14" x14ac:dyDescent="0.3">
      <c r="H184"/>
    </row>
    <row r="185" spans="8:8" ht="14" x14ac:dyDescent="0.3">
      <c r="H185"/>
    </row>
    <row r="186" spans="8:8" ht="14" x14ac:dyDescent="0.3">
      <c r="H186"/>
    </row>
    <row r="187" spans="8:8" ht="14" x14ac:dyDescent="0.3">
      <c r="H187"/>
    </row>
    <row r="188" spans="8:8" ht="14" x14ac:dyDescent="0.3">
      <c r="H188"/>
    </row>
    <row r="189" spans="8:8" ht="14" x14ac:dyDescent="0.3">
      <c r="H189"/>
    </row>
    <row r="190" spans="8:8" ht="14" x14ac:dyDescent="0.3">
      <c r="H190"/>
    </row>
    <row r="191" spans="8:8" ht="14" x14ac:dyDescent="0.3">
      <c r="H191"/>
    </row>
    <row r="192" spans="8:8" ht="14" x14ac:dyDescent="0.3">
      <c r="H192"/>
    </row>
    <row r="193" spans="2:9" ht="14" x14ac:dyDescent="0.3">
      <c r="H193"/>
    </row>
    <row r="194" spans="2:9" ht="14" x14ac:dyDescent="0.3">
      <c r="H194"/>
    </row>
    <row r="195" spans="2:9" ht="14" x14ac:dyDescent="0.3">
      <c r="H195"/>
    </row>
    <row r="196" spans="2:9" ht="14" x14ac:dyDescent="0.3">
      <c r="H196"/>
    </row>
    <row r="197" spans="2:9" ht="14" x14ac:dyDescent="0.3">
      <c r="H197"/>
    </row>
    <row r="198" spans="2:9" ht="14" x14ac:dyDescent="0.3">
      <c r="H198"/>
    </row>
    <row r="199" spans="2:9" ht="14" x14ac:dyDescent="0.3">
      <c r="H199"/>
    </row>
    <row r="200" spans="2:9" ht="14" x14ac:dyDescent="0.3">
      <c r="H200"/>
    </row>
    <row r="201" spans="2:9" ht="14" x14ac:dyDescent="0.3">
      <c r="H201"/>
    </row>
    <row r="202" spans="2:9" ht="14" x14ac:dyDescent="0.3">
      <c r="H202"/>
    </row>
    <row r="203" spans="2:9" ht="15.75" customHeight="1" x14ac:dyDescent="0.3">
      <c r="B203" s="76"/>
      <c r="D203" s="77"/>
      <c r="E203" s="77"/>
      <c r="F203" s="77"/>
      <c r="G203" s="78"/>
      <c r="H203" s="78"/>
      <c r="I203" s="77"/>
    </row>
    <row r="204" spans="2:9" ht="15.75" customHeight="1" x14ac:dyDescent="0.3">
      <c r="B204" s="76"/>
      <c r="D204" s="77"/>
      <c r="E204" s="77"/>
      <c r="F204" s="77"/>
      <c r="G204" s="78"/>
      <c r="H204" s="78"/>
      <c r="I204" s="77"/>
    </row>
    <row r="205" spans="2:9" ht="15.75" customHeight="1" x14ac:dyDescent="0.3">
      <c r="B205" s="76"/>
      <c r="D205" s="77"/>
      <c r="E205" s="77"/>
      <c r="F205" s="77"/>
      <c r="G205" s="78"/>
      <c r="H205" s="78"/>
      <c r="I205" s="77"/>
    </row>
    <row r="206" spans="2:9" ht="15.75" customHeight="1" x14ac:dyDescent="0.3">
      <c r="B206" s="76"/>
      <c r="D206" s="77"/>
      <c r="E206" s="77"/>
      <c r="F206" s="77"/>
      <c r="G206" s="78"/>
      <c r="H206" s="78"/>
      <c r="I206" s="77"/>
    </row>
    <row r="207" spans="2:9" ht="15.75" customHeight="1" x14ac:dyDescent="0.3">
      <c r="B207" s="76"/>
      <c r="D207" s="77"/>
      <c r="E207" s="77"/>
      <c r="F207" s="77"/>
      <c r="G207" s="78"/>
      <c r="H207" s="78"/>
      <c r="I207" s="77"/>
    </row>
    <row r="208" spans="2:9" ht="15.75" customHeight="1" x14ac:dyDescent="0.3">
      <c r="B208" s="76"/>
      <c r="D208" s="77"/>
      <c r="E208" s="77"/>
      <c r="F208" s="77"/>
      <c r="G208" s="78"/>
      <c r="H208" s="78"/>
      <c r="I208" s="77"/>
    </row>
    <row r="209" spans="2:9" ht="15.75" customHeight="1" x14ac:dyDescent="0.3">
      <c r="B209" s="76"/>
      <c r="D209" s="77"/>
      <c r="E209" s="77"/>
      <c r="F209" s="77"/>
      <c r="G209" s="78"/>
      <c r="H209" s="78"/>
      <c r="I209" s="77"/>
    </row>
    <row r="210" spans="2:9" ht="15.75" customHeight="1" x14ac:dyDescent="0.3">
      <c r="B210" s="76"/>
      <c r="D210" s="77"/>
      <c r="E210" s="77"/>
      <c r="F210" s="77"/>
      <c r="G210" s="78"/>
      <c r="H210" s="78"/>
      <c r="I210" s="77"/>
    </row>
    <row r="211" spans="2:9" ht="15.75" customHeight="1" x14ac:dyDescent="0.3">
      <c r="B211" s="76"/>
      <c r="D211" s="77"/>
      <c r="E211" s="77"/>
      <c r="F211" s="77"/>
      <c r="G211" s="78"/>
      <c r="H211" s="78"/>
      <c r="I211" s="77"/>
    </row>
    <row r="212" spans="2:9" ht="15.75" customHeight="1" x14ac:dyDescent="0.3">
      <c r="B212" s="76"/>
      <c r="D212" s="77"/>
      <c r="E212" s="77"/>
      <c r="F212" s="77"/>
      <c r="G212" s="78"/>
      <c r="H212" s="78"/>
      <c r="I212" s="77"/>
    </row>
    <row r="213" spans="2:9" ht="15.75" customHeight="1" x14ac:dyDescent="0.3">
      <c r="B213" s="76"/>
      <c r="D213" s="77"/>
      <c r="E213" s="77"/>
      <c r="F213" s="77"/>
      <c r="G213" s="78"/>
      <c r="H213" s="78"/>
      <c r="I213" s="77"/>
    </row>
    <row r="214" spans="2:9" ht="15.75" customHeight="1" x14ac:dyDescent="0.3">
      <c r="B214" s="76"/>
      <c r="D214" s="77"/>
      <c r="E214" s="77"/>
      <c r="F214" s="77"/>
      <c r="G214" s="78"/>
      <c r="H214" s="78"/>
      <c r="I214" s="77"/>
    </row>
    <row r="215" spans="2:9" ht="15.75" customHeight="1" x14ac:dyDescent="0.3">
      <c r="B215" s="76"/>
      <c r="D215" s="77"/>
      <c r="E215" s="77"/>
      <c r="F215" s="77"/>
      <c r="G215" s="78"/>
      <c r="H215" s="78"/>
      <c r="I215" s="77"/>
    </row>
    <row r="216" spans="2:9" ht="15.75" customHeight="1" x14ac:dyDescent="0.3">
      <c r="B216" s="76"/>
      <c r="D216" s="77"/>
      <c r="E216" s="77"/>
      <c r="F216" s="77"/>
      <c r="G216" s="78"/>
      <c r="H216" s="78"/>
      <c r="I216" s="77"/>
    </row>
    <row r="217" spans="2:9" ht="15.75" customHeight="1" x14ac:dyDescent="0.3">
      <c r="B217" s="76"/>
      <c r="D217" s="77"/>
      <c r="E217" s="77"/>
      <c r="F217" s="77"/>
      <c r="G217" s="78"/>
      <c r="H217" s="78"/>
      <c r="I217" s="77"/>
    </row>
    <row r="218" spans="2:9" ht="15.75" customHeight="1" x14ac:dyDescent="0.3">
      <c r="B218" s="76"/>
      <c r="D218" s="77"/>
      <c r="E218" s="77"/>
      <c r="F218" s="77"/>
      <c r="G218" s="78"/>
      <c r="H218" s="78"/>
      <c r="I218" s="77"/>
    </row>
    <row r="219" spans="2:9" ht="15.75" customHeight="1" x14ac:dyDescent="0.3">
      <c r="B219" s="76"/>
      <c r="D219" s="77"/>
      <c r="E219" s="77"/>
      <c r="F219" s="77"/>
      <c r="G219" s="78"/>
      <c r="H219" s="78"/>
      <c r="I219" s="77"/>
    </row>
    <row r="220" spans="2:9" ht="15.75" customHeight="1" x14ac:dyDescent="0.3">
      <c r="B220" s="76"/>
      <c r="D220" s="77"/>
      <c r="E220" s="77"/>
      <c r="F220" s="77"/>
      <c r="G220" s="78"/>
      <c r="H220" s="78"/>
      <c r="I220" s="77"/>
    </row>
    <row r="221" spans="2:9" ht="15.75" customHeight="1" x14ac:dyDescent="0.3">
      <c r="B221" s="76"/>
      <c r="D221" s="77"/>
      <c r="E221" s="77"/>
      <c r="F221" s="77"/>
      <c r="G221" s="78"/>
      <c r="H221" s="78"/>
      <c r="I221" s="77"/>
    </row>
    <row r="222" spans="2:9" ht="15.75" customHeight="1" x14ac:dyDescent="0.3">
      <c r="B222" s="76"/>
      <c r="D222" s="77"/>
      <c r="E222" s="77"/>
      <c r="F222" s="77"/>
      <c r="G222" s="78"/>
      <c r="H222" s="78"/>
      <c r="I222" s="77"/>
    </row>
    <row r="223" spans="2:9" ht="15.75" customHeight="1" x14ac:dyDescent="0.3">
      <c r="B223" s="76"/>
      <c r="D223" s="77"/>
      <c r="E223" s="77"/>
      <c r="F223" s="77"/>
      <c r="G223" s="78"/>
      <c r="H223" s="78"/>
      <c r="I223" s="77"/>
    </row>
    <row r="224" spans="2:9" ht="15.75" customHeight="1" x14ac:dyDescent="0.3">
      <c r="B224" s="76"/>
      <c r="D224" s="77"/>
      <c r="E224" s="77"/>
      <c r="F224" s="77"/>
      <c r="G224" s="78"/>
      <c r="H224" s="78"/>
      <c r="I224" s="77"/>
    </row>
    <row r="225" spans="2:10" ht="15.75" customHeight="1" x14ac:dyDescent="0.3">
      <c r="B225" s="76"/>
      <c r="D225" s="77"/>
      <c r="E225" s="77"/>
      <c r="F225" s="77"/>
      <c r="G225" s="78"/>
      <c r="H225" s="78"/>
      <c r="I225" s="77"/>
    </row>
    <row r="226" spans="2:10" ht="15.75" customHeight="1" x14ac:dyDescent="0.3">
      <c r="B226" s="76"/>
      <c r="D226" s="77"/>
      <c r="E226" s="77"/>
      <c r="F226" s="77"/>
      <c r="G226" s="78"/>
      <c r="H226" s="78"/>
      <c r="I226" s="77"/>
    </row>
    <row r="227" spans="2:10" ht="15.75" customHeight="1" x14ac:dyDescent="0.3">
      <c r="B227" s="76"/>
      <c r="D227" s="77"/>
      <c r="E227" s="77"/>
      <c r="F227" s="77"/>
      <c r="G227" s="78"/>
      <c r="H227" s="78"/>
      <c r="I227" s="77"/>
    </row>
    <row r="228" spans="2:10" ht="15.75" customHeight="1" x14ac:dyDescent="0.3">
      <c r="B228" s="76"/>
      <c r="D228" s="77"/>
      <c r="E228" s="77"/>
      <c r="F228" s="77"/>
      <c r="G228" s="78"/>
      <c r="H228" s="78"/>
      <c r="I228" s="77"/>
    </row>
    <row r="229" spans="2:10" ht="15.75" customHeight="1" x14ac:dyDescent="0.3">
      <c r="B229" s="76"/>
      <c r="D229" s="77"/>
      <c r="E229" s="77"/>
      <c r="F229" s="77"/>
      <c r="G229" s="78"/>
      <c r="H229" s="78"/>
      <c r="I229" s="77"/>
    </row>
    <row r="230" spans="2:10" ht="84" x14ac:dyDescent="0.3">
      <c r="B230" s="76"/>
      <c r="D230" s="77"/>
      <c r="E230" s="134" t="s">
        <v>106</v>
      </c>
      <c r="F230" s="134" t="s">
        <v>96</v>
      </c>
      <c r="G230" s="135" t="s">
        <v>32</v>
      </c>
      <c r="H230" s="135" t="s">
        <v>107</v>
      </c>
      <c r="I230" s="134"/>
      <c r="J230" s="136"/>
    </row>
    <row r="231" spans="2:10" ht="14" x14ac:dyDescent="0.3">
      <c r="B231" s="76"/>
      <c r="D231" s="77"/>
      <c r="E231" s="134">
        <f>GETPIVOTDATA("Wgt-BagS",$B$19)</f>
        <v>7304.9600000000009</v>
      </c>
      <c r="F231" s="134">
        <f>GETPIVOTDATA("Total Graded QT",$B$19)</f>
        <v>3660.0299999999997</v>
      </c>
      <c r="G231" s="135">
        <f>GETPIVOTDATA("U/s",$B$19)</f>
        <v>412.94000000000005</v>
      </c>
      <c r="H231" s="135">
        <f>GETPIVOTDATA("Remaining Gradings",$B$19)</f>
        <v>3232.6357000000007</v>
      </c>
      <c r="I231" s="134"/>
      <c r="J231" s="136"/>
    </row>
    <row r="232" spans="2:10" ht="14" x14ac:dyDescent="0.3">
      <c r="B232" s="76"/>
      <c r="D232" s="77"/>
      <c r="E232" s="134"/>
      <c r="F232" s="134"/>
      <c r="G232" s="135"/>
      <c r="H232" s="135"/>
      <c r="I232" s="134" t="s">
        <v>108</v>
      </c>
      <c r="J232" s="136" t="s">
        <v>107</v>
      </c>
    </row>
    <row r="233" spans="2:10" ht="14" x14ac:dyDescent="0.3">
      <c r="B233" s="76"/>
      <c r="D233" s="77"/>
      <c r="E233" s="134"/>
      <c r="F233" s="134"/>
      <c r="G233" s="135"/>
      <c r="H233" s="135"/>
      <c r="I233" s="134">
        <f>GETPIVOTDATA("Packed Qty",$B$19)</f>
        <v>0</v>
      </c>
      <c r="J233" s="136">
        <f>GETPIVOTDATA("Remaining packings",$B$19)</f>
        <v>3660.0299999999997</v>
      </c>
    </row>
    <row r="234" spans="2:10" ht="14" x14ac:dyDescent="0.3">
      <c r="B234" s="76"/>
      <c r="D234" s="77"/>
      <c r="E234" s="77"/>
      <c r="F234" s="77"/>
      <c r="G234" s="78"/>
      <c r="H234" s="78"/>
      <c r="I234" s="77"/>
    </row>
    <row r="235" spans="2:10" ht="15.75" customHeight="1" x14ac:dyDescent="0.3">
      <c r="B235" s="76"/>
      <c r="D235" s="77"/>
      <c r="E235" s="77"/>
      <c r="F235" s="77"/>
      <c r="G235" s="78"/>
      <c r="H235" s="78"/>
      <c r="I235" s="77"/>
    </row>
    <row r="236" spans="2:10" ht="15.75" customHeight="1" x14ac:dyDescent="0.3">
      <c r="B236" s="76"/>
      <c r="D236" s="77"/>
      <c r="E236" s="77"/>
      <c r="F236" s="77"/>
      <c r="G236" s="78"/>
      <c r="H236" s="78"/>
      <c r="I236" s="77"/>
    </row>
    <row r="237" spans="2:10" ht="15.75" customHeight="1" x14ac:dyDescent="0.3">
      <c r="B237" s="76"/>
      <c r="D237" s="77"/>
      <c r="E237" s="77"/>
      <c r="F237" s="77"/>
      <c r="G237" s="78"/>
      <c r="H237" s="78"/>
      <c r="I237" s="77"/>
    </row>
    <row r="238" spans="2:10" ht="15.75" customHeight="1" x14ac:dyDescent="0.3">
      <c r="B238" s="76"/>
      <c r="D238" s="77"/>
      <c r="E238" s="77"/>
      <c r="F238" s="77"/>
      <c r="G238" s="78"/>
      <c r="H238" s="78"/>
      <c r="I238" s="77"/>
    </row>
    <row r="239" spans="2:10" ht="15.75" customHeight="1" x14ac:dyDescent="0.3">
      <c r="B239" s="76"/>
      <c r="D239" s="77"/>
      <c r="E239" s="77"/>
      <c r="F239" s="77"/>
      <c r="G239" s="78"/>
      <c r="H239" s="78"/>
      <c r="I239" s="77"/>
    </row>
    <row r="240" spans="2:10" ht="15.75" customHeight="1" x14ac:dyDescent="0.3">
      <c r="B240" s="76"/>
      <c r="D240" s="77"/>
      <c r="E240" s="77"/>
      <c r="F240" s="77"/>
      <c r="G240" s="78"/>
      <c r="H240" s="78"/>
      <c r="I240" s="77"/>
    </row>
    <row r="241" spans="2:9" ht="15.75" customHeight="1" x14ac:dyDescent="0.3">
      <c r="B241" s="76"/>
      <c r="D241" s="77"/>
      <c r="E241" s="77"/>
      <c r="F241" s="77"/>
      <c r="G241" s="78"/>
      <c r="H241" s="78"/>
      <c r="I241" s="77"/>
    </row>
    <row r="242" spans="2:9" ht="15.75" customHeight="1" x14ac:dyDescent="0.3">
      <c r="B242" s="76"/>
      <c r="D242" s="77"/>
      <c r="E242" s="77"/>
      <c r="F242" s="77"/>
      <c r="G242" s="78"/>
      <c r="H242" s="78"/>
      <c r="I242" s="77"/>
    </row>
    <row r="243" spans="2:9" ht="15.75" customHeight="1" x14ac:dyDescent="0.3">
      <c r="B243" s="76"/>
      <c r="D243" s="77"/>
      <c r="E243" s="77"/>
      <c r="F243" s="77"/>
      <c r="G243" s="78"/>
      <c r="H243" s="78"/>
      <c r="I243" s="77"/>
    </row>
    <row r="244" spans="2:9" ht="15.75" customHeight="1" x14ac:dyDescent="0.3">
      <c r="B244" s="76"/>
      <c r="D244" s="77"/>
      <c r="E244" s="77"/>
      <c r="F244" s="77"/>
      <c r="G244" s="78"/>
      <c r="H244" s="78"/>
      <c r="I244" s="77"/>
    </row>
    <row r="245" spans="2:9" ht="15.75" customHeight="1" x14ac:dyDescent="0.3">
      <c r="B245" s="76"/>
      <c r="D245" s="77"/>
      <c r="E245" s="77"/>
      <c r="F245" s="77"/>
      <c r="G245" s="78"/>
      <c r="H245" s="78"/>
      <c r="I245" s="77"/>
    </row>
    <row r="246" spans="2:9" ht="15.75" customHeight="1" x14ac:dyDescent="0.3">
      <c r="B246" s="76"/>
      <c r="D246" s="77"/>
      <c r="E246" s="77"/>
      <c r="F246" s="77"/>
      <c r="G246" s="78"/>
      <c r="H246" s="78"/>
      <c r="I246" s="77"/>
    </row>
    <row r="247" spans="2:9" ht="15.75" customHeight="1" x14ac:dyDescent="0.3">
      <c r="B247" s="76"/>
      <c r="D247" s="77"/>
      <c r="E247" s="77"/>
      <c r="F247" s="77"/>
      <c r="G247" s="78"/>
      <c r="H247" s="78"/>
      <c r="I247" s="77"/>
    </row>
    <row r="248" spans="2:9" ht="15.75" customHeight="1" x14ac:dyDescent="0.3">
      <c r="B248" s="76"/>
      <c r="D248" s="77"/>
      <c r="E248" s="77"/>
      <c r="F248" s="77"/>
      <c r="G248" s="78"/>
      <c r="H248" s="78"/>
      <c r="I248" s="77"/>
    </row>
    <row r="249" spans="2:9" ht="15.75" customHeight="1" x14ac:dyDescent="0.3">
      <c r="B249" s="76"/>
      <c r="D249" s="77"/>
      <c r="E249" s="77"/>
      <c r="F249" s="77"/>
      <c r="G249" s="78"/>
      <c r="H249" s="78"/>
      <c r="I249" s="77"/>
    </row>
    <row r="250" spans="2:9" ht="15.75" customHeight="1" x14ac:dyDescent="0.3">
      <c r="B250" s="76"/>
      <c r="D250" s="77"/>
      <c r="E250" s="77"/>
      <c r="F250" s="77"/>
      <c r="G250" s="78"/>
      <c r="H250" s="78"/>
      <c r="I250" s="77"/>
    </row>
    <row r="251" spans="2:9" ht="15.75" customHeight="1" x14ac:dyDescent="0.3">
      <c r="B251" s="76"/>
      <c r="D251" s="77"/>
      <c r="E251" s="77"/>
      <c r="F251" s="77"/>
      <c r="G251" s="78"/>
      <c r="H251" s="78"/>
      <c r="I251" s="77"/>
    </row>
    <row r="252" spans="2:9" ht="15.75" customHeight="1" x14ac:dyDescent="0.3">
      <c r="B252" s="76"/>
      <c r="D252" s="77"/>
      <c r="E252" s="77"/>
      <c r="F252" s="77"/>
      <c r="G252" s="78"/>
      <c r="H252" s="78"/>
      <c r="I252" s="77"/>
    </row>
    <row r="253" spans="2:9" ht="15.75" customHeight="1" x14ac:dyDescent="0.3">
      <c r="B253" s="76"/>
      <c r="D253" s="77"/>
      <c r="E253" s="77"/>
      <c r="F253" s="77"/>
      <c r="G253" s="78"/>
      <c r="H253" s="78"/>
      <c r="I253" s="77"/>
    </row>
    <row r="254" spans="2:9" ht="15.75" customHeight="1" x14ac:dyDescent="0.3">
      <c r="B254" s="76"/>
      <c r="D254" s="77"/>
      <c r="E254" s="77"/>
      <c r="F254" s="77"/>
      <c r="G254" s="78"/>
      <c r="H254" s="78"/>
      <c r="I254" s="77"/>
    </row>
    <row r="255" spans="2:9" ht="15.75" customHeight="1" x14ac:dyDescent="0.3">
      <c r="B255" s="76"/>
      <c r="D255" s="77"/>
      <c r="E255" s="77"/>
      <c r="F255" s="77"/>
      <c r="G255" s="78"/>
      <c r="H255" s="78"/>
      <c r="I255" s="77"/>
    </row>
    <row r="256" spans="2:9" ht="15.75" customHeight="1" x14ac:dyDescent="0.3">
      <c r="B256" s="76"/>
      <c r="D256" s="77"/>
      <c r="E256" s="77"/>
      <c r="F256" s="77"/>
      <c r="G256" s="78"/>
      <c r="H256" s="78"/>
      <c r="I256" s="77"/>
    </row>
    <row r="257" spans="2:9" ht="15.75" customHeight="1" x14ac:dyDescent="0.3">
      <c r="B257" s="76"/>
      <c r="D257" s="77"/>
      <c r="E257" s="77"/>
      <c r="F257" s="77"/>
      <c r="G257" s="78"/>
      <c r="H257" s="78"/>
      <c r="I257" s="77"/>
    </row>
    <row r="258" spans="2:9" ht="15.75" customHeight="1" x14ac:dyDescent="0.3">
      <c r="B258" s="76"/>
      <c r="D258" s="77"/>
      <c r="E258" s="77"/>
      <c r="F258" s="77"/>
      <c r="G258" s="78"/>
      <c r="H258" s="78"/>
      <c r="I258" s="77"/>
    </row>
    <row r="259" spans="2:9" ht="15.75" customHeight="1" x14ac:dyDescent="0.3">
      <c r="B259" s="76"/>
      <c r="D259" s="77"/>
      <c r="E259" s="77"/>
      <c r="F259" s="77"/>
      <c r="G259" s="78"/>
      <c r="H259" s="78"/>
      <c r="I259" s="77"/>
    </row>
    <row r="260" spans="2:9" ht="15.75" customHeight="1" x14ac:dyDescent="0.3">
      <c r="B260" s="76"/>
      <c r="D260" s="77"/>
      <c r="E260" s="77"/>
      <c r="F260" s="77"/>
      <c r="G260" s="78"/>
      <c r="H260" s="78"/>
      <c r="I260" s="77"/>
    </row>
    <row r="261" spans="2:9" ht="15.75" customHeight="1" x14ac:dyDescent="0.3">
      <c r="B261" s="76"/>
      <c r="D261" s="77"/>
      <c r="E261" s="77"/>
      <c r="F261" s="77"/>
      <c r="G261" s="78"/>
      <c r="H261" s="78"/>
      <c r="I261" s="77"/>
    </row>
    <row r="262" spans="2:9" ht="15.75" customHeight="1" x14ac:dyDescent="0.3">
      <c r="B262" s="76"/>
      <c r="D262" s="77"/>
      <c r="E262" s="77"/>
      <c r="F262" s="77"/>
      <c r="G262" s="78"/>
      <c r="H262" s="78"/>
      <c r="I262" s="77"/>
    </row>
    <row r="263" spans="2:9" ht="15.75" customHeight="1" x14ac:dyDescent="0.3">
      <c r="B263" s="76"/>
      <c r="D263" s="77"/>
      <c r="E263" s="77"/>
      <c r="F263" s="77"/>
      <c r="G263" s="78"/>
      <c r="H263" s="78"/>
      <c r="I263" s="77"/>
    </row>
    <row r="264" spans="2:9" ht="15.75" customHeight="1" x14ac:dyDescent="0.3">
      <c r="B264" s="76"/>
      <c r="D264" s="77"/>
      <c r="E264" s="77"/>
      <c r="F264" s="77"/>
      <c r="G264" s="78"/>
      <c r="H264" s="78"/>
      <c r="I264" s="77"/>
    </row>
    <row r="265" spans="2:9" ht="15.75" customHeight="1" x14ac:dyDescent="0.3">
      <c r="B265" s="76"/>
      <c r="D265" s="77"/>
      <c r="E265" s="77"/>
      <c r="F265" s="77"/>
      <c r="G265" s="78"/>
      <c r="H265" s="78"/>
      <c r="I265" s="77"/>
    </row>
    <row r="266" spans="2:9" ht="15.75" customHeight="1" x14ac:dyDescent="0.3">
      <c r="B266" s="76"/>
      <c r="D266" s="77"/>
      <c r="E266" s="77"/>
      <c r="F266" s="77"/>
      <c r="G266" s="78"/>
      <c r="H266" s="78"/>
      <c r="I266" s="77"/>
    </row>
    <row r="267" spans="2:9" ht="15.75" customHeight="1" x14ac:dyDescent="0.3">
      <c r="B267" s="76"/>
      <c r="D267" s="77"/>
      <c r="E267" s="77"/>
      <c r="F267" s="77"/>
      <c r="G267" s="78"/>
      <c r="H267" s="78"/>
      <c r="I267" s="77"/>
    </row>
    <row r="268" spans="2:9" ht="15.75" customHeight="1" x14ac:dyDescent="0.3">
      <c r="B268" s="76"/>
      <c r="D268" s="77"/>
      <c r="E268" s="77"/>
      <c r="F268" s="77"/>
      <c r="G268" s="78"/>
      <c r="H268" s="78"/>
      <c r="I268" s="77"/>
    </row>
    <row r="269" spans="2:9" ht="15.75" customHeight="1" x14ac:dyDescent="0.3">
      <c r="B269" s="76"/>
      <c r="D269" s="77"/>
      <c r="E269" s="77"/>
      <c r="F269" s="77"/>
      <c r="G269" s="78"/>
      <c r="H269" s="78"/>
      <c r="I269" s="77"/>
    </row>
    <row r="270" spans="2:9" ht="15.75" customHeight="1" x14ac:dyDescent="0.3">
      <c r="B270" s="76"/>
      <c r="D270" s="77"/>
      <c r="E270" s="77"/>
      <c r="F270" s="77"/>
      <c r="G270" s="78"/>
      <c r="H270" s="78"/>
      <c r="I270" s="77"/>
    </row>
    <row r="271" spans="2:9" ht="15.75" customHeight="1" x14ac:dyDescent="0.3">
      <c r="B271" s="76"/>
      <c r="D271" s="77"/>
      <c r="E271" s="77"/>
      <c r="F271" s="77"/>
      <c r="G271" s="78"/>
      <c r="H271" s="78"/>
      <c r="I271" s="77"/>
    </row>
    <row r="272" spans="2:9" ht="15.75" customHeight="1" x14ac:dyDescent="0.3">
      <c r="B272" s="76"/>
      <c r="D272" s="77"/>
      <c r="E272" s="77"/>
      <c r="F272" s="77"/>
      <c r="G272" s="78"/>
      <c r="H272" s="78"/>
      <c r="I272" s="77"/>
    </row>
    <row r="273" spans="2:9" ht="15.75" customHeight="1" x14ac:dyDescent="0.3">
      <c r="B273" s="76"/>
      <c r="D273" s="77"/>
      <c r="E273" s="77"/>
      <c r="F273" s="77"/>
      <c r="G273" s="78"/>
      <c r="H273" s="78"/>
      <c r="I273" s="77"/>
    </row>
    <row r="274" spans="2:9" ht="15.75" customHeight="1" x14ac:dyDescent="0.3">
      <c r="B274" s="76"/>
      <c r="D274" s="77"/>
      <c r="E274" s="77"/>
      <c r="F274" s="77"/>
      <c r="G274" s="78"/>
      <c r="H274" s="78"/>
      <c r="I274" s="77"/>
    </row>
    <row r="275" spans="2:9" ht="15.75" customHeight="1" x14ac:dyDescent="0.3">
      <c r="B275" s="76"/>
      <c r="D275" s="77"/>
      <c r="E275" s="77"/>
      <c r="F275" s="77"/>
      <c r="G275" s="78"/>
      <c r="H275" s="78"/>
      <c r="I275" s="77"/>
    </row>
    <row r="276" spans="2:9" ht="15.75" customHeight="1" x14ac:dyDescent="0.3">
      <c r="B276" s="76"/>
      <c r="D276" s="77"/>
      <c r="E276" s="77"/>
      <c r="F276" s="77"/>
      <c r="G276" s="78"/>
      <c r="H276" s="78"/>
      <c r="I276" s="77"/>
    </row>
    <row r="277" spans="2:9" ht="15.75" customHeight="1" x14ac:dyDescent="0.3">
      <c r="B277" s="76"/>
      <c r="D277" s="77"/>
      <c r="E277" s="77"/>
      <c r="F277" s="77"/>
      <c r="G277" s="78"/>
      <c r="H277" s="78"/>
      <c r="I277" s="77"/>
    </row>
    <row r="278" spans="2:9" ht="15.75" customHeight="1" x14ac:dyDescent="0.3">
      <c r="B278" s="76"/>
      <c r="D278" s="77"/>
      <c r="E278" s="77"/>
      <c r="F278" s="77"/>
      <c r="G278" s="78"/>
      <c r="H278" s="78"/>
      <c r="I278" s="77"/>
    </row>
    <row r="279" spans="2:9" ht="15.75" customHeight="1" x14ac:dyDescent="0.3">
      <c r="B279" s="76"/>
      <c r="D279" s="77"/>
      <c r="E279" s="77"/>
      <c r="F279" s="77"/>
      <c r="G279" s="78"/>
      <c r="H279" s="78"/>
      <c r="I279" s="77"/>
    </row>
    <row r="280" spans="2:9" ht="15.75" customHeight="1" x14ac:dyDescent="0.3">
      <c r="B280" s="76"/>
      <c r="D280" s="77"/>
      <c r="E280" s="77"/>
      <c r="F280" s="77"/>
      <c r="G280" s="78"/>
      <c r="H280" s="78"/>
      <c r="I280" s="77"/>
    </row>
    <row r="281" spans="2:9" ht="15.75" customHeight="1" x14ac:dyDescent="0.3">
      <c r="B281" s="76"/>
      <c r="D281" s="77"/>
      <c r="E281" s="77"/>
      <c r="F281" s="77"/>
      <c r="G281" s="78"/>
      <c r="H281" s="78"/>
      <c r="I281" s="77"/>
    </row>
    <row r="282" spans="2:9" ht="15.75" customHeight="1" x14ac:dyDescent="0.3">
      <c r="B282" s="76"/>
      <c r="D282" s="77"/>
      <c r="E282" s="77"/>
      <c r="F282" s="77"/>
      <c r="G282" s="78"/>
      <c r="H282" s="78"/>
      <c r="I282" s="77"/>
    </row>
    <row r="283" spans="2:9" ht="15.75" customHeight="1" x14ac:dyDescent="0.3">
      <c r="B283" s="76"/>
      <c r="D283" s="77"/>
      <c r="E283" s="77"/>
      <c r="F283" s="77"/>
      <c r="G283" s="78"/>
      <c r="H283" s="78"/>
      <c r="I283" s="77"/>
    </row>
    <row r="284" spans="2:9" ht="15.75" customHeight="1" x14ac:dyDescent="0.3">
      <c r="B284" s="76"/>
      <c r="D284" s="77"/>
      <c r="E284" s="77"/>
      <c r="F284" s="77"/>
      <c r="G284" s="78"/>
      <c r="H284" s="78"/>
      <c r="I284" s="77"/>
    </row>
    <row r="285" spans="2:9" ht="15.75" customHeight="1" x14ac:dyDescent="0.3">
      <c r="B285" s="76"/>
      <c r="D285" s="77"/>
      <c r="E285" s="77"/>
      <c r="F285" s="77"/>
      <c r="G285" s="78"/>
      <c r="H285" s="78"/>
      <c r="I285" s="77"/>
    </row>
    <row r="286" spans="2:9" ht="15.75" customHeight="1" x14ac:dyDescent="0.3">
      <c r="B286" s="76"/>
      <c r="D286" s="77"/>
      <c r="E286" s="77"/>
      <c r="F286" s="77"/>
      <c r="G286" s="78"/>
      <c r="H286" s="78"/>
      <c r="I286" s="77"/>
    </row>
    <row r="287" spans="2:9" ht="15.75" customHeight="1" x14ac:dyDescent="0.3">
      <c r="B287" s="76"/>
      <c r="D287" s="77"/>
      <c r="E287" s="77"/>
      <c r="F287" s="77"/>
      <c r="G287" s="78"/>
      <c r="H287" s="78"/>
      <c r="I287" s="77"/>
    </row>
    <row r="288" spans="2:9" ht="15.75" customHeight="1" x14ac:dyDescent="0.3">
      <c r="B288" s="76"/>
      <c r="D288" s="77"/>
      <c r="E288" s="77"/>
      <c r="F288" s="77"/>
      <c r="G288" s="78"/>
      <c r="H288" s="78"/>
      <c r="I288" s="77"/>
    </row>
    <row r="289" spans="2:9" ht="15.75" customHeight="1" x14ac:dyDescent="0.3">
      <c r="B289" s="76"/>
      <c r="D289" s="77"/>
      <c r="E289" s="77"/>
      <c r="F289" s="77"/>
      <c r="G289" s="78"/>
      <c r="H289" s="78"/>
      <c r="I289" s="77"/>
    </row>
    <row r="290" spans="2:9" ht="15.75" customHeight="1" x14ac:dyDescent="0.3">
      <c r="B290" s="76"/>
      <c r="D290" s="77"/>
      <c r="E290" s="77"/>
      <c r="F290" s="77"/>
      <c r="G290" s="78"/>
      <c r="H290" s="78"/>
      <c r="I290" s="77"/>
    </row>
    <row r="291" spans="2:9" ht="15.75" customHeight="1" x14ac:dyDescent="0.3">
      <c r="B291" s="76"/>
      <c r="D291" s="77"/>
      <c r="E291" s="77"/>
      <c r="F291" s="77"/>
      <c r="G291" s="78"/>
      <c r="H291" s="78"/>
      <c r="I291" s="77"/>
    </row>
    <row r="292" spans="2:9" ht="15.75" customHeight="1" x14ac:dyDescent="0.3">
      <c r="B292" s="76"/>
      <c r="D292" s="77"/>
      <c r="E292" s="77"/>
      <c r="F292" s="77"/>
      <c r="G292" s="78"/>
      <c r="H292" s="78"/>
      <c r="I292" s="77"/>
    </row>
    <row r="293" spans="2:9" ht="15.75" customHeight="1" x14ac:dyDescent="0.3">
      <c r="B293" s="76"/>
      <c r="D293" s="77"/>
      <c r="E293" s="77"/>
      <c r="F293" s="77"/>
      <c r="G293" s="78"/>
      <c r="H293" s="78"/>
      <c r="I293" s="77"/>
    </row>
    <row r="294" spans="2:9" ht="15.75" customHeight="1" x14ac:dyDescent="0.3">
      <c r="B294" s="76"/>
      <c r="D294" s="77"/>
      <c r="E294" s="77"/>
      <c r="F294" s="77"/>
      <c r="G294" s="78"/>
      <c r="H294" s="78"/>
      <c r="I294" s="77"/>
    </row>
    <row r="295" spans="2:9" ht="15.75" customHeight="1" x14ac:dyDescent="0.3">
      <c r="B295" s="76"/>
      <c r="D295" s="77"/>
      <c r="E295" s="77"/>
      <c r="F295" s="77"/>
      <c r="G295" s="78"/>
      <c r="H295" s="78"/>
      <c r="I295" s="77"/>
    </row>
    <row r="296" spans="2:9" ht="15.75" customHeight="1" x14ac:dyDescent="0.3">
      <c r="B296" s="76"/>
      <c r="D296" s="77"/>
      <c r="E296" s="77"/>
      <c r="F296" s="77"/>
      <c r="G296" s="78"/>
      <c r="H296" s="78"/>
      <c r="I296" s="77"/>
    </row>
    <row r="297" spans="2:9" ht="15.75" customHeight="1" x14ac:dyDescent="0.3">
      <c r="B297" s="76"/>
      <c r="D297" s="77"/>
      <c r="E297" s="77"/>
      <c r="F297" s="77"/>
      <c r="G297" s="78"/>
      <c r="H297" s="78"/>
      <c r="I297" s="77"/>
    </row>
    <row r="298" spans="2:9" ht="15.75" customHeight="1" x14ac:dyDescent="0.3">
      <c r="B298" s="76"/>
      <c r="D298" s="77"/>
      <c r="E298" s="77"/>
      <c r="F298" s="77"/>
      <c r="G298" s="78"/>
      <c r="H298" s="78"/>
      <c r="I298" s="77"/>
    </row>
    <row r="299" spans="2:9" ht="15.75" customHeight="1" x14ac:dyDescent="0.3">
      <c r="B299" s="76"/>
      <c r="D299" s="77"/>
      <c r="E299" s="77"/>
      <c r="F299" s="77"/>
      <c r="G299" s="78"/>
      <c r="H299" s="78"/>
      <c r="I299" s="77"/>
    </row>
    <row r="300" spans="2:9" ht="15.75" customHeight="1" x14ac:dyDescent="0.3">
      <c r="B300" s="76"/>
      <c r="D300" s="77"/>
      <c r="E300" s="77"/>
      <c r="F300" s="77"/>
      <c r="G300" s="78"/>
      <c r="H300" s="78"/>
      <c r="I300" s="77"/>
    </row>
    <row r="301" spans="2:9" ht="15.75" customHeight="1" x14ac:dyDescent="0.3">
      <c r="B301" s="76"/>
      <c r="D301" s="77"/>
      <c r="E301" s="77"/>
      <c r="F301" s="77"/>
      <c r="G301" s="78"/>
      <c r="H301" s="78"/>
      <c r="I301" s="77"/>
    </row>
    <row r="302" spans="2:9" ht="15.75" customHeight="1" x14ac:dyDescent="0.3">
      <c r="B302" s="76"/>
      <c r="D302" s="77"/>
      <c r="E302" s="77"/>
      <c r="F302" s="77"/>
      <c r="G302" s="78"/>
      <c r="H302" s="78"/>
      <c r="I302" s="77"/>
    </row>
    <row r="303" spans="2:9" ht="15.75" customHeight="1" x14ac:dyDescent="0.3">
      <c r="B303" s="76"/>
      <c r="D303" s="77"/>
      <c r="E303" s="77"/>
      <c r="F303" s="77"/>
      <c r="G303" s="78"/>
      <c r="H303" s="78"/>
      <c r="I303" s="77"/>
    </row>
    <row r="304" spans="2:9" ht="15.75" customHeight="1" x14ac:dyDescent="0.3">
      <c r="B304" s="76"/>
      <c r="D304" s="77"/>
      <c r="E304" s="77"/>
      <c r="F304" s="77"/>
      <c r="G304" s="78"/>
      <c r="H304" s="78"/>
      <c r="I304" s="77"/>
    </row>
    <row r="305" spans="2:9" ht="15.75" customHeight="1" x14ac:dyDescent="0.3">
      <c r="B305" s="76"/>
      <c r="D305" s="77"/>
      <c r="E305" s="77"/>
      <c r="F305" s="77"/>
      <c r="G305" s="78"/>
      <c r="H305" s="78"/>
      <c r="I305" s="77"/>
    </row>
    <row r="306" spans="2:9" ht="15.75" customHeight="1" x14ac:dyDescent="0.3">
      <c r="B306" s="76"/>
      <c r="D306" s="77"/>
      <c r="E306" s="77"/>
      <c r="F306" s="77"/>
      <c r="G306" s="78"/>
      <c r="H306" s="78"/>
      <c r="I306" s="77"/>
    </row>
    <row r="307" spans="2:9" ht="15.75" customHeight="1" x14ac:dyDescent="0.3">
      <c r="B307" s="76"/>
      <c r="D307" s="77"/>
      <c r="E307" s="77"/>
      <c r="F307" s="77"/>
      <c r="G307" s="78"/>
      <c r="H307" s="78"/>
      <c r="I307" s="77"/>
    </row>
    <row r="308" spans="2:9" ht="15.75" customHeight="1" x14ac:dyDescent="0.3">
      <c r="B308" s="76"/>
      <c r="D308" s="77"/>
      <c r="E308" s="77"/>
      <c r="F308" s="77"/>
      <c r="G308" s="78"/>
      <c r="H308" s="78"/>
      <c r="I308" s="77"/>
    </row>
    <row r="309" spans="2:9" ht="15.75" customHeight="1" x14ac:dyDescent="0.3">
      <c r="B309" s="76"/>
      <c r="D309" s="77"/>
      <c r="E309" s="77"/>
      <c r="F309" s="77"/>
      <c r="G309" s="78"/>
      <c r="H309" s="78"/>
      <c r="I309" s="77"/>
    </row>
    <row r="310" spans="2:9" ht="15.75" customHeight="1" x14ac:dyDescent="0.3">
      <c r="B310" s="76"/>
      <c r="D310" s="77"/>
      <c r="E310" s="77"/>
      <c r="F310" s="77"/>
      <c r="G310" s="78"/>
      <c r="H310" s="78"/>
      <c r="I310" s="77"/>
    </row>
    <row r="311" spans="2:9" ht="15.75" customHeight="1" x14ac:dyDescent="0.3">
      <c r="B311" s="76"/>
      <c r="D311" s="77"/>
      <c r="E311" s="77"/>
      <c r="F311" s="77"/>
      <c r="G311" s="78"/>
      <c r="H311" s="78"/>
      <c r="I311" s="77"/>
    </row>
    <row r="312" spans="2:9" ht="15.75" customHeight="1" x14ac:dyDescent="0.3">
      <c r="B312" s="76"/>
      <c r="D312" s="77"/>
      <c r="E312" s="77"/>
      <c r="F312" s="77"/>
      <c r="G312" s="78"/>
      <c r="H312" s="78"/>
      <c r="I312" s="77"/>
    </row>
    <row r="313" spans="2:9" ht="15.75" customHeight="1" x14ac:dyDescent="0.3">
      <c r="B313" s="76"/>
      <c r="D313" s="77"/>
      <c r="E313" s="77"/>
      <c r="F313" s="77"/>
      <c r="G313" s="78"/>
      <c r="H313" s="78"/>
      <c r="I313" s="77"/>
    </row>
    <row r="314" spans="2:9" ht="15.75" customHeight="1" x14ac:dyDescent="0.3">
      <c r="B314" s="76"/>
      <c r="D314" s="77"/>
      <c r="E314" s="77"/>
      <c r="F314" s="77"/>
      <c r="G314" s="78"/>
      <c r="H314" s="78"/>
      <c r="I314" s="77"/>
    </row>
    <row r="315" spans="2:9" ht="15.75" customHeight="1" x14ac:dyDescent="0.3">
      <c r="B315" s="76"/>
      <c r="D315" s="77"/>
      <c r="E315" s="77"/>
      <c r="F315" s="77"/>
      <c r="G315" s="78"/>
      <c r="H315" s="78"/>
      <c r="I315" s="77"/>
    </row>
    <row r="316" spans="2:9" ht="15.75" customHeight="1" x14ac:dyDescent="0.3">
      <c r="B316" s="76"/>
      <c r="D316" s="77"/>
      <c r="E316" s="77"/>
      <c r="F316" s="77"/>
      <c r="G316" s="78"/>
      <c r="H316" s="78"/>
      <c r="I316" s="77"/>
    </row>
    <row r="317" spans="2:9" ht="15.75" customHeight="1" x14ac:dyDescent="0.3">
      <c r="B317" s="76"/>
      <c r="D317" s="77"/>
      <c r="E317" s="77"/>
      <c r="F317" s="77"/>
      <c r="G317" s="78"/>
      <c r="H317" s="78"/>
      <c r="I317" s="77"/>
    </row>
    <row r="318" spans="2:9" ht="15.75" customHeight="1" x14ac:dyDescent="0.3">
      <c r="B318" s="76"/>
      <c r="D318" s="77"/>
      <c r="E318" s="77"/>
      <c r="F318" s="77"/>
      <c r="G318" s="78"/>
      <c r="H318" s="78"/>
      <c r="I318" s="77"/>
    </row>
    <row r="319" spans="2:9" ht="15.75" customHeight="1" x14ac:dyDescent="0.3">
      <c r="B319" s="76"/>
      <c r="D319" s="77"/>
      <c r="E319" s="77"/>
      <c r="F319" s="77"/>
      <c r="G319" s="78"/>
      <c r="H319" s="78"/>
      <c r="I319" s="77"/>
    </row>
    <row r="320" spans="2:9" ht="15.75" customHeight="1" x14ac:dyDescent="0.3">
      <c r="B320" s="76"/>
      <c r="D320" s="77"/>
      <c r="E320" s="77"/>
      <c r="F320" s="77"/>
      <c r="G320" s="78"/>
      <c r="H320" s="78"/>
      <c r="I320" s="77"/>
    </row>
    <row r="321" spans="2:9" ht="15.75" customHeight="1" x14ac:dyDescent="0.3">
      <c r="B321" s="76"/>
      <c r="D321" s="77"/>
      <c r="E321" s="77"/>
      <c r="F321" s="77"/>
      <c r="G321" s="78"/>
      <c r="H321" s="78"/>
      <c r="I321" s="77"/>
    </row>
    <row r="322" spans="2:9" ht="15.75" customHeight="1" x14ac:dyDescent="0.3">
      <c r="B322" s="76"/>
      <c r="D322" s="77"/>
      <c r="E322" s="77"/>
      <c r="F322" s="77"/>
      <c r="G322" s="78"/>
      <c r="H322" s="78"/>
      <c r="I322" s="77"/>
    </row>
    <row r="323" spans="2:9" ht="15.75" customHeight="1" x14ac:dyDescent="0.3">
      <c r="B323" s="76"/>
      <c r="D323" s="77"/>
      <c r="E323" s="77"/>
      <c r="F323" s="77"/>
      <c r="G323" s="78"/>
      <c r="H323" s="78"/>
      <c r="I323" s="77"/>
    </row>
    <row r="324" spans="2:9" ht="15.75" customHeight="1" x14ac:dyDescent="0.3">
      <c r="B324" s="76"/>
      <c r="D324" s="77"/>
      <c r="E324" s="77"/>
      <c r="F324" s="77"/>
      <c r="G324" s="78"/>
      <c r="H324" s="78"/>
      <c r="I324" s="77"/>
    </row>
    <row r="325" spans="2:9" ht="15.75" customHeight="1" x14ac:dyDescent="0.3">
      <c r="B325" s="76"/>
      <c r="D325" s="77"/>
      <c r="E325" s="77"/>
      <c r="F325" s="77"/>
      <c r="G325" s="78"/>
      <c r="H325" s="78"/>
      <c r="I325" s="77"/>
    </row>
    <row r="326" spans="2:9" ht="15.75" customHeight="1" x14ac:dyDescent="0.3">
      <c r="B326" s="76"/>
      <c r="D326" s="77"/>
      <c r="E326" s="77"/>
      <c r="F326" s="77"/>
      <c r="G326" s="78"/>
      <c r="H326" s="78"/>
      <c r="I326" s="77"/>
    </row>
    <row r="327" spans="2:9" ht="15.75" customHeight="1" x14ac:dyDescent="0.3">
      <c r="B327" s="76"/>
      <c r="D327" s="77"/>
      <c r="E327" s="77"/>
      <c r="F327" s="77"/>
      <c r="G327" s="78"/>
      <c r="H327" s="78"/>
      <c r="I327" s="77"/>
    </row>
    <row r="328" spans="2:9" ht="15.75" customHeight="1" x14ac:dyDescent="0.3">
      <c r="B328" s="76"/>
      <c r="D328" s="77"/>
      <c r="E328" s="77"/>
      <c r="F328" s="77"/>
      <c r="G328" s="78"/>
      <c r="H328" s="78"/>
      <c r="I328" s="77"/>
    </row>
    <row r="329" spans="2:9" ht="15.75" customHeight="1" x14ac:dyDescent="0.3">
      <c r="B329" s="76"/>
      <c r="D329" s="77"/>
      <c r="E329" s="77"/>
      <c r="F329" s="77"/>
      <c r="G329" s="78"/>
      <c r="H329" s="78"/>
      <c r="I329" s="77"/>
    </row>
    <row r="330" spans="2:9" ht="15.75" customHeight="1" x14ac:dyDescent="0.3">
      <c r="B330" s="76"/>
      <c r="D330" s="77"/>
      <c r="E330" s="77"/>
      <c r="F330" s="77"/>
      <c r="G330" s="78"/>
      <c r="H330" s="78"/>
      <c r="I330" s="77"/>
    </row>
    <row r="331" spans="2:9" ht="15.75" customHeight="1" x14ac:dyDescent="0.3">
      <c r="B331" s="76"/>
      <c r="D331" s="77"/>
      <c r="E331" s="77"/>
      <c r="F331" s="77"/>
      <c r="G331" s="78"/>
      <c r="H331" s="78"/>
      <c r="I331" s="77"/>
    </row>
    <row r="332" spans="2:9" ht="15.75" customHeight="1" x14ac:dyDescent="0.3">
      <c r="B332" s="76"/>
      <c r="D332" s="77"/>
      <c r="E332" s="77"/>
      <c r="F332" s="77"/>
      <c r="G332" s="78"/>
      <c r="H332" s="78"/>
      <c r="I332" s="77"/>
    </row>
    <row r="333" spans="2:9" ht="15.75" customHeight="1" x14ac:dyDescent="0.3">
      <c r="B333" s="76"/>
      <c r="D333" s="77"/>
      <c r="E333" s="77"/>
      <c r="F333" s="77"/>
      <c r="G333" s="78"/>
      <c r="H333" s="78"/>
      <c r="I333" s="77"/>
    </row>
    <row r="334" spans="2:9" ht="15.75" customHeight="1" x14ac:dyDescent="0.3">
      <c r="B334" s="76"/>
      <c r="D334" s="77"/>
      <c r="E334" s="77"/>
      <c r="F334" s="77"/>
      <c r="G334" s="78"/>
      <c r="H334" s="78"/>
      <c r="I334" s="77"/>
    </row>
    <row r="335" spans="2:9" ht="15.75" customHeight="1" x14ac:dyDescent="0.3">
      <c r="B335" s="76"/>
      <c r="D335" s="77"/>
      <c r="E335" s="77"/>
      <c r="F335" s="77"/>
      <c r="G335" s="78"/>
      <c r="H335" s="78"/>
      <c r="I335" s="77"/>
    </row>
    <row r="336" spans="2:9" ht="15.75" customHeight="1" x14ac:dyDescent="0.3">
      <c r="B336" s="76"/>
      <c r="D336" s="77"/>
      <c r="E336" s="77"/>
      <c r="F336" s="77"/>
      <c r="G336" s="78"/>
      <c r="H336" s="78"/>
      <c r="I336" s="77"/>
    </row>
    <row r="337" spans="2:9" ht="15.75" customHeight="1" x14ac:dyDescent="0.3">
      <c r="B337" s="76"/>
      <c r="D337" s="77"/>
      <c r="E337" s="77"/>
      <c r="F337" s="77"/>
      <c r="G337" s="78"/>
      <c r="H337" s="78"/>
      <c r="I337" s="77"/>
    </row>
    <row r="338" spans="2:9" ht="15.75" customHeight="1" x14ac:dyDescent="0.3">
      <c r="B338" s="76"/>
      <c r="D338" s="77"/>
      <c r="E338" s="77"/>
      <c r="F338" s="77"/>
      <c r="G338" s="78"/>
      <c r="H338" s="78"/>
      <c r="I338" s="77"/>
    </row>
    <row r="339" spans="2:9" ht="15.75" customHeight="1" x14ac:dyDescent="0.3">
      <c r="B339" s="76"/>
      <c r="D339" s="77"/>
      <c r="E339" s="77"/>
      <c r="F339" s="77"/>
      <c r="G339" s="78"/>
      <c r="H339" s="78"/>
      <c r="I339" s="77"/>
    </row>
    <row r="340" spans="2:9" ht="15.75" customHeight="1" x14ac:dyDescent="0.3">
      <c r="B340" s="76"/>
      <c r="D340" s="77"/>
      <c r="E340" s="77"/>
      <c r="F340" s="77"/>
      <c r="G340" s="78"/>
      <c r="H340" s="78"/>
      <c r="I340" s="77"/>
    </row>
    <row r="341" spans="2:9" ht="15.75" customHeight="1" x14ac:dyDescent="0.3">
      <c r="B341" s="76"/>
      <c r="D341" s="77"/>
      <c r="E341" s="77"/>
      <c r="F341" s="77"/>
      <c r="G341" s="78"/>
      <c r="H341" s="78"/>
      <c r="I341" s="77"/>
    </row>
    <row r="342" spans="2:9" ht="15.75" customHeight="1" x14ac:dyDescent="0.3">
      <c r="B342" s="76"/>
      <c r="D342" s="77"/>
      <c r="E342" s="77"/>
      <c r="F342" s="77"/>
      <c r="G342" s="78"/>
      <c r="H342" s="78"/>
      <c r="I342" s="77"/>
    </row>
    <row r="343" spans="2:9" ht="15.75" customHeight="1" x14ac:dyDescent="0.3">
      <c r="B343" s="76"/>
      <c r="D343" s="77"/>
      <c r="E343" s="77"/>
      <c r="F343" s="77"/>
      <c r="G343" s="78"/>
      <c r="H343" s="78"/>
      <c r="I343" s="77"/>
    </row>
    <row r="344" spans="2:9" ht="15.75" customHeight="1" x14ac:dyDescent="0.3">
      <c r="B344" s="76"/>
      <c r="D344" s="77"/>
      <c r="E344" s="77"/>
      <c r="F344" s="77"/>
      <c r="G344" s="78"/>
      <c r="H344" s="78"/>
      <c r="I344" s="77"/>
    </row>
    <row r="345" spans="2:9" ht="15.75" customHeight="1" x14ac:dyDescent="0.3">
      <c r="B345" s="76"/>
      <c r="D345" s="77"/>
      <c r="E345" s="77"/>
      <c r="F345" s="77"/>
      <c r="G345" s="78"/>
      <c r="H345" s="78"/>
      <c r="I345" s="77"/>
    </row>
    <row r="346" spans="2:9" ht="15.75" customHeight="1" x14ac:dyDescent="0.3">
      <c r="B346" s="76"/>
      <c r="D346" s="77"/>
      <c r="E346" s="77"/>
      <c r="F346" s="77"/>
      <c r="G346" s="78"/>
      <c r="H346" s="78"/>
      <c r="I346" s="77"/>
    </row>
    <row r="347" spans="2:9" ht="15.75" customHeight="1" x14ac:dyDescent="0.3">
      <c r="B347" s="76"/>
      <c r="D347" s="77"/>
      <c r="E347" s="77"/>
      <c r="F347" s="77"/>
      <c r="G347" s="78"/>
      <c r="H347" s="78"/>
      <c r="I347" s="77"/>
    </row>
    <row r="348" spans="2:9" ht="15.75" customHeight="1" x14ac:dyDescent="0.3">
      <c r="B348" s="76"/>
      <c r="D348" s="77"/>
      <c r="E348" s="77"/>
      <c r="F348" s="77"/>
      <c r="G348" s="78"/>
      <c r="H348" s="78"/>
      <c r="I348" s="77"/>
    </row>
    <row r="349" spans="2:9" ht="15.75" customHeight="1" x14ac:dyDescent="0.3">
      <c r="B349" s="76"/>
      <c r="D349" s="77"/>
      <c r="E349" s="77"/>
      <c r="F349" s="77"/>
      <c r="G349" s="78"/>
      <c r="H349" s="78"/>
      <c r="I349" s="77"/>
    </row>
    <row r="350" spans="2:9" ht="15.75" customHeight="1" x14ac:dyDescent="0.3">
      <c r="B350" s="76"/>
      <c r="D350" s="77"/>
      <c r="E350" s="77"/>
      <c r="F350" s="77"/>
      <c r="G350" s="78"/>
      <c r="H350" s="78"/>
      <c r="I350" s="77"/>
    </row>
    <row r="351" spans="2:9" ht="15.75" customHeight="1" x14ac:dyDescent="0.3">
      <c r="B351" s="76"/>
      <c r="D351" s="77"/>
      <c r="E351" s="77"/>
      <c r="F351" s="77"/>
      <c r="G351" s="78"/>
      <c r="H351" s="78"/>
      <c r="I351" s="77"/>
    </row>
    <row r="352" spans="2:9" ht="15.75" customHeight="1" x14ac:dyDescent="0.3">
      <c r="B352" s="76"/>
      <c r="D352" s="77"/>
      <c r="E352" s="77"/>
      <c r="F352" s="77"/>
      <c r="G352" s="78"/>
      <c r="H352" s="78"/>
      <c r="I352" s="77"/>
    </row>
    <row r="353" spans="2:9" ht="15.75" customHeight="1" x14ac:dyDescent="0.3">
      <c r="B353" s="76"/>
      <c r="D353" s="77"/>
      <c r="E353" s="77"/>
      <c r="F353" s="77"/>
      <c r="G353" s="78"/>
      <c r="H353" s="78"/>
      <c r="I353" s="77"/>
    </row>
    <row r="354" spans="2:9" ht="15.75" customHeight="1" x14ac:dyDescent="0.3">
      <c r="B354" s="76"/>
      <c r="D354" s="77"/>
      <c r="E354" s="77"/>
      <c r="F354" s="77"/>
      <c r="G354" s="78"/>
      <c r="H354" s="78"/>
      <c r="I354" s="77"/>
    </row>
    <row r="355" spans="2:9" ht="15.75" customHeight="1" x14ac:dyDescent="0.3">
      <c r="B355" s="76"/>
      <c r="D355" s="77"/>
      <c r="E355" s="77"/>
      <c r="F355" s="77"/>
      <c r="G355" s="78"/>
      <c r="H355" s="78"/>
      <c r="I355" s="77"/>
    </row>
    <row r="356" spans="2:9" ht="15.75" customHeight="1" x14ac:dyDescent="0.3">
      <c r="B356" s="76"/>
      <c r="D356" s="77"/>
      <c r="E356" s="77"/>
      <c r="F356" s="77"/>
      <c r="G356" s="78"/>
      <c r="H356" s="78"/>
      <c r="I356" s="77"/>
    </row>
    <row r="357" spans="2:9" ht="15.75" customHeight="1" x14ac:dyDescent="0.3">
      <c r="B357" s="76"/>
      <c r="D357" s="77"/>
      <c r="E357" s="77"/>
      <c r="F357" s="77"/>
      <c r="G357" s="78"/>
      <c r="H357" s="78"/>
      <c r="I357" s="77"/>
    </row>
    <row r="358" spans="2:9" ht="15.75" customHeight="1" x14ac:dyDescent="0.3">
      <c r="B358" s="76"/>
      <c r="D358" s="77"/>
      <c r="E358" s="77"/>
      <c r="F358" s="77"/>
      <c r="G358" s="78"/>
      <c r="H358" s="78"/>
      <c r="I358" s="77"/>
    </row>
    <row r="359" spans="2:9" ht="15.75" customHeight="1" x14ac:dyDescent="0.3">
      <c r="B359" s="76"/>
      <c r="D359" s="77"/>
      <c r="E359" s="77"/>
      <c r="F359" s="77"/>
      <c r="G359" s="78"/>
      <c r="H359" s="78"/>
      <c r="I359" s="77"/>
    </row>
    <row r="360" spans="2:9" ht="15.75" customHeight="1" x14ac:dyDescent="0.3">
      <c r="B360" s="76"/>
      <c r="D360" s="77"/>
      <c r="E360" s="77"/>
      <c r="F360" s="77"/>
      <c r="G360" s="78"/>
      <c r="H360" s="78"/>
      <c r="I360" s="77"/>
    </row>
    <row r="361" spans="2:9" ht="15.75" customHeight="1" x14ac:dyDescent="0.3">
      <c r="B361" s="76"/>
      <c r="D361" s="77"/>
      <c r="E361" s="77"/>
      <c r="F361" s="77"/>
      <c r="G361" s="78"/>
      <c r="H361" s="78"/>
      <c r="I361" s="77"/>
    </row>
    <row r="362" spans="2:9" ht="15.75" customHeight="1" x14ac:dyDescent="0.3">
      <c r="B362" s="76"/>
      <c r="D362" s="77"/>
      <c r="E362" s="77"/>
      <c r="F362" s="77"/>
      <c r="G362" s="78"/>
      <c r="H362" s="78"/>
      <c r="I362" s="77"/>
    </row>
    <row r="363" spans="2:9" ht="15.75" customHeight="1" x14ac:dyDescent="0.3">
      <c r="B363" s="76"/>
      <c r="D363" s="77"/>
      <c r="E363" s="77"/>
      <c r="F363" s="77"/>
      <c r="G363" s="78"/>
      <c r="H363" s="78"/>
      <c r="I363" s="77"/>
    </row>
    <row r="364" spans="2:9" ht="15.75" customHeight="1" x14ac:dyDescent="0.3">
      <c r="B364" s="76"/>
      <c r="D364" s="77"/>
      <c r="E364" s="77"/>
      <c r="F364" s="77"/>
      <c r="G364" s="78"/>
      <c r="H364" s="78"/>
      <c r="I364" s="77"/>
    </row>
    <row r="365" spans="2:9" ht="15.75" customHeight="1" x14ac:dyDescent="0.3">
      <c r="B365" s="76"/>
      <c r="D365" s="77"/>
      <c r="E365" s="77"/>
      <c r="F365" s="77"/>
      <c r="G365" s="78"/>
      <c r="H365" s="78"/>
      <c r="I365" s="77"/>
    </row>
    <row r="366" spans="2:9" ht="15.75" customHeight="1" x14ac:dyDescent="0.3">
      <c r="B366" s="76"/>
      <c r="D366" s="77"/>
      <c r="E366" s="77"/>
      <c r="F366" s="77"/>
      <c r="G366" s="78"/>
      <c r="H366" s="78"/>
      <c r="I366" s="77"/>
    </row>
    <row r="367" spans="2:9" ht="15.75" customHeight="1" x14ac:dyDescent="0.3">
      <c r="B367" s="76"/>
      <c r="D367" s="77"/>
      <c r="E367" s="77"/>
      <c r="F367" s="77"/>
      <c r="G367" s="78"/>
      <c r="H367" s="78"/>
      <c r="I367" s="77"/>
    </row>
    <row r="368" spans="2:9" ht="15.75" customHeight="1" x14ac:dyDescent="0.3">
      <c r="B368" s="76"/>
      <c r="D368" s="77"/>
      <c r="E368" s="77"/>
      <c r="F368" s="77"/>
      <c r="G368" s="78"/>
      <c r="H368" s="78"/>
      <c r="I368" s="77"/>
    </row>
    <row r="369" spans="2:9" ht="15.75" customHeight="1" x14ac:dyDescent="0.3">
      <c r="B369" s="76"/>
      <c r="D369" s="77"/>
      <c r="E369" s="77"/>
      <c r="F369" s="77"/>
      <c r="G369" s="78"/>
      <c r="H369" s="78"/>
      <c r="I369" s="77"/>
    </row>
    <row r="370" spans="2:9" ht="15.75" customHeight="1" x14ac:dyDescent="0.3">
      <c r="B370" s="76"/>
      <c r="D370" s="77"/>
      <c r="E370" s="77"/>
      <c r="F370" s="77"/>
      <c r="G370" s="78"/>
      <c r="H370" s="78"/>
      <c r="I370" s="77"/>
    </row>
    <row r="371" spans="2:9" ht="15.75" customHeight="1" x14ac:dyDescent="0.3">
      <c r="B371" s="76"/>
      <c r="D371" s="77"/>
      <c r="E371" s="77"/>
      <c r="F371" s="77"/>
      <c r="G371" s="78"/>
      <c r="H371" s="78"/>
      <c r="I371" s="77"/>
    </row>
    <row r="372" spans="2:9" ht="15.75" customHeight="1" x14ac:dyDescent="0.3">
      <c r="B372" s="76"/>
      <c r="D372" s="77"/>
      <c r="E372" s="77"/>
      <c r="F372" s="77"/>
      <c r="G372" s="78"/>
      <c r="H372" s="78"/>
      <c r="I372" s="77"/>
    </row>
    <row r="373" spans="2:9" ht="15.75" customHeight="1" x14ac:dyDescent="0.3">
      <c r="B373" s="76"/>
      <c r="D373" s="77"/>
      <c r="E373" s="77"/>
      <c r="F373" s="77"/>
      <c r="G373" s="78"/>
      <c r="H373" s="78"/>
      <c r="I373" s="77"/>
    </row>
    <row r="374" spans="2:9" ht="15.75" customHeight="1" x14ac:dyDescent="0.3">
      <c r="B374" s="76"/>
      <c r="D374" s="77"/>
      <c r="E374" s="77"/>
      <c r="F374" s="77"/>
      <c r="G374" s="78"/>
      <c r="H374" s="78"/>
      <c r="I374" s="77"/>
    </row>
    <row r="375" spans="2:9" ht="15.75" customHeight="1" x14ac:dyDescent="0.3">
      <c r="B375" s="76"/>
      <c r="D375" s="77"/>
      <c r="E375" s="77"/>
      <c r="F375" s="77"/>
      <c r="G375" s="78"/>
      <c r="H375" s="78"/>
      <c r="I375" s="77"/>
    </row>
    <row r="376" spans="2:9" ht="15.75" customHeight="1" x14ac:dyDescent="0.3">
      <c r="B376" s="76"/>
      <c r="D376" s="77"/>
      <c r="E376" s="77"/>
      <c r="F376" s="77"/>
      <c r="G376" s="78"/>
      <c r="H376" s="78"/>
      <c r="I376" s="77"/>
    </row>
    <row r="377" spans="2:9" ht="15.75" customHeight="1" x14ac:dyDescent="0.3">
      <c r="B377" s="76"/>
      <c r="D377" s="77"/>
      <c r="E377" s="77"/>
      <c r="F377" s="77"/>
      <c r="G377" s="78"/>
      <c r="H377" s="78"/>
      <c r="I377" s="77"/>
    </row>
    <row r="378" spans="2:9" ht="15.75" customHeight="1" x14ac:dyDescent="0.3">
      <c r="B378" s="76"/>
      <c r="D378" s="77"/>
      <c r="E378" s="77"/>
      <c r="F378" s="77"/>
      <c r="G378" s="78"/>
      <c r="H378" s="78"/>
      <c r="I378" s="77"/>
    </row>
    <row r="379" spans="2:9" ht="15.75" customHeight="1" x14ac:dyDescent="0.3">
      <c r="B379" s="76"/>
      <c r="D379" s="77"/>
      <c r="E379" s="77"/>
      <c r="F379" s="77"/>
      <c r="G379" s="78"/>
      <c r="H379" s="78"/>
      <c r="I379" s="77"/>
    </row>
    <row r="380" spans="2:9" ht="15.75" customHeight="1" x14ac:dyDescent="0.3">
      <c r="B380" s="76"/>
      <c r="D380" s="77"/>
      <c r="E380" s="77"/>
      <c r="F380" s="77"/>
      <c r="G380" s="78"/>
      <c r="H380" s="78"/>
      <c r="I380" s="77"/>
    </row>
    <row r="381" spans="2:9" ht="15.75" customHeight="1" x14ac:dyDescent="0.3">
      <c r="B381" s="76"/>
      <c r="D381" s="77"/>
      <c r="E381" s="77"/>
      <c r="F381" s="77"/>
      <c r="G381" s="78"/>
      <c r="H381" s="78"/>
      <c r="I381" s="77"/>
    </row>
    <row r="382" spans="2:9" ht="15.75" customHeight="1" x14ac:dyDescent="0.3">
      <c r="B382" s="76"/>
      <c r="D382" s="77"/>
      <c r="E382" s="77"/>
      <c r="F382" s="77"/>
      <c r="G382" s="78"/>
      <c r="H382" s="78"/>
      <c r="I382" s="77"/>
    </row>
    <row r="383" spans="2:9" ht="15.75" customHeight="1" x14ac:dyDescent="0.3">
      <c r="B383" s="76"/>
      <c r="D383" s="77"/>
      <c r="E383" s="77"/>
      <c r="F383" s="77"/>
      <c r="G383" s="78"/>
      <c r="H383" s="78"/>
      <c r="I383" s="77"/>
    </row>
    <row r="384" spans="2:9" ht="15.75" customHeight="1" x14ac:dyDescent="0.3">
      <c r="B384" s="76"/>
      <c r="D384" s="77"/>
      <c r="E384" s="77"/>
      <c r="F384" s="77"/>
      <c r="G384" s="78"/>
      <c r="H384" s="78"/>
      <c r="I384" s="77"/>
    </row>
    <row r="385" spans="2:9" ht="15.75" customHeight="1" x14ac:dyDescent="0.3">
      <c r="B385" s="76"/>
      <c r="D385" s="77"/>
      <c r="E385" s="77"/>
      <c r="F385" s="77"/>
      <c r="G385" s="78"/>
      <c r="H385" s="78"/>
      <c r="I385" s="77"/>
    </row>
    <row r="386" spans="2:9" ht="15.75" customHeight="1" x14ac:dyDescent="0.3">
      <c r="B386" s="76"/>
      <c r="D386" s="77"/>
      <c r="E386" s="77"/>
      <c r="F386" s="77"/>
      <c r="G386" s="78"/>
      <c r="H386" s="78"/>
      <c r="I386" s="77"/>
    </row>
    <row r="387" spans="2:9" ht="15.75" customHeight="1" x14ac:dyDescent="0.3">
      <c r="B387" s="76"/>
      <c r="D387" s="77"/>
      <c r="E387" s="77"/>
      <c r="F387" s="77"/>
      <c r="G387" s="78"/>
      <c r="H387" s="78"/>
      <c r="I387" s="77"/>
    </row>
    <row r="388" spans="2:9" ht="15.75" customHeight="1" x14ac:dyDescent="0.3">
      <c r="B388" s="76"/>
      <c r="D388" s="77"/>
      <c r="E388" s="77"/>
      <c r="F388" s="77"/>
      <c r="G388" s="78"/>
      <c r="H388" s="78"/>
      <c r="I388" s="77"/>
    </row>
    <row r="389" spans="2:9" ht="15.75" customHeight="1" x14ac:dyDescent="0.3">
      <c r="B389" s="76"/>
      <c r="D389" s="77"/>
      <c r="E389" s="77"/>
      <c r="F389" s="77"/>
      <c r="G389" s="78"/>
      <c r="H389" s="78"/>
      <c r="I389" s="77"/>
    </row>
    <row r="390" spans="2:9" ht="15.75" customHeight="1" x14ac:dyDescent="0.3">
      <c r="B390" s="76"/>
      <c r="D390" s="77"/>
      <c r="E390" s="77"/>
      <c r="F390" s="77"/>
      <c r="G390" s="78"/>
      <c r="H390" s="78"/>
      <c r="I390" s="77"/>
    </row>
    <row r="391" spans="2:9" ht="15.75" customHeight="1" x14ac:dyDescent="0.3">
      <c r="B391" s="76"/>
      <c r="D391" s="77"/>
      <c r="E391" s="77"/>
      <c r="F391" s="77"/>
      <c r="G391" s="78"/>
      <c r="H391" s="78"/>
      <c r="I391" s="77"/>
    </row>
    <row r="392" spans="2:9" ht="15.75" customHeight="1" x14ac:dyDescent="0.3">
      <c r="B392" s="76"/>
      <c r="D392" s="77"/>
      <c r="E392" s="77"/>
      <c r="F392" s="77"/>
      <c r="G392" s="78"/>
      <c r="H392" s="78"/>
      <c r="I392" s="77"/>
    </row>
    <row r="393" spans="2:9" ht="15.75" customHeight="1" x14ac:dyDescent="0.3">
      <c r="B393" s="76"/>
      <c r="D393" s="77"/>
      <c r="E393" s="77"/>
      <c r="F393" s="77"/>
      <c r="G393" s="78"/>
      <c r="H393" s="78"/>
      <c r="I393" s="77"/>
    </row>
    <row r="394" spans="2:9" ht="15.75" customHeight="1" x14ac:dyDescent="0.3">
      <c r="B394" s="76"/>
      <c r="D394" s="77"/>
      <c r="E394" s="77"/>
      <c r="F394" s="77"/>
      <c r="G394" s="78"/>
      <c r="H394" s="78"/>
      <c r="I394" s="77"/>
    </row>
    <row r="395" spans="2:9" ht="15.75" customHeight="1" x14ac:dyDescent="0.3">
      <c r="B395" s="76"/>
      <c r="D395" s="77"/>
      <c r="E395" s="77"/>
      <c r="F395" s="77"/>
      <c r="G395" s="78"/>
      <c r="H395" s="78"/>
      <c r="I395" s="77"/>
    </row>
    <row r="396" spans="2:9" ht="15.75" customHeight="1" x14ac:dyDescent="0.3">
      <c r="B396" s="76"/>
      <c r="D396" s="77"/>
      <c r="E396" s="77"/>
      <c r="F396" s="77"/>
      <c r="G396" s="78"/>
      <c r="H396" s="78"/>
      <c r="I396" s="77"/>
    </row>
    <row r="397" spans="2:9" ht="15.75" customHeight="1" x14ac:dyDescent="0.3">
      <c r="B397" s="76"/>
      <c r="D397" s="77"/>
      <c r="E397" s="77"/>
      <c r="F397" s="77"/>
      <c r="G397" s="78"/>
      <c r="H397" s="78"/>
      <c r="I397" s="77"/>
    </row>
    <row r="398" spans="2:9" ht="15.75" customHeight="1" x14ac:dyDescent="0.3">
      <c r="B398" s="76"/>
      <c r="D398" s="77"/>
      <c r="E398" s="77"/>
      <c r="F398" s="77"/>
      <c r="G398" s="78"/>
      <c r="H398" s="78"/>
      <c r="I398" s="77"/>
    </row>
    <row r="399" spans="2:9" ht="15.75" customHeight="1" x14ac:dyDescent="0.3">
      <c r="B399" s="76"/>
      <c r="D399" s="77"/>
      <c r="E399" s="77"/>
      <c r="F399" s="77"/>
      <c r="G399" s="78"/>
      <c r="H399" s="78"/>
      <c r="I399" s="77"/>
    </row>
    <row r="400" spans="2:9" ht="15.75" customHeight="1" x14ac:dyDescent="0.3">
      <c r="B400" s="76"/>
      <c r="D400" s="77"/>
      <c r="E400" s="77"/>
      <c r="F400" s="77"/>
      <c r="G400" s="78"/>
      <c r="H400" s="78"/>
      <c r="I400" s="77"/>
    </row>
    <row r="401" spans="2:9" ht="15.75" customHeight="1" x14ac:dyDescent="0.3">
      <c r="B401" s="76"/>
      <c r="D401" s="77"/>
      <c r="E401" s="77"/>
      <c r="F401" s="77"/>
      <c r="G401" s="78"/>
      <c r="H401" s="78"/>
      <c r="I401" s="77"/>
    </row>
    <row r="402" spans="2:9" ht="15.75" customHeight="1" x14ac:dyDescent="0.3">
      <c r="B402" s="76"/>
      <c r="D402" s="77"/>
      <c r="E402" s="77"/>
      <c r="F402" s="77"/>
      <c r="G402" s="78"/>
      <c r="H402" s="78"/>
      <c r="I402" s="77"/>
    </row>
    <row r="403" spans="2:9" ht="15.75" customHeight="1" x14ac:dyDescent="0.3">
      <c r="B403" s="76"/>
      <c r="D403" s="77"/>
      <c r="E403" s="77"/>
      <c r="F403" s="77"/>
      <c r="G403" s="78"/>
      <c r="H403" s="78"/>
      <c r="I403" s="77"/>
    </row>
    <row r="404" spans="2:9" ht="15.75" customHeight="1" x14ac:dyDescent="0.3">
      <c r="B404" s="76"/>
      <c r="D404" s="77"/>
      <c r="E404" s="77"/>
      <c r="F404" s="77"/>
      <c r="G404" s="78"/>
      <c r="H404" s="78"/>
      <c r="I404" s="77"/>
    </row>
    <row r="405" spans="2:9" ht="15.75" customHeight="1" x14ac:dyDescent="0.3">
      <c r="B405" s="76"/>
      <c r="D405" s="77"/>
      <c r="E405" s="77"/>
      <c r="F405" s="77"/>
      <c r="G405" s="78"/>
      <c r="H405" s="78"/>
      <c r="I405" s="77"/>
    </row>
    <row r="406" spans="2:9" ht="15.75" customHeight="1" x14ac:dyDescent="0.3">
      <c r="B406" s="76"/>
      <c r="D406" s="77"/>
      <c r="E406" s="77"/>
      <c r="F406" s="77"/>
      <c r="G406" s="78"/>
      <c r="H406" s="78"/>
      <c r="I406" s="77"/>
    </row>
    <row r="407" spans="2:9" ht="15.75" customHeight="1" x14ac:dyDescent="0.3">
      <c r="B407" s="76"/>
      <c r="D407" s="77"/>
      <c r="E407" s="77"/>
      <c r="F407" s="77"/>
      <c r="G407" s="78"/>
      <c r="H407" s="78"/>
      <c r="I407" s="77"/>
    </row>
    <row r="408" spans="2:9" ht="15.75" customHeight="1" x14ac:dyDescent="0.3">
      <c r="B408" s="76"/>
      <c r="D408" s="77"/>
      <c r="E408" s="77"/>
      <c r="F408" s="77"/>
      <c r="G408" s="78"/>
      <c r="H408" s="78"/>
      <c r="I408" s="77"/>
    </row>
    <row r="409" spans="2:9" ht="15.75" customHeight="1" x14ac:dyDescent="0.3">
      <c r="B409" s="76"/>
      <c r="D409" s="77"/>
      <c r="E409" s="77"/>
      <c r="F409" s="77"/>
      <c r="G409" s="78"/>
      <c r="H409" s="78"/>
      <c r="I409" s="77"/>
    </row>
    <row r="410" spans="2:9" ht="15.75" customHeight="1" x14ac:dyDescent="0.3">
      <c r="B410" s="76"/>
      <c r="D410" s="77"/>
      <c r="E410" s="77"/>
      <c r="F410" s="77"/>
      <c r="G410" s="78"/>
      <c r="H410" s="78"/>
      <c r="I410" s="77"/>
    </row>
    <row r="411" spans="2:9" ht="15.75" customHeight="1" x14ac:dyDescent="0.3">
      <c r="B411" s="76"/>
      <c r="D411" s="77"/>
      <c r="E411" s="77"/>
      <c r="F411" s="77"/>
      <c r="G411" s="78"/>
      <c r="H411" s="78"/>
      <c r="I411" s="77"/>
    </row>
    <row r="412" spans="2:9" ht="15.75" customHeight="1" x14ac:dyDescent="0.3">
      <c r="B412" s="76"/>
      <c r="D412" s="77"/>
      <c r="E412" s="77"/>
      <c r="F412" s="77"/>
      <c r="G412" s="78"/>
      <c r="H412" s="78"/>
      <c r="I412" s="77"/>
    </row>
    <row r="413" spans="2:9" ht="15.75" customHeight="1" x14ac:dyDescent="0.3">
      <c r="B413" s="76"/>
      <c r="D413" s="77"/>
      <c r="E413" s="77"/>
      <c r="F413" s="77"/>
      <c r="G413" s="78"/>
      <c r="H413" s="78"/>
      <c r="I413" s="77"/>
    </row>
    <row r="414" spans="2:9" ht="15.75" customHeight="1" x14ac:dyDescent="0.3">
      <c r="B414" s="76"/>
      <c r="D414" s="77"/>
      <c r="E414" s="77"/>
      <c r="F414" s="77"/>
      <c r="G414" s="78"/>
      <c r="H414" s="78"/>
      <c r="I414" s="77"/>
    </row>
    <row r="415" spans="2:9" ht="15.75" customHeight="1" x14ac:dyDescent="0.3">
      <c r="B415" s="76"/>
      <c r="D415" s="77"/>
      <c r="E415" s="77"/>
      <c r="F415" s="77"/>
      <c r="G415" s="78"/>
      <c r="H415" s="78"/>
      <c r="I415" s="77"/>
    </row>
    <row r="416" spans="2:9" ht="15.75" customHeight="1" x14ac:dyDescent="0.3">
      <c r="B416" s="76"/>
      <c r="D416" s="77"/>
      <c r="E416" s="77"/>
      <c r="F416" s="77"/>
      <c r="G416" s="78"/>
      <c r="H416" s="78"/>
      <c r="I416" s="77"/>
    </row>
    <row r="417" spans="2:9" ht="15.75" customHeight="1" x14ac:dyDescent="0.3">
      <c r="B417" s="76"/>
      <c r="D417" s="77"/>
      <c r="E417" s="77"/>
      <c r="F417" s="77"/>
      <c r="G417" s="78"/>
      <c r="H417" s="78"/>
      <c r="I417" s="77"/>
    </row>
    <row r="418" spans="2:9" ht="15.75" customHeight="1" x14ac:dyDescent="0.3">
      <c r="B418" s="76"/>
      <c r="D418" s="77"/>
      <c r="E418" s="77"/>
      <c r="F418" s="77"/>
      <c r="G418" s="78"/>
      <c r="H418" s="78"/>
      <c r="I418" s="77"/>
    </row>
    <row r="419" spans="2:9" ht="15.75" customHeight="1" x14ac:dyDescent="0.3">
      <c r="B419" s="76"/>
      <c r="D419" s="77"/>
      <c r="E419" s="77"/>
      <c r="F419" s="77"/>
      <c r="G419" s="78"/>
      <c r="H419" s="78"/>
      <c r="I419" s="77"/>
    </row>
    <row r="420" spans="2:9" ht="15.75" customHeight="1" x14ac:dyDescent="0.3">
      <c r="B420" s="76"/>
      <c r="D420" s="77"/>
      <c r="E420" s="77"/>
      <c r="F420" s="77"/>
      <c r="G420" s="78"/>
      <c r="H420" s="78"/>
      <c r="I420" s="77"/>
    </row>
    <row r="421" spans="2:9" ht="15.75" customHeight="1" x14ac:dyDescent="0.3">
      <c r="B421" s="76"/>
      <c r="D421" s="77"/>
      <c r="E421" s="77"/>
      <c r="F421" s="77"/>
      <c r="G421" s="78"/>
      <c r="H421" s="78"/>
      <c r="I421" s="77"/>
    </row>
    <row r="422" spans="2:9" ht="15.75" customHeight="1" x14ac:dyDescent="0.3">
      <c r="B422" s="76"/>
      <c r="D422" s="77"/>
      <c r="E422" s="77"/>
      <c r="F422" s="77"/>
      <c r="G422" s="78"/>
      <c r="H422" s="78"/>
      <c r="I422" s="77"/>
    </row>
    <row r="423" spans="2:9" ht="15.75" customHeight="1" x14ac:dyDescent="0.3">
      <c r="B423" s="76"/>
      <c r="D423" s="77"/>
      <c r="E423" s="77"/>
      <c r="F423" s="77"/>
      <c r="G423" s="78"/>
      <c r="H423" s="78"/>
      <c r="I423" s="77"/>
    </row>
    <row r="424" spans="2:9" ht="15.75" customHeight="1" x14ac:dyDescent="0.3">
      <c r="B424" s="76"/>
      <c r="D424" s="77"/>
      <c r="E424" s="77"/>
      <c r="F424" s="77"/>
      <c r="G424" s="78"/>
      <c r="H424" s="78"/>
      <c r="I424" s="77"/>
    </row>
    <row r="425" spans="2:9" ht="15.75" customHeight="1" x14ac:dyDescent="0.3">
      <c r="B425" s="76"/>
      <c r="D425" s="77"/>
      <c r="E425" s="77"/>
      <c r="F425" s="77"/>
      <c r="G425" s="78"/>
      <c r="H425" s="78"/>
      <c r="I425" s="77"/>
    </row>
    <row r="426" spans="2:9" ht="15.75" customHeight="1" x14ac:dyDescent="0.3">
      <c r="B426" s="76"/>
      <c r="D426" s="77"/>
      <c r="E426" s="77"/>
      <c r="F426" s="77"/>
      <c r="G426" s="78"/>
      <c r="H426" s="78"/>
      <c r="I426" s="77"/>
    </row>
    <row r="427" spans="2:9" ht="15.75" customHeight="1" x14ac:dyDescent="0.3">
      <c r="B427" s="76"/>
      <c r="D427" s="77"/>
      <c r="E427" s="77"/>
      <c r="F427" s="77"/>
      <c r="G427" s="78"/>
      <c r="H427" s="78"/>
      <c r="I427" s="77"/>
    </row>
    <row r="428" spans="2:9" ht="15.75" customHeight="1" x14ac:dyDescent="0.3">
      <c r="B428" s="76"/>
      <c r="D428" s="77"/>
      <c r="E428" s="77"/>
      <c r="F428" s="77"/>
      <c r="G428" s="78"/>
      <c r="H428" s="78"/>
      <c r="I428" s="77"/>
    </row>
    <row r="429" spans="2:9" ht="15.75" customHeight="1" x14ac:dyDescent="0.3">
      <c r="B429" s="76"/>
      <c r="D429" s="77"/>
      <c r="E429" s="77"/>
      <c r="F429" s="77"/>
      <c r="G429" s="78"/>
      <c r="H429" s="78"/>
      <c r="I429" s="77"/>
    </row>
    <row r="430" spans="2:9" ht="15.75" customHeight="1" x14ac:dyDescent="0.3">
      <c r="B430" s="76"/>
      <c r="D430" s="77"/>
      <c r="E430" s="77"/>
      <c r="F430" s="77"/>
      <c r="G430" s="78"/>
      <c r="H430" s="78"/>
      <c r="I430" s="77"/>
    </row>
    <row r="431" spans="2:9" ht="15.75" customHeight="1" x14ac:dyDescent="0.3">
      <c r="B431" s="76"/>
      <c r="D431" s="77"/>
      <c r="E431" s="77"/>
      <c r="F431" s="77"/>
      <c r="G431" s="78"/>
      <c r="H431" s="78"/>
      <c r="I431" s="77"/>
    </row>
    <row r="432" spans="2:9" ht="15.75" customHeight="1" x14ac:dyDescent="0.3">
      <c r="B432" s="76"/>
      <c r="D432" s="77"/>
      <c r="E432" s="77"/>
      <c r="F432" s="77"/>
      <c r="G432" s="78"/>
      <c r="H432" s="78"/>
      <c r="I432" s="77"/>
    </row>
    <row r="433" spans="2:9" ht="15.75" customHeight="1" x14ac:dyDescent="0.3">
      <c r="B433" s="76"/>
      <c r="D433" s="77"/>
      <c r="E433" s="77"/>
      <c r="F433" s="77"/>
      <c r="G433" s="78"/>
      <c r="H433" s="78"/>
      <c r="I433" s="77"/>
    </row>
    <row r="434" spans="2:9" ht="15.75" customHeight="1" x14ac:dyDescent="0.3">
      <c r="B434" s="76"/>
      <c r="D434" s="77"/>
      <c r="E434" s="77"/>
      <c r="F434" s="77"/>
      <c r="G434" s="78"/>
      <c r="H434" s="78"/>
      <c r="I434" s="77"/>
    </row>
    <row r="435" spans="2:9" ht="15.75" customHeight="1" x14ac:dyDescent="0.3">
      <c r="B435" s="76"/>
      <c r="D435" s="77"/>
      <c r="E435" s="77"/>
      <c r="F435" s="77"/>
      <c r="G435" s="78"/>
      <c r="H435" s="78"/>
      <c r="I435" s="77"/>
    </row>
    <row r="436" spans="2:9" ht="15.75" customHeight="1" x14ac:dyDescent="0.3">
      <c r="B436" s="76"/>
      <c r="D436" s="77"/>
      <c r="E436" s="77"/>
      <c r="F436" s="77"/>
      <c r="G436" s="78"/>
      <c r="H436" s="78"/>
      <c r="I436" s="77"/>
    </row>
    <row r="437" spans="2:9" ht="15.75" customHeight="1" x14ac:dyDescent="0.3">
      <c r="B437" s="76"/>
      <c r="D437" s="77"/>
      <c r="E437" s="77"/>
      <c r="F437" s="77"/>
      <c r="G437" s="78"/>
      <c r="H437" s="78"/>
      <c r="I437" s="77"/>
    </row>
    <row r="438" spans="2:9" ht="15.75" customHeight="1" x14ac:dyDescent="0.3">
      <c r="B438" s="76"/>
      <c r="D438" s="77"/>
      <c r="E438" s="77"/>
      <c r="F438" s="77"/>
      <c r="G438" s="78"/>
      <c r="H438" s="78"/>
      <c r="I438" s="77"/>
    </row>
    <row r="439" spans="2:9" ht="15.75" customHeight="1" x14ac:dyDescent="0.3">
      <c r="B439" s="76"/>
      <c r="D439" s="77"/>
      <c r="E439" s="77"/>
      <c r="F439" s="77"/>
      <c r="G439" s="78"/>
      <c r="H439" s="78"/>
      <c r="I439" s="77"/>
    </row>
    <row r="440" spans="2:9" ht="15.75" customHeight="1" x14ac:dyDescent="0.3">
      <c r="B440" s="76"/>
      <c r="D440" s="77"/>
      <c r="E440" s="77"/>
      <c r="F440" s="77"/>
      <c r="G440" s="78"/>
      <c r="H440" s="78"/>
      <c r="I440" s="77"/>
    </row>
    <row r="441" spans="2:9" ht="15.75" customHeight="1" x14ac:dyDescent="0.3">
      <c r="B441" s="76"/>
      <c r="D441" s="77"/>
      <c r="E441" s="77"/>
      <c r="F441" s="77"/>
      <c r="G441" s="78"/>
      <c r="H441" s="78"/>
      <c r="I441" s="77"/>
    </row>
    <row r="442" spans="2:9" ht="15.75" customHeight="1" x14ac:dyDescent="0.3">
      <c r="B442" s="76"/>
      <c r="D442" s="77"/>
      <c r="E442" s="77"/>
      <c r="F442" s="77"/>
      <c r="G442" s="78"/>
      <c r="H442" s="78"/>
      <c r="I442" s="77"/>
    </row>
    <row r="443" spans="2:9" ht="15.75" customHeight="1" x14ac:dyDescent="0.3">
      <c r="B443" s="76"/>
      <c r="D443" s="77"/>
      <c r="E443" s="77"/>
      <c r="F443" s="77"/>
      <c r="G443" s="78"/>
      <c r="H443" s="78"/>
      <c r="I443" s="77"/>
    </row>
    <row r="444" spans="2:9" ht="15.75" customHeight="1" x14ac:dyDescent="0.3">
      <c r="B444" s="76"/>
      <c r="D444" s="77"/>
      <c r="E444" s="77"/>
      <c r="F444" s="77"/>
      <c r="G444" s="78"/>
      <c r="H444" s="78"/>
      <c r="I444" s="77"/>
    </row>
    <row r="445" spans="2:9" ht="15.75" customHeight="1" x14ac:dyDescent="0.3">
      <c r="B445" s="76"/>
      <c r="D445" s="77"/>
      <c r="E445" s="77"/>
      <c r="F445" s="77"/>
      <c r="G445" s="78"/>
      <c r="H445" s="78"/>
      <c r="I445" s="77"/>
    </row>
    <row r="446" spans="2:9" ht="15.75" customHeight="1" x14ac:dyDescent="0.3">
      <c r="B446" s="76"/>
      <c r="D446" s="77"/>
      <c r="E446" s="77"/>
      <c r="F446" s="77"/>
      <c r="G446" s="78"/>
      <c r="H446" s="78"/>
      <c r="I446" s="77"/>
    </row>
    <row r="447" spans="2:9" ht="15.75" customHeight="1" x14ac:dyDescent="0.3">
      <c r="B447" s="76"/>
      <c r="D447" s="77"/>
      <c r="E447" s="77"/>
      <c r="F447" s="77"/>
      <c r="G447" s="78"/>
      <c r="H447" s="78"/>
      <c r="I447" s="77"/>
    </row>
    <row r="448" spans="2:9" ht="15.75" customHeight="1" x14ac:dyDescent="0.3">
      <c r="B448" s="76"/>
      <c r="D448" s="77"/>
      <c r="E448" s="77"/>
      <c r="F448" s="77"/>
      <c r="G448" s="78"/>
      <c r="H448" s="78"/>
      <c r="I448" s="77"/>
    </row>
    <row r="449" spans="2:9" ht="15.75" customHeight="1" x14ac:dyDescent="0.3">
      <c r="B449" s="76"/>
      <c r="D449" s="77"/>
      <c r="E449" s="77"/>
      <c r="F449" s="77"/>
      <c r="G449" s="78"/>
      <c r="H449" s="78"/>
      <c r="I449" s="77"/>
    </row>
    <row r="450" spans="2:9" ht="15.75" customHeight="1" x14ac:dyDescent="0.3">
      <c r="B450" s="76"/>
      <c r="D450" s="77"/>
      <c r="E450" s="77"/>
      <c r="F450" s="77"/>
      <c r="G450" s="78"/>
      <c r="H450" s="78"/>
      <c r="I450" s="77"/>
    </row>
    <row r="451" spans="2:9" ht="15.75" customHeight="1" x14ac:dyDescent="0.3">
      <c r="B451" s="76"/>
      <c r="D451" s="77"/>
      <c r="E451" s="77"/>
      <c r="F451" s="77"/>
      <c r="G451" s="78"/>
      <c r="H451" s="78"/>
      <c r="I451" s="77"/>
    </row>
    <row r="452" spans="2:9" ht="15.75" customHeight="1" x14ac:dyDescent="0.3">
      <c r="B452" s="76"/>
      <c r="D452" s="77"/>
      <c r="E452" s="77"/>
      <c r="F452" s="77"/>
      <c r="G452" s="78"/>
      <c r="H452" s="78"/>
      <c r="I452" s="77"/>
    </row>
    <row r="453" spans="2:9" ht="15.75" customHeight="1" x14ac:dyDescent="0.3">
      <c r="B453" s="76"/>
      <c r="D453" s="77"/>
      <c r="E453" s="77"/>
      <c r="F453" s="77"/>
      <c r="G453" s="78"/>
      <c r="H453" s="78"/>
      <c r="I453" s="77"/>
    </row>
    <row r="454" spans="2:9" ht="15.75" customHeight="1" x14ac:dyDescent="0.3">
      <c r="B454" s="76"/>
      <c r="D454" s="77"/>
      <c r="E454" s="77"/>
      <c r="F454" s="77"/>
      <c r="G454" s="78"/>
      <c r="H454" s="78"/>
      <c r="I454" s="77"/>
    </row>
    <row r="455" spans="2:9" ht="15.75" customHeight="1" x14ac:dyDescent="0.3">
      <c r="B455" s="76"/>
      <c r="D455" s="77"/>
      <c r="E455" s="77"/>
      <c r="F455" s="77"/>
      <c r="G455" s="78"/>
      <c r="H455" s="78"/>
      <c r="I455" s="77"/>
    </row>
    <row r="456" spans="2:9" ht="15.75" customHeight="1" x14ac:dyDescent="0.3">
      <c r="B456" s="76"/>
      <c r="D456" s="77"/>
      <c r="E456" s="77"/>
      <c r="F456" s="77"/>
      <c r="G456" s="78"/>
      <c r="H456" s="78"/>
      <c r="I456" s="77"/>
    </row>
    <row r="457" spans="2:9" ht="15.75" customHeight="1" x14ac:dyDescent="0.3">
      <c r="B457" s="76"/>
      <c r="D457" s="77"/>
      <c r="E457" s="77"/>
      <c r="F457" s="77"/>
      <c r="G457" s="78"/>
      <c r="H457" s="78"/>
      <c r="I457" s="77"/>
    </row>
    <row r="458" spans="2:9" ht="15.75" customHeight="1" x14ac:dyDescent="0.3">
      <c r="B458" s="76"/>
      <c r="D458" s="77"/>
      <c r="E458" s="77"/>
      <c r="F458" s="77"/>
      <c r="G458" s="78"/>
      <c r="H458" s="78"/>
      <c r="I458" s="77"/>
    </row>
    <row r="459" spans="2:9" ht="15.75" customHeight="1" x14ac:dyDescent="0.3">
      <c r="B459" s="76"/>
      <c r="D459" s="77"/>
      <c r="E459" s="77"/>
      <c r="F459" s="77"/>
      <c r="G459" s="78"/>
      <c r="H459" s="78"/>
      <c r="I459" s="77"/>
    </row>
    <row r="460" spans="2:9" ht="15.75" customHeight="1" x14ac:dyDescent="0.3">
      <c r="B460" s="76"/>
      <c r="D460" s="77"/>
      <c r="E460" s="77"/>
      <c r="F460" s="77"/>
      <c r="G460" s="78"/>
      <c r="H460" s="78"/>
      <c r="I460" s="77"/>
    </row>
    <row r="461" spans="2:9" ht="15.75" customHeight="1" x14ac:dyDescent="0.3">
      <c r="B461" s="76"/>
      <c r="D461" s="77"/>
      <c r="E461" s="77"/>
      <c r="F461" s="77"/>
      <c r="G461" s="78"/>
      <c r="H461" s="78"/>
      <c r="I461" s="77"/>
    </row>
    <row r="462" spans="2:9" ht="15.75" customHeight="1" x14ac:dyDescent="0.3">
      <c r="B462" s="76"/>
      <c r="D462" s="77"/>
      <c r="E462" s="77"/>
      <c r="F462" s="77"/>
      <c r="G462" s="78"/>
      <c r="H462" s="78"/>
      <c r="I462" s="77"/>
    </row>
    <row r="463" spans="2:9" ht="15.75" customHeight="1" x14ac:dyDescent="0.3">
      <c r="B463" s="76"/>
      <c r="D463" s="77"/>
      <c r="E463" s="77"/>
      <c r="F463" s="77"/>
      <c r="G463" s="78"/>
      <c r="H463" s="78"/>
      <c r="I463" s="77"/>
    </row>
    <row r="464" spans="2:9" ht="15.75" customHeight="1" x14ac:dyDescent="0.3">
      <c r="B464" s="76"/>
      <c r="D464" s="77"/>
      <c r="E464" s="77"/>
      <c r="F464" s="77"/>
      <c r="G464" s="78"/>
      <c r="H464" s="78"/>
      <c r="I464" s="77"/>
    </row>
    <row r="465" spans="2:9" ht="15.75" customHeight="1" x14ac:dyDescent="0.3">
      <c r="B465" s="76"/>
      <c r="D465" s="77"/>
      <c r="E465" s="77"/>
      <c r="F465" s="77"/>
      <c r="G465" s="78"/>
      <c r="H465" s="78"/>
      <c r="I465" s="77"/>
    </row>
    <row r="466" spans="2:9" ht="15.75" customHeight="1" x14ac:dyDescent="0.3">
      <c r="B466" s="76"/>
      <c r="D466" s="77"/>
      <c r="E466" s="77"/>
      <c r="F466" s="77"/>
      <c r="G466" s="78"/>
      <c r="H466" s="78"/>
      <c r="I466" s="77"/>
    </row>
    <row r="467" spans="2:9" ht="15.75" customHeight="1" x14ac:dyDescent="0.3">
      <c r="B467" s="76"/>
      <c r="D467" s="77"/>
      <c r="E467" s="77"/>
      <c r="F467" s="77"/>
      <c r="G467" s="78"/>
      <c r="H467" s="78"/>
      <c r="I467" s="77"/>
    </row>
    <row r="468" spans="2:9" ht="15.75" customHeight="1" x14ac:dyDescent="0.3">
      <c r="B468" s="76"/>
      <c r="D468" s="77"/>
      <c r="E468" s="77"/>
      <c r="F468" s="77"/>
      <c r="G468" s="78"/>
      <c r="H468" s="78"/>
      <c r="I468" s="77"/>
    </row>
    <row r="469" spans="2:9" ht="15.75" customHeight="1" x14ac:dyDescent="0.3">
      <c r="B469" s="76"/>
      <c r="D469" s="77"/>
      <c r="E469" s="77"/>
      <c r="F469" s="77"/>
      <c r="G469" s="78"/>
      <c r="H469" s="78"/>
      <c r="I469" s="77"/>
    </row>
    <row r="470" spans="2:9" ht="15.75" customHeight="1" x14ac:dyDescent="0.3">
      <c r="B470" s="76"/>
      <c r="D470" s="77"/>
      <c r="E470" s="77"/>
      <c r="F470" s="77"/>
      <c r="G470" s="78"/>
      <c r="H470" s="78"/>
      <c r="I470" s="77"/>
    </row>
    <row r="471" spans="2:9" ht="15.75" customHeight="1" x14ac:dyDescent="0.3">
      <c r="B471" s="76"/>
      <c r="D471" s="77"/>
      <c r="E471" s="77"/>
      <c r="F471" s="77"/>
      <c r="G471" s="78"/>
      <c r="H471" s="78"/>
      <c r="I471" s="77"/>
    </row>
    <row r="472" spans="2:9" ht="15.75" customHeight="1" x14ac:dyDescent="0.3">
      <c r="B472" s="76"/>
      <c r="D472" s="77"/>
      <c r="E472" s="77"/>
      <c r="F472" s="77"/>
      <c r="G472" s="78"/>
      <c r="H472" s="78"/>
      <c r="I472" s="77"/>
    </row>
    <row r="473" spans="2:9" ht="15.75" customHeight="1" x14ac:dyDescent="0.3">
      <c r="B473" s="76"/>
      <c r="D473" s="77"/>
      <c r="E473" s="77"/>
      <c r="F473" s="77"/>
      <c r="G473" s="78"/>
      <c r="H473" s="78"/>
      <c r="I473" s="77"/>
    </row>
    <row r="474" spans="2:9" ht="15.75" customHeight="1" x14ac:dyDescent="0.3">
      <c r="B474" s="76"/>
      <c r="D474" s="77"/>
      <c r="E474" s="77"/>
      <c r="F474" s="77"/>
      <c r="G474" s="78"/>
      <c r="H474" s="78"/>
      <c r="I474" s="77"/>
    </row>
    <row r="475" spans="2:9" ht="15.75" customHeight="1" x14ac:dyDescent="0.3">
      <c r="B475" s="76"/>
      <c r="D475" s="77"/>
      <c r="E475" s="77"/>
      <c r="F475" s="77"/>
      <c r="G475" s="78"/>
      <c r="H475" s="78"/>
      <c r="I475" s="77"/>
    </row>
    <row r="476" spans="2:9" ht="15.75" customHeight="1" x14ac:dyDescent="0.3">
      <c r="B476" s="76"/>
      <c r="D476" s="77"/>
      <c r="E476" s="77"/>
      <c r="F476" s="77"/>
      <c r="G476" s="78"/>
      <c r="H476" s="78"/>
      <c r="I476" s="77"/>
    </row>
    <row r="477" spans="2:9" ht="15.75" customHeight="1" x14ac:dyDescent="0.3">
      <c r="B477" s="76"/>
      <c r="D477" s="77"/>
      <c r="E477" s="77"/>
      <c r="F477" s="77"/>
      <c r="G477" s="78"/>
      <c r="H477" s="78"/>
      <c r="I477" s="77"/>
    </row>
    <row r="478" spans="2:9" ht="15.75" customHeight="1" x14ac:dyDescent="0.3">
      <c r="B478" s="76"/>
      <c r="D478" s="77"/>
      <c r="E478" s="77"/>
      <c r="F478" s="77"/>
      <c r="G478" s="78"/>
      <c r="H478" s="78"/>
      <c r="I478" s="77"/>
    </row>
    <row r="479" spans="2:9" ht="15.75" customHeight="1" x14ac:dyDescent="0.3">
      <c r="B479" s="76"/>
      <c r="D479" s="77"/>
      <c r="E479" s="77"/>
      <c r="F479" s="77"/>
      <c r="G479" s="78"/>
      <c r="H479" s="78"/>
      <c r="I479" s="77"/>
    </row>
    <row r="480" spans="2:9" ht="15.75" customHeight="1" x14ac:dyDescent="0.3">
      <c r="B480" s="76"/>
      <c r="D480" s="77"/>
      <c r="E480" s="77"/>
      <c r="F480" s="77"/>
      <c r="G480" s="78"/>
      <c r="H480" s="78"/>
      <c r="I480" s="77"/>
    </row>
    <row r="481" spans="2:9" ht="15.75" customHeight="1" x14ac:dyDescent="0.3">
      <c r="B481" s="76"/>
      <c r="D481" s="77"/>
      <c r="E481" s="77"/>
      <c r="F481" s="77"/>
      <c r="G481" s="78"/>
      <c r="H481" s="78"/>
      <c r="I481" s="77"/>
    </row>
    <row r="482" spans="2:9" ht="15.75" customHeight="1" x14ac:dyDescent="0.3">
      <c r="B482" s="76"/>
      <c r="D482" s="77"/>
      <c r="E482" s="77"/>
      <c r="F482" s="77"/>
      <c r="G482" s="78"/>
      <c r="H482" s="78"/>
      <c r="I482" s="77"/>
    </row>
    <row r="483" spans="2:9" ht="15.75" customHeight="1" x14ac:dyDescent="0.3">
      <c r="B483" s="76"/>
      <c r="D483" s="77"/>
      <c r="E483" s="77"/>
      <c r="F483" s="77"/>
      <c r="G483" s="78"/>
      <c r="H483" s="78"/>
      <c r="I483" s="77"/>
    </row>
    <row r="484" spans="2:9" ht="15.75" customHeight="1" x14ac:dyDescent="0.3">
      <c r="B484" s="76"/>
      <c r="D484" s="77"/>
      <c r="E484" s="77"/>
      <c r="F484" s="77"/>
      <c r="G484" s="78"/>
      <c r="H484" s="78"/>
      <c r="I484" s="77"/>
    </row>
    <row r="485" spans="2:9" ht="15.75" customHeight="1" x14ac:dyDescent="0.3">
      <c r="B485" s="76"/>
      <c r="D485" s="77"/>
      <c r="E485" s="77"/>
      <c r="F485" s="77"/>
      <c r="G485" s="78"/>
      <c r="H485" s="78"/>
      <c r="I485" s="77"/>
    </row>
    <row r="486" spans="2:9" ht="15.75" customHeight="1" x14ac:dyDescent="0.3">
      <c r="B486" s="76"/>
      <c r="D486" s="77"/>
      <c r="E486" s="77"/>
      <c r="F486" s="77"/>
      <c r="G486" s="78"/>
      <c r="H486" s="78"/>
      <c r="I486" s="77"/>
    </row>
    <row r="487" spans="2:9" ht="15.75" customHeight="1" x14ac:dyDescent="0.3">
      <c r="B487" s="76"/>
      <c r="D487" s="77"/>
      <c r="E487" s="77"/>
      <c r="F487" s="77"/>
      <c r="G487" s="78"/>
      <c r="H487" s="78"/>
      <c r="I487" s="77"/>
    </row>
    <row r="488" spans="2:9" ht="15.75" customHeight="1" x14ac:dyDescent="0.3">
      <c r="B488" s="76"/>
      <c r="D488" s="77"/>
      <c r="E488" s="77"/>
      <c r="F488" s="77"/>
      <c r="G488" s="78"/>
      <c r="H488" s="78"/>
      <c r="I488" s="77"/>
    </row>
    <row r="489" spans="2:9" ht="15.75" customHeight="1" x14ac:dyDescent="0.3">
      <c r="B489" s="76"/>
      <c r="D489" s="77"/>
      <c r="E489" s="77"/>
      <c r="F489" s="77"/>
      <c r="G489" s="78"/>
      <c r="H489" s="78"/>
      <c r="I489" s="77"/>
    </row>
    <row r="490" spans="2:9" ht="15.75" customHeight="1" x14ac:dyDescent="0.3">
      <c r="B490" s="76"/>
      <c r="D490" s="77"/>
      <c r="E490" s="77"/>
      <c r="F490" s="77"/>
      <c r="G490" s="78"/>
      <c r="H490" s="78"/>
      <c r="I490" s="77"/>
    </row>
    <row r="491" spans="2:9" ht="15.75" customHeight="1" x14ac:dyDescent="0.3">
      <c r="B491" s="76"/>
      <c r="D491" s="77"/>
      <c r="E491" s="77"/>
      <c r="F491" s="77"/>
      <c r="G491" s="78"/>
      <c r="H491" s="78"/>
      <c r="I491" s="77"/>
    </row>
    <row r="492" spans="2:9" ht="15.75" customHeight="1" x14ac:dyDescent="0.3">
      <c r="B492" s="76"/>
      <c r="D492" s="77"/>
      <c r="E492" s="77"/>
      <c r="F492" s="77"/>
      <c r="G492" s="78"/>
      <c r="H492" s="78"/>
      <c r="I492" s="77"/>
    </row>
    <row r="493" spans="2:9" ht="15.75" customHeight="1" x14ac:dyDescent="0.3">
      <c r="B493" s="76"/>
      <c r="D493" s="77"/>
      <c r="E493" s="77"/>
      <c r="F493" s="77"/>
      <c r="G493" s="78"/>
      <c r="H493" s="78"/>
      <c r="I493" s="77"/>
    </row>
    <row r="494" spans="2:9" ht="15.75" customHeight="1" x14ac:dyDescent="0.3">
      <c r="B494" s="76"/>
      <c r="D494" s="77"/>
      <c r="E494" s="77"/>
      <c r="F494" s="77"/>
      <c r="G494" s="78"/>
      <c r="H494" s="78"/>
      <c r="I494" s="77"/>
    </row>
    <row r="495" spans="2:9" ht="15.75" customHeight="1" x14ac:dyDescent="0.3">
      <c r="B495" s="76"/>
      <c r="D495" s="77"/>
      <c r="E495" s="77"/>
      <c r="F495" s="77"/>
      <c r="G495" s="78"/>
      <c r="H495" s="78"/>
      <c r="I495" s="77"/>
    </row>
    <row r="496" spans="2:9" ht="15.75" customHeight="1" x14ac:dyDescent="0.3">
      <c r="B496" s="76"/>
      <c r="D496" s="77"/>
      <c r="E496" s="77"/>
      <c r="F496" s="77"/>
      <c r="G496" s="78"/>
      <c r="H496" s="78"/>
      <c r="I496" s="77"/>
    </row>
    <row r="497" spans="2:9" ht="15.75" customHeight="1" x14ac:dyDescent="0.3">
      <c r="B497" s="76"/>
      <c r="D497" s="77"/>
      <c r="E497" s="77"/>
      <c r="F497" s="77"/>
      <c r="G497" s="78"/>
      <c r="H497" s="78"/>
      <c r="I497" s="77"/>
    </row>
    <row r="498" spans="2:9" ht="15.75" customHeight="1" x14ac:dyDescent="0.3">
      <c r="B498" s="76"/>
      <c r="D498" s="77"/>
      <c r="E498" s="77"/>
      <c r="F498" s="77"/>
      <c r="G498" s="78"/>
      <c r="H498" s="78"/>
      <c r="I498" s="77"/>
    </row>
    <row r="499" spans="2:9" ht="15.75" customHeight="1" x14ac:dyDescent="0.3">
      <c r="B499" s="76"/>
      <c r="D499" s="77"/>
      <c r="E499" s="77"/>
      <c r="F499" s="77"/>
      <c r="G499" s="78"/>
      <c r="H499" s="78"/>
      <c r="I499" s="77"/>
    </row>
    <row r="500" spans="2:9" ht="15.75" customHeight="1" x14ac:dyDescent="0.3">
      <c r="B500" s="76"/>
      <c r="D500" s="77"/>
      <c r="E500" s="77"/>
      <c r="F500" s="77"/>
      <c r="G500" s="78"/>
      <c r="H500" s="78"/>
      <c r="I500" s="77"/>
    </row>
    <row r="501" spans="2:9" ht="15.75" customHeight="1" x14ac:dyDescent="0.3">
      <c r="B501" s="76"/>
      <c r="D501" s="77"/>
      <c r="E501" s="77"/>
      <c r="F501" s="77"/>
      <c r="G501" s="78"/>
      <c r="H501" s="78"/>
      <c r="I501" s="77"/>
    </row>
    <row r="502" spans="2:9" ht="15.75" customHeight="1" x14ac:dyDescent="0.3">
      <c r="B502" s="76"/>
      <c r="D502" s="77"/>
      <c r="E502" s="77"/>
      <c r="F502" s="77"/>
      <c r="G502" s="78"/>
      <c r="H502" s="78"/>
      <c r="I502" s="77"/>
    </row>
    <row r="503" spans="2:9" ht="15.75" customHeight="1" x14ac:dyDescent="0.3">
      <c r="B503" s="76"/>
      <c r="D503" s="77"/>
      <c r="E503" s="77"/>
      <c r="F503" s="77"/>
      <c r="G503" s="78"/>
      <c r="H503" s="78"/>
      <c r="I503" s="77"/>
    </row>
    <row r="504" spans="2:9" ht="15.75" customHeight="1" x14ac:dyDescent="0.3">
      <c r="B504" s="76"/>
      <c r="D504" s="77"/>
      <c r="E504" s="77"/>
      <c r="F504" s="77"/>
      <c r="G504" s="78"/>
      <c r="H504" s="78"/>
      <c r="I504" s="77"/>
    </row>
    <row r="505" spans="2:9" ht="15.75" customHeight="1" x14ac:dyDescent="0.3">
      <c r="B505" s="76"/>
      <c r="D505" s="77"/>
      <c r="E505" s="77"/>
      <c r="F505" s="77"/>
      <c r="G505" s="78"/>
      <c r="H505" s="78"/>
      <c r="I505" s="77"/>
    </row>
    <row r="506" spans="2:9" ht="15.75" customHeight="1" x14ac:dyDescent="0.3">
      <c r="B506" s="76"/>
      <c r="D506" s="77"/>
      <c r="E506" s="77"/>
      <c r="F506" s="77"/>
      <c r="G506" s="78"/>
      <c r="H506" s="78"/>
      <c r="I506" s="77"/>
    </row>
    <row r="507" spans="2:9" ht="15.75" customHeight="1" x14ac:dyDescent="0.3">
      <c r="B507" s="76"/>
      <c r="D507" s="77"/>
      <c r="E507" s="77"/>
      <c r="F507" s="77"/>
      <c r="G507" s="78"/>
      <c r="H507" s="78"/>
      <c r="I507" s="77"/>
    </row>
    <row r="508" spans="2:9" ht="15.75" customHeight="1" x14ac:dyDescent="0.3">
      <c r="B508" s="76"/>
      <c r="D508" s="77"/>
      <c r="E508" s="77"/>
      <c r="F508" s="77"/>
      <c r="G508" s="78"/>
      <c r="H508" s="78"/>
      <c r="I508" s="77"/>
    </row>
    <row r="509" spans="2:9" ht="15.75" customHeight="1" x14ac:dyDescent="0.3">
      <c r="B509" s="76"/>
      <c r="D509" s="77"/>
      <c r="E509" s="77"/>
      <c r="F509" s="77"/>
      <c r="G509" s="78"/>
      <c r="H509" s="78"/>
      <c r="I509" s="77"/>
    </row>
    <row r="510" spans="2:9" ht="15.75" customHeight="1" x14ac:dyDescent="0.3">
      <c r="B510" s="76"/>
      <c r="D510" s="77"/>
      <c r="E510" s="77"/>
      <c r="F510" s="77"/>
      <c r="G510" s="78"/>
      <c r="H510" s="78"/>
      <c r="I510" s="77"/>
    </row>
    <row r="511" spans="2:9" ht="15.75" customHeight="1" x14ac:dyDescent="0.3">
      <c r="B511" s="76"/>
      <c r="D511" s="77"/>
      <c r="E511" s="77"/>
      <c r="F511" s="77"/>
      <c r="G511" s="78"/>
      <c r="H511" s="78"/>
      <c r="I511" s="77"/>
    </row>
    <row r="512" spans="2:9" ht="15.75" customHeight="1" x14ac:dyDescent="0.3">
      <c r="B512" s="76"/>
      <c r="D512" s="77"/>
      <c r="E512" s="77"/>
      <c r="F512" s="77"/>
      <c r="G512" s="78"/>
      <c r="H512" s="78"/>
      <c r="I512" s="77"/>
    </row>
    <row r="513" spans="2:9" ht="15.75" customHeight="1" x14ac:dyDescent="0.3">
      <c r="B513" s="76"/>
      <c r="D513" s="77"/>
      <c r="E513" s="77"/>
      <c r="F513" s="77"/>
      <c r="G513" s="78"/>
      <c r="H513" s="78"/>
      <c r="I513" s="77"/>
    </row>
    <row r="514" spans="2:9" ht="15.75" customHeight="1" x14ac:dyDescent="0.3">
      <c r="B514" s="76"/>
      <c r="D514" s="77"/>
      <c r="E514" s="77"/>
      <c r="F514" s="77"/>
      <c r="G514" s="78"/>
      <c r="H514" s="78"/>
      <c r="I514" s="77"/>
    </row>
    <row r="515" spans="2:9" ht="15.75" customHeight="1" x14ac:dyDescent="0.3">
      <c r="B515" s="76"/>
      <c r="D515" s="77"/>
      <c r="E515" s="77"/>
      <c r="F515" s="77"/>
      <c r="G515" s="78"/>
      <c r="H515" s="78"/>
      <c r="I515" s="77"/>
    </row>
    <row r="516" spans="2:9" ht="15.75" customHeight="1" x14ac:dyDescent="0.3">
      <c r="B516" s="76"/>
      <c r="D516" s="77"/>
      <c r="E516" s="77"/>
      <c r="F516" s="77"/>
      <c r="G516" s="78"/>
      <c r="H516" s="78"/>
      <c r="I516" s="77"/>
    </row>
    <row r="517" spans="2:9" ht="15.75" customHeight="1" x14ac:dyDescent="0.3">
      <c r="B517" s="76"/>
      <c r="D517" s="77"/>
      <c r="E517" s="77"/>
      <c r="F517" s="77"/>
      <c r="G517" s="78"/>
      <c r="H517" s="78"/>
      <c r="I517" s="77"/>
    </row>
    <row r="518" spans="2:9" ht="15.75" customHeight="1" x14ac:dyDescent="0.3">
      <c r="B518" s="76"/>
      <c r="D518" s="77"/>
      <c r="E518" s="77"/>
      <c r="F518" s="77"/>
      <c r="G518" s="78"/>
      <c r="H518" s="78"/>
      <c r="I518" s="77"/>
    </row>
    <row r="519" spans="2:9" ht="15.75" customHeight="1" x14ac:dyDescent="0.3">
      <c r="B519" s="76"/>
      <c r="D519" s="77"/>
      <c r="E519" s="77"/>
      <c r="F519" s="77"/>
      <c r="G519" s="78"/>
      <c r="H519" s="78"/>
      <c r="I519" s="77"/>
    </row>
    <row r="520" spans="2:9" ht="15.75" customHeight="1" x14ac:dyDescent="0.3">
      <c r="B520" s="76"/>
      <c r="D520" s="77"/>
      <c r="E520" s="77"/>
      <c r="F520" s="77"/>
      <c r="G520" s="78"/>
      <c r="H520" s="78"/>
      <c r="I520" s="77"/>
    </row>
    <row r="521" spans="2:9" ht="15.75" customHeight="1" x14ac:dyDescent="0.3">
      <c r="B521" s="76"/>
      <c r="D521" s="77"/>
      <c r="E521" s="77"/>
      <c r="F521" s="77"/>
      <c r="G521" s="78"/>
      <c r="H521" s="78"/>
      <c r="I521" s="77"/>
    </row>
    <row r="522" spans="2:9" ht="15.75" customHeight="1" x14ac:dyDescent="0.3">
      <c r="B522" s="76"/>
      <c r="D522" s="77"/>
      <c r="E522" s="77"/>
      <c r="F522" s="77"/>
      <c r="G522" s="78"/>
      <c r="H522" s="78"/>
      <c r="I522" s="77"/>
    </row>
    <row r="523" spans="2:9" ht="15.75" customHeight="1" x14ac:dyDescent="0.3">
      <c r="B523" s="76"/>
      <c r="D523" s="77"/>
      <c r="E523" s="77"/>
      <c r="F523" s="77"/>
      <c r="G523" s="78"/>
      <c r="H523" s="78"/>
      <c r="I523" s="77"/>
    </row>
    <row r="524" spans="2:9" ht="15.75" customHeight="1" x14ac:dyDescent="0.3">
      <c r="B524" s="76"/>
      <c r="D524" s="77"/>
      <c r="E524" s="77"/>
      <c r="F524" s="77"/>
      <c r="G524" s="78"/>
      <c r="H524" s="78"/>
      <c r="I524" s="77"/>
    </row>
    <row r="525" spans="2:9" ht="15.75" customHeight="1" x14ac:dyDescent="0.3">
      <c r="B525" s="76"/>
      <c r="D525" s="77"/>
      <c r="E525" s="77"/>
      <c r="F525" s="77"/>
      <c r="G525" s="78"/>
      <c r="H525" s="78"/>
      <c r="I525" s="77"/>
    </row>
    <row r="526" spans="2:9" ht="15.75" customHeight="1" x14ac:dyDescent="0.3">
      <c r="B526" s="76"/>
      <c r="D526" s="77"/>
      <c r="E526" s="77"/>
      <c r="F526" s="77"/>
      <c r="G526" s="78"/>
      <c r="H526" s="78"/>
      <c r="I526" s="77"/>
    </row>
    <row r="527" spans="2:9" ht="15.75" customHeight="1" x14ac:dyDescent="0.3">
      <c r="B527" s="76"/>
      <c r="D527" s="77"/>
      <c r="E527" s="77"/>
      <c r="F527" s="77"/>
      <c r="G527" s="78"/>
      <c r="H527" s="78"/>
      <c r="I527" s="77"/>
    </row>
    <row r="528" spans="2:9" ht="15.75" customHeight="1" x14ac:dyDescent="0.3">
      <c r="B528" s="76"/>
      <c r="D528" s="77"/>
      <c r="E528" s="77"/>
      <c r="F528" s="77"/>
      <c r="G528" s="78"/>
      <c r="H528" s="78"/>
      <c r="I528" s="77"/>
    </row>
    <row r="529" spans="2:9" ht="15.75" customHeight="1" x14ac:dyDescent="0.3">
      <c r="B529" s="76"/>
      <c r="D529" s="77"/>
      <c r="E529" s="77"/>
      <c r="F529" s="77"/>
      <c r="G529" s="78"/>
      <c r="H529" s="78"/>
      <c r="I529" s="77"/>
    </row>
    <row r="530" spans="2:9" ht="15.75" customHeight="1" x14ac:dyDescent="0.3">
      <c r="B530" s="76"/>
      <c r="D530" s="77"/>
      <c r="E530" s="77"/>
      <c r="F530" s="77"/>
      <c r="G530" s="78"/>
      <c r="H530" s="78"/>
      <c r="I530" s="77"/>
    </row>
    <row r="531" spans="2:9" ht="15.75" customHeight="1" x14ac:dyDescent="0.3">
      <c r="B531" s="76"/>
      <c r="D531" s="77"/>
      <c r="E531" s="77"/>
      <c r="F531" s="77"/>
      <c r="G531" s="78"/>
      <c r="H531" s="78"/>
      <c r="I531" s="77"/>
    </row>
    <row r="532" spans="2:9" ht="15.75" customHeight="1" x14ac:dyDescent="0.3">
      <c r="B532" s="76"/>
      <c r="D532" s="77"/>
      <c r="E532" s="77"/>
      <c r="F532" s="77"/>
      <c r="G532" s="78"/>
      <c r="H532" s="78"/>
      <c r="I532" s="77"/>
    </row>
    <row r="533" spans="2:9" ht="15.75" customHeight="1" x14ac:dyDescent="0.3">
      <c r="B533" s="76"/>
      <c r="D533" s="77"/>
      <c r="E533" s="77"/>
      <c r="F533" s="77"/>
      <c r="G533" s="78"/>
      <c r="H533" s="78"/>
      <c r="I533" s="77"/>
    </row>
    <row r="534" spans="2:9" ht="15.75" customHeight="1" x14ac:dyDescent="0.3">
      <c r="B534" s="76"/>
      <c r="D534" s="77"/>
      <c r="E534" s="77"/>
      <c r="F534" s="77"/>
      <c r="G534" s="78"/>
      <c r="H534" s="78"/>
      <c r="I534" s="77"/>
    </row>
    <row r="535" spans="2:9" ht="15.75" customHeight="1" x14ac:dyDescent="0.3">
      <c r="B535" s="76"/>
      <c r="D535" s="77"/>
      <c r="E535" s="77"/>
      <c r="F535" s="77"/>
      <c r="G535" s="78"/>
      <c r="H535" s="78"/>
      <c r="I535" s="77"/>
    </row>
    <row r="536" spans="2:9" ht="15.75" customHeight="1" x14ac:dyDescent="0.3">
      <c r="B536" s="76"/>
      <c r="D536" s="77"/>
      <c r="E536" s="77"/>
      <c r="F536" s="77"/>
      <c r="G536" s="78"/>
      <c r="H536" s="78"/>
      <c r="I536" s="77"/>
    </row>
    <row r="537" spans="2:9" ht="15.75" customHeight="1" x14ac:dyDescent="0.3">
      <c r="B537" s="76"/>
      <c r="D537" s="77"/>
      <c r="E537" s="77"/>
      <c r="F537" s="77"/>
      <c r="G537" s="78"/>
      <c r="H537" s="78"/>
      <c r="I537" s="77"/>
    </row>
    <row r="538" spans="2:9" ht="15.75" customHeight="1" x14ac:dyDescent="0.3">
      <c r="B538" s="76"/>
      <c r="D538" s="77"/>
      <c r="E538" s="77"/>
      <c r="F538" s="77"/>
      <c r="G538" s="78"/>
      <c r="H538" s="78"/>
      <c r="I538" s="77"/>
    </row>
    <row r="539" spans="2:9" ht="15.75" customHeight="1" x14ac:dyDescent="0.3">
      <c r="B539" s="76"/>
      <c r="D539" s="77"/>
      <c r="E539" s="77"/>
      <c r="F539" s="77"/>
      <c r="G539" s="78"/>
      <c r="H539" s="78"/>
      <c r="I539" s="77"/>
    </row>
    <row r="540" spans="2:9" ht="15.75" customHeight="1" x14ac:dyDescent="0.3">
      <c r="B540" s="76"/>
      <c r="D540" s="77"/>
      <c r="E540" s="77"/>
      <c r="F540" s="77"/>
      <c r="G540" s="78"/>
      <c r="H540" s="78"/>
      <c r="I540" s="77"/>
    </row>
    <row r="541" spans="2:9" ht="15.75" customHeight="1" x14ac:dyDescent="0.3">
      <c r="B541" s="76"/>
      <c r="D541" s="77"/>
      <c r="E541" s="77"/>
      <c r="F541" s="77"/>
      <c r="G541" s="78"/>
      <c r="H541" s="78"/>
      <c r="I541" s="77"/>
    </row>
    <row r="542" spans="2:9" ht="15.75" customHeight="1" x14ac:dyDescent="0.3">
      <c r="B542" s="76"/>
      <c r="D542" s="77"/>
      <c r="E542" s="77"/>
      <c r="F542" s="77"/>
      <c r="G542" s="78"/>
      <c r="H542" s="78"/>
      <c r="I542" s="77"/>
    </row>
    <row r="543" spans="2:9" ht="15.75" customHeight="1" x14ac:dyDescent="0.3">
      <c r="B543" s="76"/>
      <c r="D543" s="77"/>
      <c r="E543" s="77"/>
      <c r="F543" s="77"/>
      <c r="G543" s="78"/>
      <c r="H543" s="78"/>
      <c r="I543" s="77"/>
    </row>
    <row r="544" spans="2:9" ht="15.75" customHeight="1" x14ac:dyDescent="0.3">
      <c r="B544" s="76"/>
      <c r="D544" s="77"/>
      <c r="E544" s="77"/>
      <c r="F544" s="77"/>
      <c r="G544" s="78"/>
      <c r="H544" s="78"/>
      <c r="I544" s="77"/>
    </row>
    <row r="545" spans="2:9" ht="15.75" customHeight="1" x14ac:dyDescent="0.3">
      <c r="B545" s="76"/>
      <c r="D545" s="77"/>
      <c r="E545" s="77"/>
      <c r="F545" s="77"/>
      <c r="G545" s="78"/>
      <c r="H545" s="78"/>
      <c r="I545" s="77"/>
    </row>
    <row r="546" spans="2:9" ht="15.75" customHeight="1" x14ac:dyDescent="0.3">
      <c r="B546" s="76"/>
      <c r="D546" s="77"/>
      <c r="E546" s="77"/>
      <c r="F546" s="77"/>
      <c r="G546" s="78"/>
      <c r="H546" s="78"/>
      <c r="I546" s="77"/>
    </row>
    <row r="547" spans="2:9" ht="15.75" customHeight="1" x14ac:dyDescent="0.3">
      <c r="B547" s="76"/>
      <c r="D547" s="77"/>
      <c r="E547" s="77"/>
      <c r="F547" s="77"/>
      <c r="G547" s="78"/>
      <c r="H547" s="78"/>
      <c r="I547" s="77"/>
    </row>
    <row r="548" spans="2:9" ht="15.75" customHeight="1" x14ac:dyDescent="0.3">
      <c r="B548" s="76"/>
      <c r="D548" s="77"/>
      <c r="E548" s="77"/>
      <c r="F548" s="77"/>
      <c r="G548" s="78"/>
      <c r="H548" s="78"/>
      <c r="I548" s="77"/>
    </row>
    <row r="549" spans="2:9" ht="15.75" customHeight="1" x14ac:dyDescent="0.3">
      <c r="B549" s="76"/>
      <c r="D549" s="77"/>
      <c r="E549" s="77"/>
      <c r="F549" s="77"/>
      <c r="G549" s="78"/>
      <c r="H549" s="78"/>
      <c r="I549" s="77"/>
    </row>
    <row r="550" spans="2:9" ht="15.75" customHeight="1" x14ac:dyDescent="0.3">
      <c r="B550" s="76"/>
      <c r="D550" s="77"/>
      <c r="E550" s="77"/>
      <c r="F550" s="77"/>
      <c r="G550" s="78"/>
      <c r="H550" s="78"/>
      <c r="I550" s="77"/>
    </row>
    <row r="551" spans="2:9" ht="15.75" customHeight="1" x14ac:dyDescent="0.3">
      <c r="B551" s="76"/>
      <c r="D551" s="77"/>
      <c r="E551" s="77"/>
      <c r="F551" s="77"/>
      <c r="G551" s="78"/>
      <c r="H551" s="78"/>
      <c r="I551" s="77"/>
    </row>
    <row r="552" spans="2:9" ht="15.75" customHeight="1" x14ac:dyDescent="0.3">
      <c r="B552" s="76"/>
      <c r="D552" s="77"/>
      <c r="E552" s="77"/>
      <c r="F552" s="77"/>
      <c r="G552" s="78"/>
      <c r="H552" s="78"/>
      <c r="I552" s="77"/>
    </row>
    <row r="553" spans="2:9" ht="15.75" customHeight="1" x14ac:dyDescent="0.3">
      <c r="B553" s="76"/>
      <c r="D553" s="77"/>
      <c r="E553" s="77"/>
      <c r="F553" s="77"/>
      <c r="G553" s="78"/>
      <c r="H553" s="78"/>
      <c r="I553" s="77"/>
    </row>
    <row r="554" spans="2:9" ht="15.75" customHeight="1" x14ac:dyDescent="0.3">
      <c r="B554" s="76"/>
      <c r="D554" s="77"/>
      <c r="E554" s="77"/>
      <c r="F554" s="77"/>
      <c r="G554" s="78"/>
      <c r="H554" s="78"/>
      <c r="I554" s="77"/>
    </row>
    <row r="555" spans="2:9" ht="15.75" customHeight="1" x14ac:dyDescent="0.3">
      <c r="B555" s="76"/>
      <c r="D555" s="77"/>
      <c r="E555" s="77"/>
      <c r="F555" s="77"/>
      <c r="G555" s="78"/>
      <c r="H555" s="78"/>
      <c r="I555" s="77"/>
    </row>
    <row r="556" spans="2:9" ht="15.75" customHeight="1" x14ac:dyDescent="0.3">
      <c r="B556" s="76"/>
      <c r="D556" s="77"/>
      <c r="E556" s="77"/>
      <c r="F556" s="77"/>
      <c r="G556" s="78"/>
      <c r="H556" s="78"/>
      <c r="I556" s="77"/>
    </row>
    <row r="557" spans="2:9" ht="15.75" customHeight="1" x14ac:dyDescent="0.3">
      <c r="B557" s="76"/>
      <c r="D557" s="77"/>
      <c r="E557" s="77"/>
      <c r="F557" s="77"/>
      <c r="G557" s="78"/>
      <c r="H557" s="78"/>
      <c r="I557" s="77"/>
    </row>
    <row r="558" spans="2:9" ht="15.75" customHeight="1" x14ac:dyDescent="0.3">
      <c r="B558" s="76"/>
      <c r="D558" s="77"/>
      <c r="E558" s="77"/>
      <c r="F558" s="77"/>
      <c r="G558" s="78"/>
      <c r="H558" s="78"/>
      <c r="I558" s="77"/>
    </row>
    <row r="559" spans="2:9" ht="15.75" customHeight="1" x14ac:dyDescent="0.3">
      <c r="B559" s="76"/>
      <c r="D559" s="77"/>
      <c r="E559" s="77"/>
      <c r="F559" s="77"/>
      <c r="G559" s="78"/>
      <c r="H559" s="78"/>
      <c r="I559" s="77"/>
    </row>
    <row r="560" spans="2:9" ht="15.75" customHeight="1" x14ac:dyDescent="0.3">
      <c r="B560" s="76"/>
      <c r="D560" s="77"/>
      <c r="E560" s="77"/>
      <c r="F560" s="77"/>
      <c r="G560" s="78"/>
      <c r="H560" s="78"/>
      <c r="I560" s="77"/>
    </row>
    <row r="561" spans="2:9" ht="15.75" customHeight="1" x14ac:dyDescent="0.3">
      <c r="B561" s="76"/>
      <c r="D561" s="77"/>
      <c r="E561" s="77"/>
      <c r="F561" s="77"/>
      <c r="G561" s="78"/>
      <c r="H561" s="78"/>
      <c r="I561" s="77"/>
    </row>
    <row r="562" spans="2:9" ht="15.75" customHeight="1" x14ac:dyDescent="0.3">
      <c r="B562" s="76"/>
      <c r="D562" s="77"/>
      <c r="E562" s="77"/>
      <c r="F562" s="77"/>
      <c r="G562" s="78"/>
      <c r="H562" s="78"/>
      <c r="I562" s="77"/>
    </row>
    <row r="563" spans="2:9" ht="15.75" customHeight="1" x14ac:dyDescent="0.3">
      <c r="B563" s="76"/>
      <c r="D563" s="77"/>
      <c r="E563" s="77"/>
      <c r="F563" s="77"/>
      <c r="G563" s="78"/>
      <c r="H563" s="78"/>
      <c r="I563" s="77"/>
    </row>
    <row r="564" spans="2:9" ht="15.75" customHeight="1" x14ac:dyDescent="0.3">
      <c r="B564" s="76"/>
      <c r="D564" s="77"/>
      <c r="E564" s="77"/>
      <c r="F564" s="77"/>
      <c r="G564" s="78"/>
      <c r="H564" s="78"/>
      <c r="I564" s="77"/>
    </row>
    <row r="565" spans="2:9" ht="15.75" customHeight="1" x14ac:dyDescent="0.3">
      <c r="B565" s="76"/>
      <c r="D565" s="77"/>
      <c r="E565" s="77"/>
      <c r="F565" s="77"/>
      <c r="G565" s="78"/>
      <c r="H565" s="78"/>
      <c r="I565" s="77"/>
    </row>
    <row r="566" spans="2:9" ht="15.75" customHeight="1" x14ac:dyDescent="0.3">
      <c r="B566" s="76"/>
      <c r="D566" s="77"/>
      <c r="E566" s="77"/>
      <c r="F566" s="77"/>
      <c r="G566" s="78"/>
      <c r="H566" s="78"/>
      <c r="I566" s="77"/>
    </row>
    <row r="567" spans="2:9" ht="15.75" customHeight="1" x14ac:dyDescent="0.3">
      <c r="B567" s="76"/>
      <c r="D567" s="77"/>
      <c r="E567" s="77"/>
      <c r="F567" s="77"/>
      <c r="G567" s="78"/>
      <c r="H567" s="78"/>
      <c r="I567" s="77"/>
    </row>
    <row r="568" spans="2:9" ht="15.75" customHeight="1" x14ac:dyDescent="0.3">
      <c r="B568" s="76"/>
      <c r="D568" s="77"/>
      <c r="E568" s="77"/>
      <c r="F568" s="77"/>
      <c r="G568" s="78"/>
      <c r="H568" s="78"/>
      <c r="I568" s="77"/>
    </row>
    <row r="569" spans="2:9" ht="15.75" customHeight="1" x14ac:dyDescent="0.3">
      <c r="B569" s="76"/>
      <c r="D569" s="77"/>
      <c r="E569" s="77"/>
      <c r="F569" s="77"/>
      <c r="G569" s="78"/>
      <c r="H569" s="78"/>
      <c r="I569" s="77"/>
    </row>
    <row r="570" spans="2:9" ht="15.75" customHeight="1" x14ac:dyDescent="0.3">
      <c r="B570" s="76"/>
      <c r="D570" s="77"/>
      <c r="E570" s="77"/>
      <c r="F570" s="77"/>
      <c r="G570" s="78"/>
      <c r="H570" s="78"/>
      <c r="I570" s="77"/>
    </row>
    <row r="571" spans="2:9" ht="15.75" customHeight="1" x14ac:dyDescent="0.3">
      <c r="B571" s="76"/>
      <c r="D571" s="77"/>
      <c r="E571" s="77"/>
      <c r="F571" s="77"/>
      <c r="G571" s="78"/>
      <c r="H571" s="78"/>
      <c r="I571" s="77"/>
    </row>
    <row r="572" spans="2:9" ht="15.75" customHeight="1" x14ac:dyDescent="0.3">
      <c r="B572" s="76"/>
      <c r="D572" s="77"/>
      <c r="E572" s="77"/>
      <c r="F572" s="77"/>
      <c r="G572" s="78"/>
      <c r="H572" s="78"/>
      <c r="I572" s="77"/>
    </row>
    <row r="573" spans="2:9" ht="15.75" customHeight="1" x14ac:dyDescent="0.3">
      <c r="B573" s="76"/>
      <c r="D573" s="77"/>
      <c r="E573" s="77"/>
      <c r="F573" s="77"/>
      <c r="G573" s="78"/>
      <c r="H573" s="78"/>
      <c r="I573" s="77"/>
    </row>
    <row r="574" spans="2:9" ht="15.75" customHeight="1" x14ac:dyDescent="0.3">
      <c r="B574" s="76"/>
      <c r="D574" s="77"/>
      <c r="E574" s="77"/>
      <c r="F574" s="77"/>
      <c r="G574" s="78"/>
      <c r="H574" s="78"/>
      <c r="I574" s="77"/>
    </row>
    <row r="575" spans="2:9" ht="15.75" customHeight="1" x14ac:dyDescent="0.3">
      <c r="B575" s="76"/>
      <c r="D575" s="77"/>
      <c r="E575" s="77"/>
      <c r="F575" s="77"/>
      <c r="G575" s="78"/>
      <c r="H575" s="78"/>
      <c r="I575" s="77"/>
    </row>
    <row r="576" spans="2:9" ht="15.75" customHeight="1" x14ac:dyDescent="0.3">
      <c r="B576" s="76"/>
      <c r="D576" s="77"/>
      <c r="E576" s="77"/>
      <c r="F576" s="77"/>
      <c r="G576" s="78"/>
      <c r="H576" s="78"/>
      <c r="I576" s="77"/>
    </row>
    <row r="577" spans="2:9" ht="15.75" customHeight="1" x14ac:dyDescent="0.3">
      <c r="B577" s="76"/>
      <c r="D577" s="77"/>
      <c r="E577" s="77"/>
      <c r="F577" s="77"/>
      <c r="G577" s="78"/>
      <c r="H577" s="78"/>
      <c r="I577" s="77"/>
    </row>
    <row r="578" spans="2:9" ht="15.75" customHeight="1" x14ac:dyDescent="0.3">
      <c r="B578" s="76"/>
      <c r="D578" s="77"/>
      <c r="E578" s="77"/>
      <c r="F578" s="77"/>
      <c r="G578" s="78"/>
      <c r="H578" s="78"/>
      <c r="I578" s="77"/>
    </row>
    <row r="579" spans="2:9" ht="15.75" customHeight="1" x14ac:dyDescent="0.3">
      <c r="B579" s="76"/>
      <c r="D579" s="77"/>
      <c r="E579" s="77"/>
      <c r="F579" s="77"/>
      <c r="G579" s="78"/>
      <c r="H579" s="78"/>
      <c r="I579" s="77"/>
    </row>
    <row r="580" spans="2:9" ht="15.75" customHeight="1" x14ac:dyDescent="0.3">
      <c r="B580" s="76"/>
      <c r="D580" s="77"/>
      <c r="E580" s="77"/>
      <c r="F580" s="77"/>
      <c r="G580" s="78"/>
      <c r="H580" s="78"/>
      <c r="I580" s="77"/>
    </row>
    <row r="581" spans="2:9" ht="15.75" customHeight="1" x14ac:dyDescent="0.3">
      <c r="B581" s="76"/>
      <c r="D581" s="77"/>
      <c r="E581" s="77"/>
      <c r="F581" s="77"/>
      <c r="G581" s="78"/>
      <c r="H581" s="78"/>
      <c r="I581" s="77"/>
    </row>
    <row r="582" spans="2:9" ht="15.75" customHeight="1" x14ac:dyDescent="0.3">
      <c r="B582" s="76"/>
      <c r="D582" s="77"/>
      <c r="E582" s="77"/>
      <c r="F582" s="77"/>
      <c r="G582" s="78"/>
      <c r="H582" s="78"/>
      <c r="I582" s="77"/>
    </row>
    <row r="583" spans="2:9" ht="15.75" customHeight="1" x14ac:dyDescent="0.3">
      <c r="B583" s="76"/>
      <c r="D583" s="77"/>
      <c r="E583" s="77"/>
      <c r="F583" s="77"/>
      <c r="G583" s="78"/>
      <c r="H583" s="78"/>
      <c r="I583" s="77"/>
    </row>
    <row r="584" spans="2:9" ht="15.75" customHeight="1" x14ac:dyDescent="0.3">
      <c r="B584" s="76"/>
      <c r="D584" s="77"/>
      <c r="E584" s="77"/>
      <c r="F584" s="77"/>
      <c r="G584" s="78"/>
      <c r="H584" s="78"/>
      <c r="I584" s="77"/>
    </row>
    <row r="585" spans="2:9" ht="15.75" customHeight="1" x14ac:dyDescent="0.3">
      <c r="B585" s="76"/>
      <c r="D585" s="77"/>
      <c r="E585" s="77"/>
      <c r="F585" s="77"/>
      <c r="G585" s="78"/>
      <c r="H585" s="78"/>
      <c r="I585" s="77"/>
    </row>
    <row r="586" spans="2:9" ht="15.75" customHeight="1" x14ac:dyDescent="0.3">
      <c r="B586" s="76"/>
      <c r="D586" s="77"/>
      <c r="E586" s="77"/>
      <c r="F586" s="77"/>
      <c r="G586" s="78"/>
      <c r="H586" s="78"/>
      <c r="I586" s="77"/>
    </row>
    <row r="587" spans="2:9" ht="15.75" customHeight="1" x14ac:dyDescent="0.3">
      <c r="B587" s="76"/>
      <c r="D587" s="77"/>
      <c r="E587" s="77"/>
      <c r="F587" s="77"/>
      <c r="G587" s="78"/>
      <c r="H587" s="78"/>
      <c r="I587" s="77"/>
    </row>
    <row r="588" spans="2:9" ht="15.75" customHeight="1" x14ac:dyDescent="0.3">
      <c r="B588" s="76"/>
      <c r="D588" s="77"/>
      <c r="E588" s="77"/>
      <c r="F588" s="77"/>
      <c r="G588" s="78"/>
      <c r="H588" s="78"/>
      <c r="I588" s="77"/>
    </row>
    <row r="589" spans="2:9" ht="15.75" customHeight="1" x14ac:dyDescent="0.3">
      <c r="B589" s="76"/>
      <c r="D589" s="77"/>
      <c r="E589" s="77"/>
      <c r="F589" s="77"/>
      <c r="G589" s="78"/>
      <c r="H589" s="78"/>
      <c r="I589" s="77"/>
    </row>
    <row r="590" spans="2:9" ht="15.75" customHeight="1" x14ac:dyDescent="0.3">
      <c r="B590" s="76"/>
      <c r="D590" s="77"/>
      <c r="E590" s="77"/>
      <c r="F590" s="77"/>
      <c r="G590" s="78"/>
      <c r="H590" s="78"/>
      <c r="I590" s="77"/>
    </row>
    <row r="591" spans="2:9" ht="15.75" customHeight="1" x14ac:dyDescent="0.3">
      <c r="B591" s="76"/>
      <c r="D591" s="77"/>
      <c r="E591" s="77"/>
      <c r="F591" s="77"/>
      <c r="G591" s="78"/>
      <c r="H591" s="78"/>
      <c r="I591" s="77"/>
    </row>
    <row r="592" spans="2:9" ht="15.75" customHeight="1" x14ac:dyDescent="0.3">
      <c r="B592" s="76"/>
      <c r="D592" s="77"/>
      <c r="E592" s="77"/>
      <c r="F592" s="77"/>
      <c r="G592" s="78"/>
      <c r="H592" s="78"/>
      <c r="I592" s="77"/>
    </row>
    <row r="593" spans="2:9" ht="15.75" customHeight="1" x14ac:dyDescent="0.3">
      <c r="B593" s="76"/>
      <c r="D593" s="77"/>
      <c r="E593" s="77"/>
      <c r="F593" s="77"/>
      <c r="G593" s="78"/>
      <c r="H593" s="78"/>
      <c r="I593" s="77"/>
    </row>
    <row r="594" spans="2:9" ht="15.75" customHeight="1" x14ac:dyDescent="0.3">
      <c r="B594" s="76"/>
      <c r="D594" s="77"/>
      <c r="E594" s="77"/>
      <c r="F594" s="77"/>
      <c r="G594" s="78"/>
      <c r="H594" s="78"/>
      <c r="I594" s="77"/>
    </row>
    <row r="595" spans="2:9" ht="15.75" customHeight="1" x14ac:dyDescent="0.3">
      <c r="B595" s="76"/>
      <c r="D595" s="77"/>
      <c r="E595" s="77"/>
      <c r="F595" s="77"/>
      <c r="G595" s="78"/>
      <c r="H595" s="78"/>
      <c r="I595" s="77"/>
    </row>
    <row r="596" spans="2:9" ht="15.75" customHeight="1" x14ac:dyDescent="0.3">
      <c r="B596" s="76"/>
      <c r="D596" s="77"/>
      <c r="E596" s="77"/>
      <c r="F596" s="77"/>
      <c r="G596" s="78"/>
      <c r="H596" s="78"/>
      <c r="I596" s="77"/>
    </row>
    <row r="597" spans="2:9" ht="15.75" customHeight="1" x14ac:dyDescent="0.3">
      <c r="B597" s="76"/>
      <c r="D597" s="77"/>
      <c r="E597" s="77"/>
      <c r="F597" s="77"/>
      <c r="G597" s="78"/>
      <c r="H597" s="78"/>
      <c r="I597" s="77"/>
    </row>
    <row r="598" spans="2:9" ht="15.75" customHeight="1" x14ac:dyDescent="0.3">
      <c r="B598" s="76"/>
      <c r="D598" s="77"/>
      <c r="E598" s="77"/>
      <c r="F598" s="77"/>
      <c r="G598" s="78"/>
      <c r="H598" s="78"/>
      <c r="I598" s="77"/>
    </row>
    <row r="599" spans="2:9" ht="15.75" customHeight="1" x14ac:dyDescent="0.3">
      <c r="B599" s="76"/>
      <c r="D599" s="77"/>
      <c r="E599" s="77"/>
      <c r="F599" s="77"/>
      <c r="G599" s="78"/>
      <c r="H599" s="78"/>
      <c r="I599" s="77"/>
    </row>
    <row r="600" spans="2:9" ht="15.75" customHeight="1" x14ac:dyDescent="0.3">
      <c r="B600" s="76"/>
      <c r="D600" s="77"/>
      <c r="E600" s="77"/>
      <c r="F600" s="77"/>
      <c r="G600" s="78"/>
      <c r="H600" s="78"/>
      <c r="I600" s="77"/>
    </row>
    <row r="601" spans="2:9" ht="15.75" customHeight="1" x14ac:dyDescent="0.3">
      <c r="B601" s="76"/>
      <c r="D601" s="77"/>
      <c r="E601" s="77"/>
      <c r="F601" s="77"/>
      <c r="G601" s="78"/>
      <c r="H601" s="78"/>
      <c r="I601" s="77"/>
    </row>
    <row r="602" spans="2:9" ht="15.75" customHeight="1" x14ac:dyDescent="0.3">
      <c r="B602" s="76"/>
      <c r="D602" s="77"/>
      <c r="E602" s="77"/>
      <c r="F602" s="77"/>
      <c r="G602" s="78"/>
      <c r="H602" s="78"/>
      <c r="I602" s="77"/>
    </row>
    <row r="603" spans="2:9" ht="15.75" customHeight="1" x14ac:dyDescent="0.3">
      <c r="B603" s="76"/>
      <c r="D603" s="77"/>
      <c r="E603" s="77"/>
      <c r="F603" s="77"/>
      <c r="G603" s="78"/>
      <c r="H603" s="78"/>
      <c r="I603" s="77"/>
    </row>
    <row r="604" spans="2:9" ht="15.75" customHeight="1" x14ac:dyDescent="0.3">
      <c r="B604" s="76"/>
      <c r="D604" s="77"/>
      <c r="E604" s="77"/>
      <c r="F604" s="77"/>
      <c r="G604" s="78"/>
      <c r="H604" s="78"/>
      <c r="I604" s="77"/>
    </row>
    <row r="605" spans="2:9" ht="15.75" customHeight="1" x14ac:dyDescent="0.3">
      <c r="B605" s="76"/>
      <c r="D605" s="77"/>
      <c r="E605" s="77"/>
      <c r="F605" s="77"/>
      <c r="G605" s="78"/>
      <c r="H605" s="78"/>
      <c r="I605" s="77"/>
    </row>
    <row r="606" spans="2:9" ht="15.75" customHeight="1" x14ac:dyDescent="0.3">
      <c r="B606" s="76"/>
      <c r="D606" s="77"/>
      <c r="E606" s="77"/>
      <c r="F606" s="77"/>
      <c r="G606" s="78"/>
      <c r="H606" s="78"/>
      <c r="I606" s="77"/>
    </row>
    <row r="607" spans="2:9" ht="15.75" customHeight="1" x14ac:dyDescent="0.3">
      <c r="B607" s="76"/>
      <c r="D607" s="77"/>
      <c r="E607" s="77"/>
      <c r="F607" s="77"/>
      <c r="G607" s="78"/>
      <c r="H607" s="78"/>
      <c r="I607" s="77"/>
    </row>
    <row r="608" spans="2:9" ht="15.75" customHeight="1" x14ac:dyDescent="0.3">
      <c r="B608" s="76"/>
      <c r="D608" s="77"/>
      <c r="E608" s="77"/>
      <c r="F608" s="77"/>
      <c r="G608" s="78"/>
      <c r="H608" s="78"/>
      <c r="I608" s="77"/>
    </row>
    <row r="609" spans="2:9" ht="15.75" customHeight="1" x14ac:dyDescent="0.3">
      <c r="B609" s="76"/>
      <c r="D609" s="77"/>
      <c r="E609" s="77"/>
      <c r="F609" s="77"/>
      <c r="G609" s="78"/>
      <c r="H609" s="78"/>
      <c r="I609" s="77"/>
    </row>
    <row r="610" spans="2:9" ht="15.75" customHeight="1" x14ac:dyDescent="0.3">
      <c r="B610" s="76"/>
      <c r="D610" s="77"/>
      <c r="E610" s="77"/>
      <c r="F610" s="77"/>
      <c r="G610" s="78"/>
      <c r="H610" s="78"/>
      <c r="I610" s="77"/>
    </row>
    <row r="611" spans="2:9" ht="15.75" customHeight="1" x14ac:dyDescent="0.3">
      <c r="B611" s="76"/>
      <c r="D611" s="77"/>
      <c r="E611" s="77"/>
      <c r="F611" s="77"/>
      <c r="G611" s="78"/>
      <c r="H611" s="78"/>
      <c r="I611" s="77"/>
    </row>
    <row r="612" spans="2:9" ht="15.75" customHeight="1" x14ac:dyDescent="0.3">
      <c r="B612" s="76"/>
      <c r="D612" s="77"/>
      <c r="E612" s="77"/>
      <c r="F612" s="77"/>
      <c r="G612" s="78"/>
      <c r="H612" s="78"/>
      <c r="I612" s="77"/>
    </row>
    <row r="613" spans="2:9" ht="15.75" customHeight="1" x14ac:dyDescent="0.3">
      <c r="B613" s="76"/>
      <c r="D613" s="77"/>
      <c r="E613" s="77"/>
      <c r="F613" s="77"/>
      <c r="G613" s="78"/>
      <c r="H613" s="78"/>
      <c r="I613" s="77"/>
    </row>
    <row r="614" spans="2:9" ht="15.75" customHeight="1" x14ac:dyDescent="0.3">
      <c r="B614" s="76"/>
      <c r="D614" s="77"/>
      <c r="E614" s="77"/>
      <c r="F614" s="77"/>
      <c r="G614" s="78"/>
      <c r="H614" s="78"/>
      <c r="I614" s="77"/>
    </row>
    <row r="615" spans="2:9" ht="15.75" customHeight="1" x14ac:dyDescent="0.3">
      <c r="B615" s="76"/>
      <c r="D615" s="77"/>
      <c r="E615" s="77"/>
      <c r="F615" s="77"/>
      <c r="G615" s="78"/>
      <c r="H615" s="78"/>
      <c r="I615" s="77"/>
    </row>
    <row r="616" spans="2:9" ht="15.75" customHeight="1" x14ac:dyDescent="0.3">
      <c r="B616" s="76"/>
      <c r="D616" s="77"/>
      <c r="E616" s="77"/>
      <c r="F616" s="77"/>
      <c r="G616" s="78"/>
      <c r="H616" s="78"/>
      <c r="I616" s="77"/>
    </row>
    <row r="617" spans="2:9" ht="15.75" customHeight="1" x14ac:dyDescent="0.3">
      <c r="B617" s="76"/>
      <c r="D617" s="77"/>
      <c r="E617" s="77"/>
      <c r="F617" s="77"/>
      <c r="G617" s="78"/>
      <c r="H617" s="78"/>
      <c r="I617" s="77"/>
    </row>
    <row r="618" spans="2:9" ht="15.75" customHeight="1" x14ac:dyDescent="0.3">
      <c r="B618" s="76"/>
      <c r="D618" s="77"/>
      <c r="E618" s="77"/>
      <c r="F618" s="77"/>
      <c r="G618" s="78"/>
      <c r="H618" s="78"/>
      <c r="I618" s="77"/>
    </row>
    <row r="619" spans="2:9" ht="15.75" customHeight="1" x14ac:dyDescent="0.3">
      <c r="B619" s="76"/>
      <c r="D619" s="77"/>
      <c r="E619" s="77"/>
      <c r="F619" s="77"/>
      <c r="G619" s="78"/>
      <c r="H619" s="78"/>
      <c r="I619" s="77"/>
    </row>
    <row r="620" spans="2:9" ht="15.75" customHeight="1" x14ac:dyDescent="0.3">
      <c r="B620" s="76"/>
      <c r="D620" s="77"/>
      <c r="E620" s="77"/>
      <c r="F620" s="77"/>
      <c r="G620" s="78"/>
      <c r="H620" s="78"/>
      <c r="I620" s="77"/>
    </row>
    <row r="621" spans="2:9" ht="15.75" customHeight="1" x14ac:dyDescent="0.3">
      <c r="B621" s="76"/>
      <c r="D621" s="77"/>
      <c r="E621" s="77"/>
      <c r="F621" s="77"/>
      <c r="G621" s="78"/>
      <c r="H621" s="78"/>
      <c r="I621" s="77"/>
    </row>
    <row r="622" spans="2:9" ht="15.75" customHeight="1" x14ac:dyDescent="0.3">
      <c r="B622" s="76"/>
      <c r="D622" s="77"/>
      <c r="E622" s="77"/>
      <c r="F622" s="77"/>
      <c r="G622" s="78"/>
      <c r="H622" s="78"/>
      <c r="I622" s="77"/>
    </row>
    <row r="623" spans="2:9" ht="15.75" customHeight="1" x14ac:dyDescent="0.3">
      <c r="B623" s="76"/>
      <c r="D623" s="77"/>
      <c r="E623" s="77"/>
      <c r="F623" s="77"/>
      <c r="G623" s="78"/>
      <c r="H623" s="78"/>
      <c r="I623" s="77"/>
    </row>
    <row r="624" spans="2:9" ht="15.75" customHeight="1" x14ac:dyDescent="0.3">
      <c r="B624" s="76"/>
      <c r="D624" s="77"/>
      <c r="E624" s="77"/>
      <c r="F624" s="77"/>
      <c r="G624" s="78"/>
      <c r="H624" s="78"/>
      <c r="I624" s="77"/>
    </row>
    <row r="625" spans="2:9" ht="15.75" customHeight="1" x14ac:dyDescent="0.3">
      <c r="B625" s="76"/>
      <c r="D625" s="77"/>
      <c r="E625" s="77"/>
      <c r="F625" s="77"/>
      <c r="G625" s="78"/>
      <c r="H625" s="78"/>
      <c r="I625" s="77"/>
    </row>
    <row r="626" spans="2:9" ht="15.75" customHeight="1" x14ac:dyDescent="0.3">
      <c r="B626" s="76"/>
      <c r="D626" s="77"/>
      <c r="E626" s="77"/>
      <c r="F626" s="77"/>
      <c r="G626" s="78"/>
      <c r="H626" s="78"/>
      <c r="I626" s="77"/>
    </row>
    <row r="627" spans="2:9" ht="15.75" customHeight="1" x14ac:dyDescent="0.3">
      <c r="B627" s="76"/>
      <c r="D627" s="77"/>
      <c r="E627" s="77"/>
      <c r="F627" s="77"/>
      <c r="G627" s="78"/>
      <c r="H627" s="78"/>
      <c r="I627" s="77"/>
    </row>
    <row r="628" spans="2:9" ht="15.75" customHeight="1" x14ac:dyDescent="0.3">
      <c r="B628" s="76"/>
      <c r="D628" s="77"/>
      <c r="E628" s="77"/>
      <c r="F628" s="77"/>
      <c r="G628" s="78"/>
      <c r="H628" s="78"/>
      <c r="I628" s="77"/>
    </row>
    <row r="629" spans="2:9" ht="15.75" customHeight="1" x14ac:dyDescent="0.3">
      <c r="B629" s="76"/>
      <c r="D629" s="77"/>
      <c r="E629" s="77"/>
      <c r="F629" s="77"/>
      <c r="G629" s="78"/>
      <c r="H629" s="78"/>
      <c r="I629" s="77"/>
    </row>
    <row r="630" spans="2:9" ht="15.75" customHeight="1" x14ac:dyDescent="0.3">
      <c r="B630" s="76"/>
      <c r="D630" s="77"/>
      <c r="E630" s="77"/>
      <c r="F630" s="77"/>
      <c r="G630" s="78"/>
      <c r="H630" s="78"/>
      <c r="I630" s="77"/>
    </row>
    <row r="631" spans="2:9" ht="15.75" customHeight="1" x14ac:dyDescent="0.3">
      <c r="B631" s="76"/>
      <c r="D631" s="77"/>
      <c r="E631" s="77"/>
      <c r="F631" s="77"/>
      <c r="G631" s="78"/>
      <c r="H631" s="78"/>
      <c r="I631" s="77"/>
    </row>
    <row r="632" spans="2:9" ht="15.75" customHeight="1" x14ac:dyDescent="0.3">
      <c r="B632" s="76"/>
      <c r="D632" s="77"/>
      <c r="E632" s="77"/>
      <c r="F632" s="77"/>
      <c r="G632" s="78"/>
      <c r="H632" s="78"/>
      <c r="I632" s="77"/>
    </row>
    <row r="633" spans="2:9" ht="15.75" customHeight="1" x14ac:dyDescent="0.3">
      <c r="B633" s="76"/>
      <c r="D633" s="77"/>
      <c r="E633" s="77"/>
      <c r="F633" s="77"/>
      <c r="G633" s="78"/>
      <c r="H633" s="78"/>
      <c r="I633" s="77"/>
    </row>
    <row r="634" spans="2:9" ht="15.75" customHeight="1" x14ac:dyDescent="0.3">
      <c r="B634" s="76"/>
      <c r="D634" s="77"/>
      <c r="E634" s="77"/>
      <c r="F634" s="77"/>
      <c r="G634" s="78"/>
      <c r="H634" s="78"/>
      <c r="I634" s="77"/>
    </row>
    <row r="635" spans="2:9" ht="15.75" customHeight="1" x14ac:dyDescent="0.3">
      <c r="B635" s="76"/>
      <c r="D635" s="77"/>
      <c r="E635" s="77"/>
      <c r="F635" s="77"/>
      <c r="G635" s="78"/>
      <c r="H635" s="78"/>
      <c r="I635" s="77"/>
    </row>
    <row r="636" spans="2:9" ht="15.75" customHeight="1" x14ac:dyDescent="0.3">
      <c r="B636" s="76"/>
      <c r="D636" s="77"/>
      <c r="E636" s="77"/>
      <c r="F636" s="77"/>
      <c r="G636" s="78"/>
      <c r="H636" s="78"/>
      <c r="I636" s="77"/>
    </row>
    <row r="637" spans="2:9" ht="15.75" customHeight="1" x14ac:dyDescent="0.3">
      <c r="B637" s="76"/>
      <c r="D637" s="77"/>
      <c r="E637" s="77"/>
      <c r="F637" s="77"/>
      <c r="G637" s="78"/>
      <c r="H637" s="78"/>
      <c r="I637" s="77"/>
    </row>
    <row r="638" spans="2:9" ht="15.75" customHeight="1" x14ac:dyDescent="0.3">
      <c r="B638" s="76"/>
      <c r="D638" s="77"/>
      <c r="E638" s="77"/>
      <c r="F638" s="77"/>
      <c r="G638" s="78"/>
      <c r="H638" s="78"/>
      <c r="I638" s="77"/>
    </row>
    <row r="639" spans="2:9" ht="15.75" customHeight="1" x14ac:dyDescent="0.3">
      <c r="B639" s="76"/>
      <c r="D639" s="77"/>
      <c r="E639" s="77"/>
      <c r="F639" s="77"/>
      <c r="G639" s="78"/>
      <c r="H639" s="78"/>
      <c r="I639" s="77"/>
    </row>
    <row r="640" spans="2:9" ht="15.75" customHeight="1" x14ac:dyDescent="0.3">
      <c r="B640" s="76"/>
      <c r="D640" s="77"/>
      <c r="E640" s="77"/>
      <c r="F640" s="77"/>
      <c r="G640" s="78"/>
      <c r="H640" s="78"/>
      <c r="I640" s="77"/>
    </row>
    <row r="641" spans="2:9" ht="15.75" customHeight="1" x14ac:dyDescent="0.3">
      <c r="B641" s="76"/>
      <c r="D641" s="77"/>
      <c r="E641" s="77"/>
      <c r="F641" s="77"/>
      <c r="G641" s="78"/>
      <c r="H641" s="78"/>
      <c r="I641" s="77"/>
    </row>
    <row r="642" spans="2:9" ht="15.75" customHeight="1" x14ac:dyDescent="0.3">
      <c r="B642" s="76"/>
      <c r="D642" s="77"/>
      <c r="E642" s="77"/>
      <c r="F642" s="77"/>
      <c r="G642" s="78"/>
      <c r="H642" s="78"/>
      <c r="I642" s="77"/>
    </row>
    <row r="643" spans="2:9" ht="15.75" customHeight="1" x14ac:dyDescent="0.3">
      <c r="B643" s="76"/>
      <c r="D643" s="77"/>
      <c r="E643" s="77"/>
      <c r="F643" s="77"/>
      <c r="G643" s="78"/>
      <c r="H643" s="78"/>
      <c r="I643" s="77"/>
    </row>
    <row r="644" spans="2:9" ht="15.75" customHeight="1" x14ac:dyDescent="0.3">
      <c r="B644" s="76"/>
      <c r="D644" s="77"/>
      <c r="E644" s="77"/>
      <c r="F644" s="77"/>
      <c r="G644" s="78"/>
      <c r="H644" s="78"/>
      <c r="I644" s="77"/>
    </row>
    <row r="645" spans="2:9" ht="15.75" customHeight="1" x14ac:dyDescent="0.3">
      <c r="B645" s="76"/>
      <c r="D645" s="77"/>
      <c r="E645" s="77"/>
      <c r="F645" s="77"/>
      <c r="G645" s="78"/>
      <c r="H645" s="78"/>
      <c r="I645" s="77"/>
    </row>
    <row r="646" spans="2:9" ht="15.75" customHeight="1" x14ac:dyDescent="0.3">
      <c r="B646" s="76"/>
      <c r="D646" s="77"/>
      <c r="E646" s="77"/>
      <c r="F646" s="77"/>
      <c r="G646" s="78"/>
      <c r="H646" s="78"/>
      <c r="I646" s="77"/>
    </row>
    <row r="647" spans="2:9" ht="15.75" customHeight="1" x14ac:dyDescent="0.3">
      <c r="B647" s="76"/>
      <c r="D647" s="77"/>
      <c r="E647" s="77"/>
      <c r="F647" s="77"/>
      <c r="G647" s="78"/>
      <c r="H647" s="78"/>
      <c r="I647" s="77"/>
    </row>
    <row r="648" spans="2:9" ht="15.75" customHeight="1" x14ac:dyDescent="0.3">
      <c r="B648" s="76"/>
      <c r="D648" s="77"/>
      <c r="E648" s="77"/>
      <c r="F648" s="77"/>
      <c r="G648" s="78"/>
      <c r="H648" s="78"/>
      <c r="I648" s="77"/>
    </row>
    <row r="649" spans="2:9" ht="15.75" customHeight="1" x14ac:dyDescent="0.3">
      <c r="B649" s="76"/>
      <c r="D649" s="77"/>
      <c r="E649" s="77"/>
      <c r="F649" s="77"/>
      <c r="G649" s="78"/>
      <c r="H649" s="78"/>
      <c r="I649" s="77"/>
    </row>
    <row r="650" spans="2:9" ht="15.75" customHeight="1" x14ac:dyDescent="0.3">
      <c r="B650" s="76"/>
      <c r="D650" s="77"/>
      <c r="E650" s="77"/>
      <c r="F650" s="77"/>
      <c r="G650" s="78"/>
      <c r="H650" s="78"/>
      <c r="I650" s="77"/>
    </row>
    <row r="651" spans="2:9" ht="15.75" customHeight="1" x14ac:dyDescent="0.3">
      <c r="B651" s="76"/>
      <c r="D651" s="77"/>
      <c r="E651" s="77"/>
      <c r="F651" s="77"/>
      <c r="G651" s="78"/>
      <c r="H651" s="78"/>
      <c r="I651" s="77"/>
    </row>
    <row r="652" spans="2:9" ht="15.75" customHeight="1" x14ac:dyDescent="0.3">
      <c r="B652" s="76"/>
      <c r="D652" s="77"/>
      <c r="E652" s="77"/>
      <c r="F652" s="77"/>
      <c r="G652" s="78"/>
      <c r="H652" s="78"/>
      <c r="I652" s="77"/>
    </row>
    <row r="653" spans="2:9" ht="15.75" customHeight="1" x14ac:dyDescent="0.3">
      <c r="B653" s="76"/>
      <c r="D653" s="77"/>
      <c r="E653" s="77"/>
      <c r="F653" s="77"/>
      <c r="G653" s="78"/>
      <c r="H653" s="78"/>
      <c r="I653" s="77"/>
    </row>
    <row r="654" spans="2:9" ht="15.75" customHeight="1" x14ac:dyDescent="0.3">
      <c r="B654" s="76"/>
      <c r="D654" s="77"/>
      <c r="E654" s="77"/>
      <c r="F654" s="77"/>
      <c r="G654" s="78"/>
      <c r="H654" s="78"/>
      <c r="I654" s="77"/>
    </row>
    <row r="655" spans="2:9" ht="15.75" customHeight="1" x14ac:dyDescent="0.3">
      <c r="B655" s="76"/>
      <c r="D655" s="77"/>
      <c r="E655" s="77"/>
      <c r="F655" s="77"/>
      <c r="G655" s="78"/>
      <c r="H655" s="78"/>
      <c r="I655" s="77"/>
    </row>
    <row r="656" spans="2:9" ht="15.75" customHeight="1" x14ac:dyDescent="0.3">
      <c r="B656" s="76"/>
      <c r="D656" s="77"/>
      <c r="E656" s="77"/>
      <c r="F656" s="77"/>
      <c r="G656" s="78"/>
      <c r="H656" s="78"/>
      <c r="I656" s="77"/>
    </row>
    <row r="657" spans="2:9" ht="15.75" customHeight="1" x14ac:dyDescent="0.3">
      <c r="B657" s="76"/>
      <c r="D657" s="77"/>
      <c r="E657" s="77"/>
      <c r="F657" s="77"/>
      <c r="G657" s="78"/>
      <c r="H657" s="78"/>
      <c r="I657" s="77"/>
    </row>
    <row r="658" spans="2:9" ht="15.75" customHeight="1" x14ac:dyDescent="0.3">
      <c r="B658" s="76"/>
      <c r="D658" s="77"/>
      <c r="E658" s="77"/>
      <c r="F658" s="77"/>
      <c r="G658" s="78"/>
      <c r="H658" s="78"/>
      <c r="I658" s="77"/>
    </row>
    <row r="659" spans="2:9" ht="15.75" customHeight="1" x14ac:dyDescent="0.3">
      <c r="B659" s="76"/>
      <c r="D659" s="77"/>
      <c r="E659" s="77"/>
      <c r="F659" s="77"/>
      <c r="G659" s="78"/>
      <c r="H659" s="78"/>
      <c r="I659" s="77"/>
    </row>
    <row r="660" spans="2:9" ht="15.75" customHeight="1" x14ac:dyDescent="0.3">
      <c r="B660" s="76"/>
      <c r="D660" s="77"/>
      <c r="E660" s="77"/>
      <c r="F660" s="77"/>
      <c r="G660" s="78"/>
      <c r="H660" s="78"/>
      <c r="I660" s="77"/>
    </row>
    <row r="661" spans="2:9" ht="15.75" customHeight="1" x14ac:dyDescent="0.3">
      <c r="B661" s="76"/>
      <c r="D661" s="77"/>
      <c r="E661" s="77"/>
      <c r="F661" s="77"/>
      <c r="G661" s="78"/>
      <c r="H661" s="78"/>
      <c r="I661" s="77"/>
    </row>
    <row r="662" spans="2:9" ht="15.75" customHeight="1" x14ac:dyDescent="0.3">
      <c r="B662" s="76"/>
      <c r="D662" s="77"/>
      <c r="E662" s="77"/>
      <c r="F662" s="77"/>
      <c r="G662" s="78"/>
      <c r="H662" s="78"/>
      <c r="I662" s="77"/>
    </row>
    <row r="663" spans="2:9" ht="15.75" customHeight="1" x14ac:dyDescent="0.3">
      <c r="B663" s="76"/>
      <c r="D663" s="77"/>
      <c r="E663" s="77"/>
      <c r="F663" s="77"/>
      <c r="G663" s="78"/>
      <c r="H663" s="78"/>
      <c r="I663" s="77"/>
    </row>
    <row r="664" spans="2:9" ht="15.75" customHeight="1" x14ac:dyDescent="0.3">
      <c r="B664" s="76"/>
      <c r="D664" s="77"/>
      <c r="E664" s="77"/>
      <c r="F664" s="77"/>
      <c r="G664" s="78"/>
      <c r="H664" s="78"/>
      <c r="I664" s="77"/>
    </row>
    <row r="665" spans="2:9" ht="15.75" customHeight="1" x14ac:dyDescent="0.3">
      <c r="B665" s="76"/>
      <c r="D665" s="77"/>
      <c r="E665" s="77"/>
      <c r="F665" s="77"/>
      <c r="G665" s="78"/>
      <c r="H665" s="78"/>
      <c r="I665" s="77"/>
    </row>
    <row r="666" spans="2:9" ht="15.75" customHeight="1" x14ac:dyDescent="0.3">
      <c r="B666" s="76"/>
      <c r="D666" s="77"/>
      <c r="E666" s="77"/>
      <c r="F666" s="77"/>
      <c r="G666" s="78"/>
      <c r="H666" s="78"/>
      <c r="I666" s="77"/>
    </row>
    <row r="667" spans="2:9" ht="15.75" customHeight="1" x14ac:dyDescent="0.3">
      <c r="B667" s="76"/>
      <c r="D667" s="77"/>
      <c r="E667" s="77"/>
      <c r="F667" s="77"/>
      <c r="G667" s="78"/>
      <c r="H667" s="78"/>
      <c r="I667" s="77"/>
    </row>
    <row r="668" spans="2:9" ht="15.75" customHeight="1" x14ac:dyDescent="0.3">
      <c r="B668" s="76"/>
      <c r="D668" s="77"/>
      <c r="E668" s="77"/>
      <c r="F668" s="77"/>
      <c r="G668" s="78"/>
      <c r="H668" s="78"/>
      <c r="I668" s="77"/>
    </row>
    <row r="669" spans="2:9" ht="15.75" customHeight="1" x14ac:dyDescent="0.3">
      <c r="B669" s="76"/>
      <c r="D669" s="77"/>
      <c r="E669" s="77"/>
      <c r="F669" s="77"/>
      <c r="G669" s="78"/>
      <c r="H669" s="78"/>
      <c r="I669" s="77"/>
    </row>
    <row r="670" spans="2:9" ht="15.75" customHeight="1" x14ac:dyDescent="0.3">
      <c r="B670" s="76"/>
      <c r="D670" s="77"/>
      <c r="E670" s="77"/>
      <c r="F670" s="77"/>
      <c r="G670" s="78"/>
      <c r="H670" s="78"/>
      <c r="I670" s="77"/>
    </row>
    <row r="671" spans="2:9" ht="15.75" customHeight="1" x14ac:dyDescent="0.3">
      <c r="B671" s="76"/>
      <c r="D671" s="77"/>
      <c r="E671" s="77"/>
      <c r="F671" s="77"/>
      <c r="G671" s="78"/>
      <c r="H671" s="78"/>
      <c r="I671" s="77"/>
    </row>
    <row r="672" spans="2:9" ht="15.75" customHeight="1" x14ac:dyDescent="0.3">
      <c r="B672" s="76"/>
      <c r="D672" s="77"/>
      <c r="E672" s="77"/>
      <c r="F672" s="77"/>
      <c r="G672" s="78"/>
      <c r="H672" s="78"/>
      <c r="I672" s="77"/>
    </row>
    <row r="673" spans="2:9" ht="15.75" customHeight="1" x14ac:dyDescent="0.3">
      <c r="B673" s="76"/>
      <c r="D673" s="77"/>
      <c r="E673" s="77"/>
      <c r="F673" s="77"/>
      <c r="G673" s="78"/>
      <c r="H673" s="78"/>
      <c r="I673" s="77"/>
    </row>
    <row r="674" spans="2:9" ht="15.75" customHeight="1" x14ac:dyDescent="0.3">
      <c r="B674" s="76"/>
      <c r="D674" s="77"/>
      <c r="E674" s="77"/>
      <c r="F674" s="77"/>
      <c r="G674" s="78"/>
      <c r="H674" s="78"/>
      <c r="I674" s="77"/>
    </row>
    <row r="675" spans="2:9" ht="15.75" customHeight="1" x14ac:dyDescent="0.3">
      <c r="B675" s="76"/>
      <c r="D675" s="77"/>
      <c r="E675" s="77"/>
      <c r="F675" s="77"/>
      <c r="G675" s="78"/>
      <c r="H675" s="78"/>
      <c r="I675" s="77"/>
    </row>
    <row r="676" spans="2:9" ht="15.75" customHeight="1" x14ac:dyDescent="0.3">
      <c r="B676" s="76"/>
      <c r="D676" s="77"/>
      <c r="E676" s="77"/>
      <c r="F676" s="77"/>
      <c r="G676" s="78"/>
      <c r="H676" s="78"/>
      <c r="I676" s="77"/>
    </row>
    <row r="677" spans="2:9" ht="15.75" customHeight="1" x14ac:dyDescent="0.3">
      <c r="B677" s="76"/>
      <c r="D677" s="77"/>
      <c r="E677" s="77"/>
      <c r="F677" s="77"/>
      <c r="G677" s="78"/>
      <c r="H677" s="78"/>
      <c r="I677" s="77"/>
    </row>
    <row r="678" spans="2:9" ht="15.75" customHeight="1" x14ac:dyDescent="0.3">
      <c r="B678" s="76"/>
      <c r="D678" s="77"/>
      <c r="E678" s="77"/>
      <c r="F678" s="77"/>
      <c r="G678" s="78"/>
      <c r="H678" s="78"/>
      <c r="I678" s="77"/>
    </row>
    <row r="679" spans="2:9" ht="15.75" customHeight="1" x14ac:dyDescent="0.3">
      <c r="B679" s="76"/>
      <c r="D679" s="77"/>
      <c r="E679" s="77"/>
      <c r="F679" s="77"/>
      <c r="G679" s="78"/>
      <c r="H679" s="78"/>
      <c r="I679" s="77"/>
    </row>
    <row r="680" spans="2:9" ht="15.75" customHeight="1" x14ac:dyDescent="0.3">
      <c r="B680" s="76"/>
      <c r="D680" s="77"/>
      <c r="E680" s="77"/>
      <c r="F680" s="77"/>
      <c r="G680" s="78"/>
      <c r="H680" s="78"/>
      <c r="I680" s="77"/>
    </row>
    <row r="681" spans="2:9" ht="15.75" customHeight="1" x14ac:dyDescent="0.3">
      <c r="B681" s="76"/>
      <c r="D681" s="77"/>
      <c r="E681" s="77"/>
      <c r="F681" s="77"/>
      <c r="G681" s="78"/>
      <c r="H681" s="78"/>
      <c r="I681" s="77"/>
    </row>
    <row r="682" spans="2:9" ht="15.75" customHeight="1" x14ac:dyDescent="0.3">
      <c r="B682" s="76"/>
      <c r="D682" s="77"/>
      <c r="E682" s="77"/>
      <c r="F682" s="77"/>
      <c r="G682" s="78"/>
      <c r="H682" s="78"/>
      <c r="I682" s="77"/>
    </row>
    <row r="683" spans="2:9" ht="15.75" customHeight="1" x14ac:dyDescent="0.3">
      <c r="B683" s="76"/>
      <c r="D683" s="77"/>
      <c r="E683" s="77"/>
      <c r="F683" s="77"/>
      <c r="G683" s="78"/>
      <c r="H683" s="78"/>
      <c r="I683" s="77"/>
    </row>
    <row r="684" spans="2:9" ht="15.75" customHeight="1" x14ac:dyDescent="0.3">
      <c r="B684" s="76"/>
      <c r="D684" s="77"/>
      <c r="E684" s="77"/>
      <c r="F684" s="77"/>
      <c r="G684" s="78"/>
      <c r="H684" s="78"/>
      <c r="I684" s="77"/>
    </row>
    <row r="685" spans="2:9" ht="15.75" customHeight="1" x14ac:dyDescent="0.3">
      <c r="B685" s="76"/>
      <c r="D685" s="77"/>
      <c r="E685" s="77"/>
      <c r="F685" s="77"/>
      <c r="G685" s="78"/>
      <c r="H685" s="78"/>
      <c r="I685" s="77"/>
    </row>
    <row r="686" spans="2:9" ht="15.75" customHeight="1" x14ac:dyDescent="0.3">
      <c r="B686" s="76"/>
      <c r="D686" s="77"/>
      <c r="E686" s="77"/>
      <c r="F686" s="77"/>
      <c r="G686" s="78"/>
      <c r="H686" s="78"/>
      <c r="I686" s="77"/>
    </row>
    <row r="687" spans="2:9" ht="15.75" customHeight="1" x14ac:dyDescent="0.3">
      <c r="B687" s="76"/>
      <c r="D687" s="77"/>
      <c r="E687" s="77"/>
      <c r="F687" s="77"/>
      <c r="G687" s="78"/>
      <c r="H687" s="78"/>
      <c r="I687" s="77"/>
    </row>
    <row r="688" spans="2:9" ht="15.75" customHeight="1" x14ac:dyDescent="0.3">
      <c r="B688" s="76"/>
      <c r="D688" s="77"/>
      <c r="E688" s="77"/>
      <c r="F688" s="77"/>
      <c r="G688" s="78"/>
      <c r="H688" s="78"/>
      <c r="I688" s="77"/>
    </row>
    <row r="689" spans="2:9" ht="15.75" customHeight="1" x14ac:dyDescent="0.3">
      <c r="B689" s="76"/>
      <c r="D689" s="77"/>
      <c r="E689" s="77"/>
      <c r="F689" s="77"/>
      <c r="G689" s="78"/>
      <c r="H689" s="78"/>
      <c r="I689" s="77"/>
    </row>
    <row r="690" spans="2:9" ht="15.75" customHeight="1" x14ac:dyDescent="0.3">
      <c r="B690" s="76"/>
      <c r="D690" s="77"/>
      <c r="E690" s="77"/>
      <c r="F690" s="77"/>
      <c r="G690" s="78"/>
      <c r="H690" s="78"/>
      <c r="I690" s="77"/>
    </row>
    <row r="691" spans="2:9" ht="15.75" customHeight="1" x14ac:dyDescent="0.3">
      <c r="B691" s="76"/>
      <c r="D691" s="77"/>
      <c r="E691" s="77"/>
      <c r="F691" s="77"/>
      <c r="G691" s="78"/>
      <c r="H691" s="78"/>
      <c r="I691" s="77"/>
    </row>
    <row r="692" spans="2:9" ht="15.75" customHeight="1" x14ac:dyDescent="0.3">
      <c r="B692" s="76"/>
      <c r="D692" s="77"/>
      <c r="E692" s="77"/>
      <c r="F692" s="77"/>
      <c r="G692" s="78"/>
      <c r="H692" s="78"/>
      <c r="I692" s="77"/>
    </row>
    <row r="693" spans="2:9" ht="15.75" customHeight="1" x14ac:dyDescent="0.3">
      <c r="B693" s="76"/>
      <c r="D693" s="77"/>
      <c r="E693" s="77"/>
      <c r="F693" s="77"/>
      <c r="G693" s="78"/>
      <c r="H693" s="78"/>
      <c r="I693" s="77"/>
    </row>
    <row r="694" spans="2:9" ht="15.75" customHeight="1" x14ac:dyDescent="0.3">
      <c r="B694" s="76"/>
      <c r="D694" s="77"/>
      <c r="E694" s="77"/>
      <c r="F694" s="77"/>
      <c r="G694" s="78"/>
      <c r="H694" s="78"/>
      <c r="I694" s="77"/>
    </row>
    <row r="695" spans="2:9" ht="15.75" customHeight="1" x14ac:dyDescent="0.3">
      <c r="B695" s="76"/>
      <c r="D695" s="77"/>
      <c r="E695" s="77"/>
      <c r="F695" s="77"/>
      <c r="G695" s="78"/>
      <c r="H695" s="78"/>
      <c r="I695" s="77"/>
    </row>
    <row r="696" spans="2:9" ht="15.75" customHeight="1" x14ac:dyDescent="0.3">
      <c r="B696" s="76"/>
      <c r="D696" s="77"/>
      <c r="E696" s="77"/>
      <c r="F696" s="77"/>
      <c r="G696" s="78"/>
      <c r="H696" s="78"/>
      <c r="I696" s="77"/>
    </row>
    <row r="697" spans="2:9" ht="15.75" customHeight="1" x14ac:dyDescent="0.3">
      <c r="B697" s="76"/>
      <c r="D697" s="77"/>
      <c r="E697" s="77"/>
      <c r="F697" s="77"/>
      <c r="G697" s="78"/>
      <c r="H697" s="78"/>
      <c r="I697" s="77"/>
    </row>
    <row r="698" spans="2:9" ht="15.75" customHeight="1" x14ac:dyDescent="0.3">
      <c r="B698" s="76"/>
      <c r="D698" s="77"/>
      <c r="E698" s="77"/>
      <c r="F698" s="77"/>
      <c r="G698" s="78"/>
      <c r="H698" s="78"/>
      <c r="I698" s="77"/>
    </row>
    <row r="699" spans="2:9" ht="15.75" customHeight="1" x14ac:dyDescent="0.3">
      <c r="B699" s="76"/>
      <c r="D699" s="77"/>
      <c r="E699" s="77"/>
      <c r="F699" s="77"/>
      <c r="G699" s="78"/>
      <c r="H699" s="78"/>
      <c r="I699" s="77"/>
    </row>
    <row r="700" spans="2:9" ht="15.75" customHeight="1" x14ac:dyDescent="0.3">
      <c r="B700" s="76"/>
      <c r="D700" s="77"/>
      <c r="E700" s="77"/>
      <c r="F700" s="77"/>
      <c r="G700" s="78"/>
      <c r="H700" s="78"/>
      <c r="I700" s="77"/>
    </row>
    <row r="701" spans="2:9" ht="15.75" customHeight="1" x14ac:dyDescent="0.3">
      <c r="B701" s="76"/>
      <c r="D701" s="77"/>
      <c r="E701" s="77"/>
      <c r="F701" s="77"/>
      <c r="G701" s="78"/>
      <c r="H701" s="78"/>
      <c r="I701" s="77"/>
    </row>
    <row r="702" spans="2:9" ht="15.75" customHeight="1" x14ac:dyDescent="0.3">
      <c r="B702" s="76"/>
      <c r="D702" s="77"/>
      <c r="E702" s="77"/>
      <c r="F702" s="77"/>
      <c r="G702" s="78"/>
      <c r="H702" s="78"/>
      <c r="I702" s="77"/>
    </row>
    <row r="703" spans="2:9" ht="15.75" customHeight="1" x14ac:dyDescent="0.3">
      <c r="B703" s="76"/>
      <c r="D703" s="77"/>
      <c r="E703" s="77"/>
      <c r="F703" s="77"/>
      <c r="G703" s="78"/>
      <c r="H703" s="78"/>
      <c r="I703" s="77"/>
    </row>
    <row r="704" spans="2:9" ht="15.75" customHeight="1" x14ac:dyDescent="0.3">
      <c r="B704" s="76"/>
      <c r="D704" s="77"/>
      <c r="E704" s="77"/>
      <c r="F704" s="77"/>
      <c r="G704" s="78"/>
      <c r="H704" s="78"/>
      <c r="I704" s="77"/>
    </row>
    <row r="705" spans="2:9" ht="15.75" customHeight="1" x14ac:dyDescent="0.3">
      <c r="B705" s="76"/>
      <c r="D705" s="77"/>
      <c r="E705" s="77"/>
      <c r="F705" s="77"/>
      <c r="G705" s="78"/>
      <c r="H705" s="78"/>
      <c r="I705" s="77"/>
    </row>
    <row r="706" spans="2:9" ht="15.75" customHeight="1" x14ac:dyDescent="0.3">
      <c r="B706" s="76"/>
      <c r="D706" s="77"/>
      <c r="E706" s="77"/>
      <c r="F706" s="77"/>
      <c r="G706" s="78"/>
      <c r="H706" s="78"/>
      <c r="I706" s="77"/>
    </row>
    <row r="707" spans="2:9" ht="15.75" customHeight="1" x14ac:dyDescent="0.3">
      <c r="B707" s="76"/>
      <c r="D707" s="77"/>
      <c r="E707" s="77"/>
      <c r="F707" s="77"/>
      <c r="G707" s="78"/>
      <c r="H707" s="78"/>
      <c r="I707" s="77"/>
    </row>
    <row r="708" spans="2:9" ht="15.75" customHeight="1" x14ac:dyDescent="0.3">
      <c r="B708" s="76"/>
      <c r="D708" s="77"/>
      <c r="E708" s="77"/>
      <c r="F708" s="77"/>
      <c r="G708" s="78"/>
      <c r="H708" s="78"/>
      <c r="I708" s="77"/>
    </row>
    <row r="709" spans="2:9" ht="15.75" customHeight="1" x14ac:dyDescent="0.3">
      <c r="B709" s="76"/>
      <c r="D709" s="77"/>
      <c r="E709" s="77"/>
      <c r="F709" s="77"/>
      <c r="G709" s="78"/>
      <c r="H709" s="78"/>
      <c r="I709" s="77"/>
    </row>
    <row r="710" spans="2:9" ht="15.75" customHeight="1" x14ac:dyDescent="0.3">
      <c r="B710" s="76"/>
      <c r="D710" s="77"/>
      <c r="E710" s="77"/>
      <c r="F710" s="77"/>
      <c r="G710" s="78"/>
      <c r="H710" s="78"/>
      <c r="I710" s="77"/>
    </row>
    <row r="711" spans="2:9" ht="15.75" customHeight="1" x14ac:dyDescent="0.3">
      <c r="B711" s="76"/>
      <c r="D711" s="77"/>
      <c r="E711" s="77"/>
      <c r="F711" s="77"/>
      <c r="G711" s="78"/>
      <c r="H711" s="78"/>
      <c r="I711" s="77"/>
    </row>
    <row r="712" spans="2:9" ht="15.75" customHeight="1" x14ac:dyDescent="0.3">
      <c r="B712" s="76"/>
      <c r="D712" s="77"/>
      <c r="E712" s="77"/>
      <c r="F712" s="77"/>
      <c r="G712" s="78"/>
      <c r="H712" s="78"/>
      <c r="I712" s="77"/>
    </row>
    <row r="713" spans="2:9" ht="15.75" customHeight="1" x14ac:dyDescent="0.3">
      <c r="B713" s="76"/>
      <c r="D713" s="77"/>
      <c r="E713" s="77"/>
      <c r="F713" s="77"/>
      <c r="G713" s="78"/>
      <c r="H713" s="78"/>
      <c r="I713" s="77"/>
    </row>
    <row r="714" spans="2:9" ht="15.75" customHeight="1" x14ac:dyDescent="0.3">
      <c r="B714" s="76"/>
      <c r="D714" s="77"/>
      <c r="E714" s="77"/>
      <c r="F714" s="77"/>
      <c r="G714" s="78"/>
      <c r="H714" s="78"/>
      <c r="I714" s="77"/>
    </row>
    <row r="715" spans="2:9" ht="15.75" customHeight="1" x14ac:dyDescent="0.3">
      <c r="B715" s="76"/>
      <c r="D715" s="77"/>
      <c r="E715" s="77"/>
      <c r="F715" s="77"/>
      <c r="G715" s="78"/>
      <c r="H715" s="78"/>
      <c r="I715" s="77"/>
    </row>
    <row r="716" spans="2:9" ht="15.75" customHeight="1" x14ac:dyDescent="0.3">
      <c r="B716" s="76"/>
      <c r="D716" s="77"/>
      <c r="E716" s="77"/>
      <c r="F716" s="77"/>
      <c r="G716" s="78"/>
      <c r="H716" s="78"/>
      <c r="I716" s="77"/>
    </row>
    <row r="717" spans="2:9" ht="15.75" customHeight="1" x14ac:dyDescent="0.3">
      <c r="B717" s="76"/>
      <c r="D717" s="77"/>
      <c r="E717" s="77"/>
      <c r="F717" s="77"/>
      <c r="G717" s="78"/>
      <c r="H717" s="78"/>
      <c r="I717" s="77"/>
    </row>
    <row r="718" spans="2:9" ht="15.75" customHeight="1" x14ac:dyDescent="0.3">
      <c r="B718" s="76"/>
      <c r="D718" s="77"/>
      <c r="E718" s="77"/>
      <c r="F718" s="77"/>
      <c r="G718" s="78"/>
      <c r="H718" s="78"/>
      <c r="I718" s="77"/>
    </row>
    <row r="719" spans="2:9" ht="15.75" customHeight="1" x14ac:dyDescent="0.3">
      <c r="B719" s="76"/>
      <c r="D719" s="77"/>
      <c r="E719" s="77"/>
      <c r="F719" s="77"/>
      <c r="G719" s="78"/>
      <c r="H719" s="78"/>
      <c r="I719" s="77"/>
    </row>
    <row r="720" spans="2:9" ht="15.75" customHeight="1" x14ac:dyDescent="0.3">
      <c r="B720" s="76"/>
      <c r="D720" s="77"/>
      <c r="E720" s="77"/>
      <c r="F720" s="77"/>
      <c r="G720" s="78"/>
      <c r="H720" s="78"/>
      <c r="I720" s="77"/>
    </row>
    <row r="721" spans="2:9" ht="15.75" customHeight="1" x14ac:dyDescent="0.3">
      <c r="B721" s="76"/>
      <c r="D721" s="77"/>
      <c r="E721" s="77"/>
      <c r="F721" s="77"/>
      <c r="G721" s="78"/>
      <c r="H721" s="78"/>
      <c r="I721" s="77"/>
    </row>
    <row r="722" spans="2:9" ht="15.75" customHeight="1" x14ac:dyDescent="0.3">
      <c r="B722" s="76"/>
      <c r="D722" s="77"/>
      <c r="E722" s="77"/>
      <c r="F722" s="77"/>
      <c r="G722" s="78"/>
      <c r="H722" s="78"/>
      <c r="I722" s="77"/>
    </row>
    <row r="723" spans="2:9" ht="15.75" customHeight="1" x14ac:dyDescent="0.3">
      <c r="B723" s="76"/>
      <c r="D723" s="77"/>
      <c r="E723" s="77"/>
      <c r="F723" s="77"/>
      <c r="G723" s="78"/>
      <c r="H723" s="78"/>
      <c r="I723" s="77"/>
    </row>
    <row r="724" spans="2:9" ht="15.75" customHeight="1" x14ac:dyDescent="0.3">
      <c r="B724" s="76"/>
      <c r="D724" s="77"/>
      <c r="E724" s="77"/>
      <c r="F724" s="77"/>
      <c r="G724" s="78"/>
      <c r="H724" s="78"/>
      <c r="I724" s="77"/>
    </row>
    <row r="725" spans="2:9" ht="15.75" customHeight="1" x14ac:dyDescent="0.3">
      <c r="B725" s="76"/>
      <c r="D725" s="77"/>
      <c r="E725" s="77"/>
      <c r="F725" s="77"/>
      <c r="G725" s="78"/>
      <c r="H725" s="78"/>
      <c r="I725" s="77"/>
    </row>
    <row r="726" spans="2:9" ht="15.75" customHeight="1" x14ac:dyDescent="0.3">
      <c r="B726" s="76"/>
      <c r="D726" s="77"/>
      <c r="E726" s="77"/>
      <c r="F726" s="77"/>
      <c r="G726" s="78"/>
      <c r="H726" s="78"/>
      <c r="I726" s="77"/>
    </row>
    <row r="727" spans="2:9" ht="15.75" customHeight="1" x14ac:dyDescent="0.3">
      <c r="B727" s="76"/>
      <c r="D727" s="77"/>
      <c r="E727" s="77"/>
      <c r="F727" s="77"/>
      <c r="G727" s="78"/>
      <c r="H727" s="78"/>
      <c r="I727" s="77"/>
    </row>
    <row r="728" spans="2:9" ht="15.75" customHeight="1" x14ac:dyDescent="0.3">
      <c r="B728" s="76"/>
      <c r="D728" s="77"/>
      <c r="E728" s="77"/>
      <c r="F728" s="77"/>
      <c r="G728" s="78"/>
      <c r="H728" s="78"/>
      <c r="I728" s="77"/>
    </row>
    <row r="729" spans="2:9" ht="15.75" customHeight="1" x14ac:dyDescent="0.3">
      <c r="B729" s="76"/>
      <c r="D729" s="77"/>
      <c r="E729" s="77"/>
      <c r="F729" s="77"/>
      <c r="G729" s="78"/>
      <c r="H729" s="78"/>
      <c r="I729" s="77"/>
    </row>
    <row r="730" spans="2:9" ht="15.75" customHeight="1" x14ac:dyDescent="0.3">
      <c r="B730" s="76"/>
      <c r="D730" s="77"/>
      <c r="E730" s="77"/>
      <c r="F730" s="77"/>
      <c r="G730" s="78"/>
      <c r="H730" s="78"/>
      <c r="I730" s="77"/>
    </row>
    <row r="731" spans="2:9" ht="15.75" customHeight="1" x14ac:dyDescent="0.3">
      <c r="B731" s="76"/>
      <c r="D731" s="77"/>
      <c r="E731" s="77"/>
      <c r="F731" s="77"/>
      <c r="G731" s="78"/>
      <c r="H731" s="78"/>
      <c r="I731" s="77"/>
    </row>
    <row r="732" spans="2:9" ht="15.75" customHeight="1" x14ac:dyDescent="0.3">
      <c r="B732" s="76"/>
      <c r="D732" s="77"/>
      <c r="E732" s="77"/>
      <c r="F732" s="77"/>
      <c r="G732" s="78"/>
      <c r="H732" s="78"/>
      <c r="I732" s="77"/>
    </row>
    <row r="733" spans="2:9" ht="15.75" customHeight="1" x14ac:dyDescent="0.3">
      <c r="B733" s="76"/>
      <c r="D733" s="77"/>
      <c r="E733" s="77"/>
      <c r="F733" s="77"/>
      <c r="G733" s="78"/>
      <c r="H733" s="78"/>
      <c r="I733" s="77"/>
    </row>
    <row r="734" spans="2:9" ht="15.75" customHeight="1" x14ac:dyDescent="0.3">
      <c r="B734" s="76"/>
      <c r="D734" s="77"/>
      <c r="E734" s="77"/>
      <c r="F734" s="77"/>
      <c r="G734" s="78"/>
      <c r="H734" s="78"/>
      <c r="I734" s="77"/>
    </row>
    <row r="735" spans="2:9" ht="15.75" customHeight="1" x14ac:dyDescent="0.3">
      <c r="B735" s="76"/>
      <c r="D735" s="77"/>
      <c r="E735" s="77"/>
      <c r="F735" s="77"/>
      <c r="G735" s="78"/>
      <c r="H735" s="78"/>
      <c r="I735" s="77"/>
    </row>
    <row r="736" spans="2:9" ht="15.75" customHeight="1" x14ac:dyDescent="0.3">
      <c r="B736" s="76"/>
      <c r="D736" s="77"/>
      <c r="E736" s="77"/>
      <c r="F736" s="77"/>
      <c r="G736" s="78"/>
      <c r="H736" s="78"/>
      <c r="I736" s="77"/>
    </row>
    <row r="737" spans="2:9" ht="15.75" customHeight="1" x14ac:dyDescent="0.3">
      <c r="B737" s="76"/>
      <c r="D737" s="77"/>
      <c r="E737" s="77"/>
      <c r="F737" s="77"/>
      <c r="G737" s="78"/>
      <c r="H737" s="78"/>
      <c r="I737" s="77"/>
    </row>
    <row r="738" spans="2:9" ht="15.75" customHeight="1" x14ac:dyDescent="0.3">
      <c r="B738" s="76"/>
      <c r="D738" s="77"/>
      <c r="E738" s="77"/>
      <c r="F738" s="77"/>
      <c r="G738" s="78"/>
      <c r="H738" s="78"/>
      <c r="I738" s="77"/>
    </row>
    <row r="739" spans="2:9" ht="15.75" customHeight="1" x14ac:dyDescent="0.3">
      <c r="B739" s="76"/>
      <c r="D739" s="77"/>
      <c r="E739" s="77"/>
      <c r="F739" s="77"/>
      <c r="G739" s="78"/>
      <c r="H739" s="78"/>
      <c r="I739" s="77"/>
    </row>
    <row r="740" spans="2:9" ht="15.75" customHeight="1" x14ac:dyDescent="0.3">
      <c r="B740" s="76"/>
      <c r="D740" s="77"/>
      <c r="E740" s="77"/>
      <c r="F740" s="77"/>
      <c r="G740" s="78"/>
      <c r="H740" s="78"/>
      <c r="I740" s="77"/>
    </row>
    <row r="741" spans="2:9" ht="15.75" customHeight="1" x14ac:dyDescent="0.3">
      <c r="B741" s="76"/>
      <c r="D741" s="77"/>
      <c r="E741" s="77"/>
      <c r="F741" s="77"/>
      <c r="G741" s="78"/>
      <c r="H741" s="78"/>
      <c r="I741" s="77"/>
    </row>
    <row r="742" spans="2:9" ht="15.75" customHeight="1" x14ac:dyDescent="0.3">
      <c r="B742" s="76"/>
      <c r="D742" s="77"/>
      <c r="E742" s="77"/>
      <c r="F742" s="77"/>
      <c r="G742" s="78"/>
      <c r="H742" s="78"/>
      <c r="I742" s="77"/>
    </row>
    <row r="743" spans="2:9" ht="15.75" customHeight="1" x14ac:dyDescent="0.3">
      <c r="B743" s="76"/>
      <c r="D743" s="77"/>
      <c r="E743" s="77"/>
      <c r="F743" s="77"/>
      <c r="G743" s="78"/>
      <c r="H743" s="78"/>
      <c r="I743" s="77"/>
    </row>
    <row r="744" spans="2:9" ht="15.75" customHeight="1" x14ac:dyDescent="0.3">
      <c r="B744" s="76"/>
      <c r="D744" s="77"/>
      <c r="E744" s="77"/>
      <c r="F744" s="77"/>
      <c r="G744" s="78"/>
      <c r="H744" s="78"/>
      <c r="I744" s="77"/>
    </row>
    <row r="745" spans="2:9" ht="15.75" customHeight="1" x14ac:dyDescent="0.3">
      <c r="B745" s="76"/>
      <c r="D745" s="77"/>
      <c r="E745" s="77"/>
      <c r="F745" s="77"/>
      <c r="G745" s="78"/>
      <c r="H745" s="78"/>
      <c r="I745" s="77"/>
    </row>
    <row r="746" spans="2:9" ht="15.75" customHeight="1" x14ac:dyDescent="0.3">
      <c r="B746" s="76"/>
      <c r="D746" s="77"/>
      <c r="E746" s="77"/>
      <c r="F746" s="77"/>
      <c r="G746" s="78"/>
      <c r="H746" s="78"/>
      <c r="I746" s="77"/>
    </row>
    <row r="747" spans="2:9" ht="15.75" customHeight="1" x14ac:dyDescent="0.3">
      <c r="B747" s="76"/>
      <c r="D747" s="77"/>
      <c r="E747" s="77"/>
      <c r="F747" s="77"/>
      <c r="G747" s="78"/>
      <c r="H747" s="78"/>
      <c r="I747" s="77"/>
    </row>
    <row r="748" spans="2:9" ht="15.75" customHeight="1" x14ac:dyDescent="0.3">
      <c r="B748" s="76"/>
      <c r="D748" s="77"/>
      <c r="E748" s="77"/>
      <c r="F748" s="77"/>
      <c r="G748" s="78"/>
      <c r="H748" s="78"/>
      <c r="I748" s="77"/>
    </row>
    <row r="749" spans="2:9" ht="15.75" customHeight="1" x14ac:dyDescent="0.3">
      <c r="B749" s="76"/>
      <c r="D749" s="77"/>
      <c r="E749" s="77"/>
      <c r="F749" s="77"/>
      <c r="G749" s="78"/>
      <c r="H749" s="78"/>
      <c r="I749" s="77"/>
    </row>
    <row r="750" spans="2:9" ht="15.75" customHeight="1" x14ac:dyDescent="0.3">
      <c r="B750" s="76"/>
      <c r="D750" s="77"/>
      <c r="E750" s="77"/>
      <c r="F750" s="77"/>
      <c r="G750" s="78"/>
      <c r="H750" s="78"/>
      <c r="I750" s="77"/>
    </row>
    <row r="751" spans="2:9" ht="15.75" customHeight="1" x14ac:dyDescent="0.3">
      <c r="B751" s="76"/>
      <c r="D751" s="77"/>
      <c r="E751" s="77"/>
      <c r="F751" s="77"/>
      <c r="G751" s="78"/>
      <c r="H751" s="78"/>
      <c r="I751" s="77"/>
    </row>
    <row r="752" spans="2:9" ht="15.75" customHeight="1" x14ac:dyDescent="0.3">
      <c r="B752" s="76"/>
      <c r="D752" s="77"/>
      <c r="E752" s="77"/>
      <c r="F752" s="77"/>
      <c r="G752" s="78"/>
      <c r="H752" s="78"/>
      <c r="I752" s="77"/>
    </row>
    <row r="753" spans="2:9" ht="15.75" customHeight="1" x14ac:dyDescent="0.3">
      <c r="B753" s="76"/>
      <c r="D753" s="77"/>
      <c r="E753" s="77"/>
      <c r="F753" s="77"/>
      <c r="G753" s="78"/>
      <c r="H753" s="78"/>
      <c r="I753" s="77"/>
    </row>
    <row r="754" spans="2:9" ht="15.75" customHeight="1" x14ac:dyDescent="0.3">
      <c r="B754" s="76"/>
      <c r="D754" s="77"/>
      <c r="E754" s="77"/>
      <c r="F754" s="77"/>
      <c r="G754" s="78"/>
      <c r="H754" s="78"/>
      <c r="I754" s="77"/>
    </row>
    <row r="755" spans="2:9" ht="15.75" customHeight="1" x14ac:dyDescent="0.3">
      <c r="B755" s="76"/>
      <c r="D755" s="77"/>
      <c r="E755" s="77"/>
      <c r="F755" s="77"/>
      <c r="G755" s="78"/>
      <c r="H755" s="78"/>
      <c r="I755" s="77"/>
    </row>
    <row r="756" spans="2:9" ht="15.75" customHeight="1" x14ac:dyDescent="0.3">
      <c r="B756" s="76"/>
      <c r="D756" s="77"/>
      <c r="E756" s="77"/>
      <c r="F756" s="77"/>
      <c r="G756" s="78"/>
      <c r="H756" s="78"/>
      <c r="I756" s="77"/>
    </row>
    <row r="757" spans="2:9" ht="15.75" customHeight="1" x14ac:dyDescent="0.3">
      <c r="B757" s="76"/>
      <c r="D757" s="77"/>
      <c r="E757" s="77"/>
      <c r="F757" s="77"/>
      <c r="G757" s="78"/>
      <c r="H757" s="78"/>
      <c r="I757" s="77"/>
    </row>
    <row r="758" spans="2:9" ht="15.75" customHeight="1" x14ac:dyDescent="0.3">
      <c r="B758" s="76"/>
      <c r="D758" s="77"/>
      <c r="E758" s="77"/>
      <c r="F758" s="77"/>
      <c r="G758" s="78"/>
      <c r="H758" s="78"/>
      <c r="I758" s="77"/>
    </row>
    <row r="759" spans="2:9" ht="15.75" customHeight="1" x14ac:dyDescent="0.3">
      <c r="B759" s="76"/>
      <c r="D759" s="77"/>
      <c r="E759" s="77"/>
      <c r="F759" s="77"/>
      <c r="G759" s="78"/>
      <c r="H759" s="78"/>
      <c r="I759" s="77"/>
    </row>
    <row r="760" spans="2:9" ht="15.75" customHeight="1" x14ac:dyDescent="0.3">
      <c r="B760" s="76"/>
      <c r="D760" s="77"/>
      <c r="E760" s="77"/>
      <c r="F760" s="77"/>
      <c r="G760" s="78"/>
      <c r="H760" s="78"/>
      <c r="I760" s="77"/>
    </row>
    <row r="761" spans="2:9" ht="15.75" customHeight="1" x14ac:dyDescent="0.3">
      <c r="B761" s="76"/>
      <c r="D761" s="77"/>
      <c r="E761" s="77"/>
      <c r="F761" s="77"/>
      <c r="G761" s="78"/>
      <c r="H761" s="78"/>
      <c r="I761" s="77"/>
    </row>
    <row r="762" spans="2:9" ht="15.75" customHeight="1" x14ac:dyDescent="0.3">
      <c r="B762" s="76"/>
      <c r="D762" s="77"/>
      <c r="E762" s="77"/>
      <c r="F762" s="77"/>
      <c r="G762" s="78"/>
      <c r="H762" s="78"/>
      <c r="I762" s="77"/>
    </row>
    <row r="763" spans="2:9" ht="15.75" customHeight="1" x14ac:dyDescent="0.3">
      <c r="B763" s="76"/>
      <c r="D763" s="77"/>
      <c r="E763" s="77"/>
      <c r="F763" s="77"/>
      <c r="G763" s="78"/>
      <c r="H763" s="78"/>
      <c r="I763" s="77"/>
    </row>
    <row r="764" spans="2:9" ht="15.75" customHeight="1" x14ac:dyDescent="0.3">
      <c r="B764" s="76"/>
      <c r="D764" s="77"/>
      <c r="E764" s="77"/>
      <c r="F764" s="77"/>
      <c r="G764" s="78"/>
      <c r="H764" s="78"/>
      <c r="I764" s="77"/>
    </row>
    <row r="765" spans="2:9" ht="15.75" customHeight="1" x14ac:dyDescent="0.3">
      <c r="B765" s="76"/>
      <c r="D765" s="77"/>
      <c r="E765" s="77"/>
      <c r="F765" s="77"/>
      <c r="G765" s="78"/>
      <c r="H765" s="78"/>
      <c r="I765" s="77"/>
    </row>
    <row r="766" spans="2:9" ht="15.75" customHeight="1" x14ac:dyDescent="0.3">
      <c r="B766" s="76"/>
      <c r="D766" s="77"/>
      <c r="E766" s="77"/>
      <c r="F766" s="77"/>
      <c r="G766" s="78"/>
      <c r="H766" s="78"/>
      <c r="I766" s="77"/>
    </row>
    <row r="767" spans="2:9" ht="15.75" customHeight="1" x14ac:dyDescent="0.3">
      <c r="B767" s="76"/>
      <c r="D767" s="77"/>
      <c r="E767" s="77"/>
      <c r="F767" s="77"/>
      <c r="G767" s="78"/>
      <c r="H767" s="78"/>
      <c r="I767" s="77"/>
    </row>
    <row r="768" spans="2:9" ht="15.75" customHeight="1" x14ac:dyDescent="0.3">
      <c r="B768" s="76"/>
      <c r="D768" s="77"/>
      <c r="E768" s="77"/>
      <c r="F768" s="77"/>
      <c r="G768" s="78"/>
      <c r="H768" s="78"/>
      <c r="I768" s="77"/>
    </row>
    <row r="769" spans="2:9" ht="15.75" customHeight="1" x14ac:dyDescent="0.3">
      <c r="B769" s="76"/>
      <c r="D769" s="77"/>
      <c r="E769" s="77"/>
      <c r="F769" s="77"/>
      <c r="G769" s="78"/>
      <c r="H769" s="78"/>
      <c r="I769" s="77"/>
    </row>
    <row r="770" spans="2:9" ht="15.75" customHeight="1" x14ac:dyDescent="0.3">
      <c r="B770" s="76"/>
      <c r="D770" s="77"/>
      <c r="E770" s="77"/>
      <c r="F770" s="77"/>
      <c r="G770" s="78"/>
      <c r="H770" s="78"/>
      <c r="I770" s="77"/>
    </row>
    <row r="771" spans="2:9" ht="15.75" customHeight="1" x14ac:dyDescent="0.3">
      <c r="B771" s="76"/>
      <c r="D771" s="77"/>
      <c r="E771" s="77"/>
      <c r="F771" s="77"/>
      <c r="G771" s="78"/>
      <c r="H771" s="78"/>
      <c r="I771" s="77"/>
    </row>
    <row r="772" spans="2:9" ht="15.75" customHeight="1" x14ac:dyDescent="0.3">
      <c r="B772" s="76"/>
      <c r="D772" s="77"/>
      <c r="E772" s="77"/>
      <c r="F772" s="77"/>
      <c r="G772" s="78"/>
      <c r="H772" s="78"/>
      <c r="I772" s="77"/>
    </row>
    <row r="773" spans="2:9" ht="15.75" customHeight="1" x14ac:dyDescent="0.3">
      <c r="B773" s="76"/>
      <c r="D773" s="77"/>
      <c r="E773" s="77"/>
      <c r="F773" s="77"/>
      <c r="G773" s="78"/>
      <c r="H773" s="78"/>
      <c r="I773" s="77"/>
    </row>
    <row r="774" spans="2:9" ht="15.75" customHeight="1" x14ac:dyDescent="0.3">
      <c r="B774" s="76"/>
      <c r="D774" s="77"/>
      <c r="E774" s="77"/>
      <c r="F774" s="77"/>
      <c r="G774" s="78"/>
      <c r="H774" s="78"/>
      <c r="I774" s="77"/>
    </row>
    <row r="775" spans="2:9" ht="15.75" customHeight="1" x14ac:dyDescent="0.3">
      <c r="B775" s="76"/>
      <c r="D775" s="77"/>
      <c r="E775" s="77"/>
      <c r="F775" s="77"/>
      <c r="G775" s="78"/>
      <c r="H775" s="78"/>
      <c r="I775" s="77"/>
    </row>
    <row r="776" spans="2:9" ht="15.75" customHeight="1" x14ac:dyDescent="0.3">
      <c r="B776" s="76"/>
      <c r="D776" s="77"/>
      <c r="E776" s="77"/>
      <c r="F776" s="77"/>
      <c r="G776" s="78"/>
      <c r="H776" s="78"/>
      <c r="I776" s="77"/>
    </row>
    <row r="777" spans="2:9" ht="15.75" customHeight="1" x14ac:dyDescent="0.3">
      <c r="B777" s="76"/>
      <c r="D777" s="77"/>
      <c r="E777" s="77"/>
      <c r="F777" s="77"/>
      <c r="G777" s="78"/>
      <c r="H777" s="78"/>
      <c r="I777" s="77"/>
    </row>
    <row r="778" spans="2:9" ht="15.75" customHeight="1" x14ac:dyDescent="0.3">
      <c r="B778" s="76"/>
      <c r="D778" s="77"/>
      <c r="E778" s="77"/>
      <c r="F778" s="77"/>
      <c r="G778" s="78"/>
      <c r="H778" s="78"/>
      <c r="I778" s="77"/>
    </row>
    <row r="779" spans="2:9" ht="15.75" customHeight="1" x14ac:dyDescent="0.3">
      <c r="B779" s="76"/>
      <c r="D779" s="77"/>
      <c r="E779" s="77"/>
      <c r="F779" s="77"/>
      <c r="G779" s="78"/>
      <c r="H779" s="78"/>
      <c r="I779" s="77"/>
    </row>
    <row r="780" spans="2:9" ht="15.75" customHeight="1" x14ac:dyDescent="0.3">
      <c r="B780" s="76"/>
      <c r="D780" s="77"/>
      <c r="E780" s="77"/>
      <c r="F780" s="77"/>
      <c r="G780" s="78"/>
      <c r="H780" s="78"/>
      <c r="I780" s="77"/>
    </row>
    <row r="781" spans="2:9" ht="15.75" customHeight="1" x14ac:dyDescent="0.3">
      <c r="B781" s="76"/>
      <c r="D781" s="77"/>
      <c r="E781" s="77"/>
      <c r="F781" s="77"/>
      <c r="G781" s="78"/>
      <c r="H781" s="78"/>
      <c r="I781" s="77"/>
    </row>
    <row r="782" spans="2:9" ht="15.75" customHeight="1" x14ac:dyDescent="0.3">
      <c r="B782" s="76"/>
      <c r="D782" s="77"/>
      <c r="E782" s="77"/>
      <c r="F782" s="77"/>
      <c r="G782" s="78"/>
      <c r="H782" s="78"/>
      <c r="I782" s="77"/>
    </row>
    <row r="783" spans="2:9" ht="15.75" customHeight="1" x14ac:dyDescent="0.3">
      <c r="B783" s="76"/>
      <c r="D783" s="77"/>
      <c r="E783" s="77"/>
      <c r="F783" s="77"/>
      <c r="G783" s="78"/>
      <c r="H783" s="78"/>
      <c r="I783" s="77"/>
    </row>
    <row r="784" spans="2:9" ht="15.75" customHeight="1" x14ac:dyDescent="0.3">
      <c r="B784" s="76"/>
      <c r="D784" s="77"/>
      <c r="E784" s="77"/>
      <c r="F784" s="77"/>
      <c r="G784" s="78"/>
      <c r="H784" s="78"/>
      <c r="I784" s="77"/>
    </row>
    <row r="785" spans="2:9" ht="15.75" customHeight="1" x14ac:dyDescent="0.3">
      <c r="B785" s="76"/>
      <c r="D785" s="77"/>
      <c r="E785" s="77"/>
      <c r="F785" s="77"/>
      <c r="G785" s="78"/>
      <c r="H785" s="78"/>
      <c r="I785" s="77"/>
    </row>
    <row r="786" spans="2:9" ht="15.75" customHeight="1" x14ac:dyDescent="0.3">
      <c r="B786" s="76"/>
      <c r="D786" s="77"/>
      <c r="E786" s="77"/>
      <c r="F786" s="77"/>
      <c r="G786" s="78"/>
      <c r="H786" s="78"/>
      <c r="I786" s="77"/>
    </row>
    <row r="787" spans="2:9" ht="15.75" customHeight="1" x14ac:dyDescent="0.3">
      <c r="B787" s="76"/>
      <c r="D787" s="77"/>
      <c r="E787" s="77"/>
      <c r="F787" s="77"/>
      <c r="G787" s="78"/>
      <c r="H787" s="78"/>
      <c r="I787" s="77"/>
    </row>
    <row r="788" spans="2:9" ht="15.75" customHeight="1" x14ac:dyDescent="0.3">
      <c r="B788" s="76"/>
      <c r="D788" s="77"/>
      <c r="E788" s="77"/>
      <c r="F788" s="77"/>
      <c r="G788" s="78"/>
      <c r="H788" s="78"/>
      <c r="I788" s="77"/>
    </row>
    <row r="789" spans="2:9" ht="15.75" customHeight="1" x14ac:dyDescent="0.3">
      <c r="B789" s="76"/>
      <c r="D789" s="77"/>
      <c r="E789" s="77"/>
      <c r="F789" s="77"/>
      <c r="G789" s="78"/>
      <c r="H789" s="78"/>
      <c r="I789" s="77"/>
    </row>
    <row r="790" spans="2:9" ht="15.75" customHeight="1" x14ac:dyDescent="0.3">
      <c r="B790" s="76"/>
      <c r="D790" s="77"/>
      <c r="E790" s="77"/>
      <c r="F790" s="77"/>
      <c r="G790" s="78"/>
      <c r="H790" s="78"/>
      <c r="I790" s="77"/>
    </row>
    <row r="791" spans="2:9" ht="15.75" customHeight="1" x14ac:dyDescent="0.3">
      <c r="B791" s="76"/>
      <c r="D791" s="77"/>
      <c r="E791" s="77"/>
      <c r="F791" s="77"/>
      <c r="G791" s="78"/>
      <c r="H791" s="78"/>
      <c r="I791" s="77"/>
    </row>
    <row r="792" spans="2:9" ht="15.75" customHeight="1" x14ac:dyDescent="0.3">
      <c r="B792" s="76"/>
      <c r="D792" s="77"/>
      <c r="E792" s="77"/>
      <c r="F792" s="77"/>
      <c r="G792" s="78"/>
      <c r="H792" s="78"/>
      <c r="I792" s="77"/>
    </row>
    <row r="793" spans="2:9" ht="15.75" customHeight="1" x14ac:dyDescent="0.3">
      <c r="B793" s="76"/>
      <c r="D793" s="77"/>
      <c r="E793" s="77"/>
      <c r="F793" s="77"/>
      <c r="G793" s="78"/>
      <c r="H793" s="78"/>
      <c r="I793" s="77"/>
    </row>
    <row r="794" spans="2:9" ht="15.75" customHeight="1" x14ac:dyDescent="0.3">
      <c r="B794" s="76"/>
      <c r="D794" s="77"/>
      <c r="E794" s="77"/>
      <c r="F794" s="77"/>
      <c r="G794" s="78"/>
      <c r="H794" s="78"/>
      <c r="I794" s="77"/>
    </row>
    <row r="795" spans="2:9" ht="15.75" customHeight="1" x14ac:dyDescent="0.3">
      <c r="B795" s="76"/>
      <c r="D795" s="77"/>
      <c r="E795" s="77"/>
      <c r="F795" s="77"/>
      <c r="G795" s="78"/>
      <c r="H795" s="78"/>
      <c r="I795" s="77"/>
    </row>
    <row r="796" spans="2:9" ht="15.75" customHeight="1" x14ac:dyDescent="0.3">
      <c r="B796" s="76"/>
      <c r="D796" s="77"/>
      <c r="E796" s="77"/>
      <c r="F796" s="77"/>
      <c r="G796" s="78"/>
      <c r="H796" s="78"/>
      <c r="I796" s="77"/>
    </row>
    <row r="797" spans="2:9" ht="15.75" customHeight="1" x14ac:dyDescent="0.3">
      <c r="B797" s="76"/>
      <c r="D797" s="77"/>
      <c r="E797" s="77"/>
      <c r="F797" s="77"/>
      <c r="G797" s="78"/>
      <c r="H797" s="78"/>
      <c r="I797" s="77"/>
    </row>
    <row r="798" spans="2:9" ht="15.75" customHeight="1" x14ac:dyDescent="0.3">
      <c r="B798" s="76"/>
      <c r="D798" s="77"/>
      <c r="E798" s="77"/>
      <c r="F798" s="77"/>
      <c r="G798" s="78"/>
      <c r="H798" s="78"/>
      <c r="I798" s="77"/>
    </row>
    <row r="799" spans="2:9" ht="15.75" customHeight="1" x14ac:dyDescent="0.3">
      <c r="B799" s="76"/>
      <c r="D799" s="77"/>
      <c r="E799" s="77"/>
      <c r="F799" s="77"/>
      <c r="G799" s="78"/>
      <c r="H799" s="78"/>
      <c r="I799" s="77"/>
    </row>
    <row r="800" spans="2:9" ht="15.75" customHeight="1" x14ac:dyDescent="0.3">
      <c r="B800" s="76"/>
      <c r="D800" s="77"/>
      <c r="E800" s="77"/>
      <c r="F800" s="77"/>
      <c r="G800" s="78"/>
      <c r="H800" s="78"/>
      <c r="I800" s="77"/>
    </row>
    <row r="801" spans="2:9" ht="15.75" customHeight="1" x14ac:dyDescent="0.3">
      <c r="B801" s="76"/>
      <c r="D801" s="77"/>
      <c r="E801" s="77"/>
      <c r="F801" s="77"/>
      <c r="G801" s="78"/>
      <c r="H801" s="78"/>
      <c r="I801" s="77"/>
    </row>
    <row r="802" spans="2:9" ht="15.75" customHeight="1" x14ac:dyDescent="0.3">
      <c r="B802" s="76"/>
      <c r="D802" s="77"/>
      <c r="E802" s="77"/>
      <c r="F802" s="77"/>
      <c r="G802" s="78"/>
      <c r="H802" s="78"/>
      <c r="I802" s="77"/>
    </row>
    <row r="803" spans="2:9" ht="15.75" customHeight="1" x14ac:dyDescent="0.3">
      <c r="B803" s="76"/>
      <c r="D803" s="77"/>
      <c r="E803" s="77"/>
      <c r="F803" s="77"/>
      <c r="G803" s="78"/>
      <c r="H803" s="78"/>
      <c r="I803" s="77"/>
    </row>
    <row r="804" spans="2:9" ht="15.75" customHeight="1" x14ac:dyDescent="0.3">
      <c r="B804" s="76"/>
      <c r="D804" s="77"/>
      <c r="E804" s="77"/>
      <c r="F804" s="77"/>
      <c r="G804" s="78"/>
      <c r="H804" s="78"/>
      <c r="I804" s="77"/>
    </row>
    <row r="805" spans="2:9" ht="15.75" customHeight="1" x14ac:dyDescent="0.3">
      <c r="B805" s="76"/>
      <c r="D805" s="77"/>
      <c r="E805" s="77"/>
      <c r="F805" s="77"/>
      <c r="G805" s="78"/>
      <c r="H805" s="78"/>
      <c r="I805" s="77"/>
    </row>
    <row r="806" spans="2:9" ht="15.75" customHeight="1" x14ac:dyDescent="0.3">
      <c r="B806" s="76"/>
      <c r="D806" s="77"/>
      <c r="E806" s="77"/>
      <c r="F806" s="77"/>
      <c r="G806" s="78"/>
      <c r="H806" s="78"/>
      <c r="I806" s="77"/>
    </row>
    <row r="807" spans="2:9" ht="15.75" customHeight="1" x14ac:dyDescent="0.3">
      <c r="B807" s="76"/>
      <c r="D807" s="77"/>
      <c r="E807" s="77"/>
      <c r="F807" s="77"/>
      <c r="G807" s="78"/>
      <c r="H807" s="78"/>
      <c r="I807" s="77"/>
    </row>
    <row r="808" spans="2:9" ht="15.75" customHeight="1" x14ac:dyDescent="0.3">
      <c r="B808" s="76"/>
      <c r="D808" s="77"/>
      <c r="E808" s="77"/>
      <c r="F808" s="77"/>
      <c r="G808" s="78"/>
      <c r="H808" s="78"/>
      <c r="I808" s="77"/>
    </row>
    <row r="809" spans="2:9" ht="15.75" customHeight="1" x14ac:dyDescent="0.3">
      <c r="B809" s="76"/>
      <c r="D809" s="77"/>
      <c r="E809" s="77"/>
      <c r="F809" s="77"/>
      <c r="G809" s="78"/>
      <c r="H809" s="78"/>
      <c r="I809" s="77"/>
    </row>
    <row r="810" spans="2:9" ht="15.75" customHeight="1" x14ac:dyDescent="0.3">
      <c r="B810" s="76"/>
      <c r="D810" s="77"/>
      <c r="E810" s="77"/>
      <c r="F810" s="77"/>
      <c r="G810" s="78"/>
      <c r="H810" s="78"/>
      <c r="I810" s="77"/>
    </row>
    <row r="811" spans="2:9" ht="15.75" customHeight="1" x14ac:dyDescent="0.3">
      <c r="B811" s="76"/>
      <c r="D811" s="77"/>
      <c r="E811" s="77"/>
      <c r="F811" s="77"/>
      <c r="G811" s="78"/>
      <c r="H811" s="78"/>
      <c r="I811" s="77"/>
    </row>
    <row r="812" spans="2:9" ht="15.75" customHeight="1" x14ac:dyDescent="0.3">
      <c r="B812" s="76"/>
      <c r="D812" s="77"/>
      <c r="E812" s="77"/>
      <c r="F812" s="77"/>
      <c r="G812" s="78"/>
      <c r="H812" s="78"/>
      <c r="I812" s="77"/>
    </row>
    <row r="813" spans="2:9" ht="15.75" customHeight="1" x14ac:dyDescent="0.3">
      <c r="B813" s="76"/>
      <c r="D813" s="77"/>
      <c r="E813" s="77"/>
      <c r="F813" s="77"/>
      <c r="G813" s="78"/>
      <c r="H813" s="78"/>
      <c r="I813" s="77"/>
    </row>
    <row r="814" spans="2:9" ht="15.75" customHeight="1" x14ac:dyDescent="0.3">
      <c r="B814" s="76"/>
      <c r="D814" s="77"/>
      <c r="E814" s="77"/>
      <c r="F814" s="77"/>
      <c r="G814" s="78"/>
      <c r="H814" s="78"/>
      <c r="I814" s="77"/>
    </row>
    <row r="815" spans="2:9" ht="15.75" customHeight="1" x14ac:dyDescent="0.3">
      <c r="B815" s="76"/>
      <c r="D815" s="77"/>
      <c r="E815" s="77"/>
      <c r="F815" s="77"/>
      <c r="G815" s="78"/>
      <c r="H815" s="78"/>
      <c r="I815" s="77"/>
    </row>
    <row r="816" spans="2:9" ht="15.75" customHeight="1" x14ac:dyDescent="0.3">
      <c r="B816" s="76"/>
      <c r="D816" s="77"/>
      <c r="E816" s="77"/>
      <c r="F816" s="77"/>
      <c r="G816" s="78"/>
      <c r="H816" s="78"/>
      <c r="I816" s="77"/>
    </row>
    <row r="817" spans="2:9" ht="15.75" customHeight="1" x14ac:dyDescent="0.3">
      <c r="B817" s="76"/>
      <c r="D817" s="77"/>
      <c r="E817" s="77"/>
      <c r="F817" s="77"/>
      <c r="G817" s="78"/>
      <c r="H817" s="78"/>
      <c r="I817" s="77"/>
    </row>
    <row r="818" spans="2:9" ht="15.75" customHeight="1" x14ac:dyDescent="0.3">
      <c r="B818" s="76"/>
      <c r="D818" s="77"/>
      <c r="E818" s="77"/>
      <c r="F818" s="77"/>
      <c r="G818" s="78"/>
      <c r="H818" s="78"/>
      <c r="I818" s="77"/>
    </row>
    <row r="819" spans="2:9" ht="15.75" customHeight="1" x14ac:dyDescent="0.3">
      <c r="B819" s="76"/>
      <c r="D819" s="77"/>
      <c r="E819" s="77"/>
      <c r="F819" s="77"/>
      <c r="G819" s="78"/>
      <c r="H819" s="78"/>
      <c r="I819" s="77"/>
    </row>
    <row r="820" spans="2:9" ht="15.75" customHeight="1" x14ac:dyDescent="0.3">
      <c r="B820" s="76"/>
      <c r="D820" s="77"/>
      <c r="E820" s="77"/>
      <c r="F820" s="77"/>
      <c r="G820" s="78"/>
      <c r="H820" s="78"/>
      <c r="I820" s="77"/>
    </row>
    <row r="821" spans="2:9" ht="15.75" customHeight="1" x14ac:dyDescent="0.3">
      <c r="B821" s="76"/>
      <c r="D821" s="77"/>
      <c r="E821" s="77"/>
      <c r="F821" s="77"/>
      <c r="G821" s="78"/>
      <c r="H821" s="78"/>
      <c r="I821" s="77"/>
    </row>
    <row r="822" spans="2:9" ht="15.75" customHeight="1" x14ac:dyDescent="0.3">
      <c r="B822" s="76"/>
      <c r="D822" s="77"/>
      <c r="E822" s="77"/>
      <c r="F822" s="77"/>
      <c r="G822" s="78"/>
      <c r="H822" s="78"/>
      <c r="I822" s="77"/>
    </row>
    <row r="823" spans="2:9" ht="15.75" customHeight="1" x14ac:dyDescent="0.3">
      <c r="B823" s="76"/>
      <c r="D823" s="77"/>
      <c r="E823" s="77"/>
      <c r="F823" s="77"/>
      <c r="G823" s="78"/>
      <c r="H823" s="78"/>
      <c r="I823" s="77"/>
    </row>
    <row r="824" spans="2:9" ht="15.75" customHeight="1" x14ac:dyDescent="0.3">
      <c r="B824" s="76"/>
      <c r="D824" s="77"/>
      <c r="E824" s="77"/>
      <c r="F824" s="77"/>
      <c r="G824" s="78"/>
      <c r="H824" s="78"/>
      <c r="I824" s="77"/>
    </row>
    <row r="825" spans="2:9" ht="15.75" customHeight="1" x14ac:dyDescent="0.3">
      <c r="B825" s="76"/>
      <c r="D825" s="77"/>
      <c r="E825" s="77"/>
      <c r="F825" s="77"/>
      <c r="G825" s="78"/>
      <c r="H825" s="78"/>
      <c r="I825" s="77"/>
    </row>
    <row r="826" spans="2:9" ht="15.75" customHeight="1" x14ac:dyDescent="0.3">
      <c r="B826" s="76"/>
      <c r="D826" s="77"/>
      <c r="E826" s="77"/>
      <c r="F826" s="77"/>
      <c r="G826" s="78"/>
      <c r="H826" s="78"/>
      <c r="I826" s="77"/>
    </row>
    <row r="827" spans="2:9" ht="15.75" customHeight="1" x14ac:dyDescent="0.3">
      <c r="B827" s="76"/>
      <c r="D827" s="77"/>
      <c r="E827" s="77"/>
      <c r="F827" s="77"/>
      <c r="G827" s="78"/>
      <c r="H827" s="78"/>
      <c r="I827" s="77"/>
    </row>
    <row r="828" spans="2:9" ht="15.75" customHeight="1" x14ac:dyDescent="0.3">
      <c r="B828" s="76"/>
      <c r="D828" s="77"/>
      <c r="E828" s="77"/>
      <c r="F828" s="77"/>
      <c r="G828" s="78"/>
      <c r="H828" s="78"/>
      <c r="I828" s="77"/>
    </row>
    <row r="829" spans="2:9" ht="15.75" customHeight="1" x14ac:dyDescent="0.3">
      <c r="B829" s="76"/>
      <c r="D829" s="77"/>
      <c r="E829" s="77"/>
      <c r="F829" s="77"/>
      <c r="G829" s="78"/>
      <c r="H829" s="78"/>
      <c r="I829" s="77"/>
    </row>
    <row r="830" spans="2:9" ht="15.75" customHeight="1" x14ac:dyDescent="0.3">
      <c r="B830" s="76"/>
      <c r="D830" s="77"/>
      <c r="E830" s="77"/>
      <c r="F830" s="77"/>
      <c r="G830" s="78"/>
      <c r="H830" s="78"/>
      <c r="I830" s="77"/>
    </row>
    <row r="831" spans="2:9" ht="15.75" customHeight="1" x14ac:dyDescent="0.3">
      <c r="B831" s="76"/>
      <c r="D831" s="77"/>
      <c r="E831" s="77"/>
      <c r="F831" s="77"/>
      <c r="G831" s="78"/>
      <c r="H831" s="78"/>
      <c r="I831" s="77"/>
    </row>
    <row r="832" spans="2:9" ht="15.75" customHeight="1" x14ac:dyDescent="0.3">
      <c r="B832" s="76"/>
      <c r="D832" s="77"/>
      <c r="E832" s="77"/>
      <c r="F832" s="77"/>
      <c r="G832" s="78"/>
      <c r="H832" s="78"/>
      <c r="I832" s="77"/>
    </row>
    <row r="833" spans="2:9" ht="15.75" customHeight="1" x14ac:dyDescent="0.3">
      <c r="B833" s="76"/>
      <c r="D833" s="77"/>
      <c r="E833" s="77"/>
      <c r="F833" s="77"/>
      <c r="G833" s="78"/>
      <c r="H833" s="78"/>
      <c r="I833" s="77"/>
    </row>
    <row r="834" spans="2:9" ht="15.75" customHeight="1" x14ac:dyDescent="0.3">
      <c r="B834" s="76"/>
      <c r="D834" s="77"/>
      <c r="E834" s="77"/>
      <c r="F834" s="77"/>
      <c r="G834" s="78"/>
      <c r="H834" s="78"/>
      <c r="I834" s="77"/>
    </row>
    <row r="835" spans="2:9" ht="15.75" customHeight="1" x14ac:dyDescent="0.3">
      <c r="B835" s="76"/>
      <c r="D835" s="77"/>
      <c r="E835" s="77"/>
      <c r="F835" s="77"/>
      <c r="G835" s="78"/>
      <c r="H835" s="78"/>
      <c r="I835" s="77"/>
    </row>
    <row r="836" spans="2:9" ht="15.75" customHeight="1" x14ac:dyDescent="0.3">
      <c r="B836" s="76"/>
      <c r="D836" s="77"/>
      <c r="E836" s="77"/>
      <c r="F836" s="77"/>
      <c r="G836" s="78"/>
      <c r="H836" s="78"/>
      <c r="I836" s="77"/>
    </row>
    <row r="837" spans="2:9" ht="15.75" customHeight="1" x14ac:dyDescent="0.3">
      <c r="B837" s="76"/>
      <c r="D837" s="77"/>
      <c r="E837" s="77"/>
      <c r="F837" s="77"/>
      <c r="G837" s="78"/>
      <c r="H837" s="78"/>
      <c r="I837" s="77"/>
    </row>
    <row r="838" spans="2:9" ht="15.75" customHeight="1" x14ac:dyDescent="0.3">
      <c r="B838" s="76"/>
      <c r="D838" s="77"/>
      <c r="E838" s="77"/>
      <c r="F838" s="77"/>
      <c r="G838" s="78"/>
      <c r="H838" s="78"/>
      <c r="I838" s="77"/>
    </row>
    <row r="839" spans="2:9" ht="15.75" customHeight="1" x14ac:dyDescent="0.3">
      <c r="B839" s="76"/>
      <c r="D839" s="77"/>
      <c r="E839" s="77"/>
      <c r="F839" s="77"/>
      <c r="G839" s="78"/>
      <c r="H839" s="78"/>
      <c r="I839" s="77"/>
    </row>
    <row r="840" spans="2:9" ht="15.75" customHeight="1" x14ac:dyDescent="0.3">
      <c r="B840" s="76"/>
      <c r="D840" s="77"/>
      <c r="E840" s="77"/>
      <c r="F840" s="77"/>
      <c r="G840" s="78"/>
      <c r="H840" s="78"/>
      <c r="I840" s="77"/>
    </row>
    <row r="841" spans="2:9" ht="15.75" customHeight="1" x14ac:dyDescent="0.3">
      <c r="B841" s="76"/>
      <c r="D841" s="77"/>
      <c r="E841" s="77"/>
      <c r="F841" s="77"/>
      <c r="G841" s="78"/>
      <c r="H841" s="78"/>
      <c r="I841" s="77"/>
    </row>
    <row r="842" spans="2:9" ht="15.75" customHeight="1" x14ac:dyDescent="0.3">
      <c r="B842" s="76"/>
      <c r="D842" s="77"/>
      <c r="E842" s="77"/>
      <c r="F842" s="77"/>
      <c r="G842" s="78"/>
      <c r="H842" s="78"/>
      <c r="I842" s="77"/>
    </row>
    <row r="843" spans="2:9" ht="15.75" customHeight="1" x14ac:dyDescent="0.3">
      <c r="B843" s="76"/>
      <c r="D843" s="77"/>
      <c r="E843" s="77"/>
      <c r="F843" s="77"/>
      <c r="G843" s="78"/>
      <c r="H843" s="78"/>
      <c r="I843" s="77"/>
    </row>
    <row r="844" spans="2:9" ht="15.75" customHeight="1" x14ac:dyDescent="0.3">
      <c r="B844" s="76"/>
      <c r="D844" s="77"/>
      <c r="E844" s="77"/>
      <c r="F844" s="77"/>
      <c r="G844" s="78"/>
      <c r="H844" s="78"/>
      <c r="I844" s="77"/>
    </row>
    <row r="845" spans="2:9" ht="15.75" customHeight="1" x14ac:dyDescent="0.3">
      <c r="B845" s="76"/>
      <c r="D845" s="77"/>
      <c r="E845" s="77"/>
      <c r="F845" s="77"/>
      <c r="G845" s="78"/>
      <c r="H845" s="78"/>
      <c r="I845" s="77"/>
    </row>
    <row r="846" spans="2:9" ht="15.75" customHeight="1" x14ac:dyDescent="0.3">
      <c r="B846" s="76"/>
      <c r="D846" s="77"/>
      <c r="E846" s="77"/>
      <c r="F846" s="77"/>
      <c r="G846" s="78"/>
      <c r="H846" s="78"/>
      <c r="I846" s="77"/>
    </row>
    <row r="847" spans="2:9" ht="15.75" customHeight="1" x14ac:dyDescent="0.3">
      <c r="B847" s="76"/>
      <c r="D847" s="77"/>
      <c r="E847" s="77"/>
      <c r="F847" s="77"/>
      <c r="G847" s="78"/>
      <c r="H847" s="78"/>
      <c r="I847" s="77"/>
    </row>
    <row r="848" spans="2:9" ht="15.75" customHeight="1" x14ac:dyDescent="0.3">
      <c r="B848" s="76"/>
      <c r="D848" s="77"/>
      <c r="E848" s="77"/>
      <c r="F848" s="77"/>
      <c r="G848" s="78"/>
      <c r="H848" s="78"/>
      <c r="I848" s="77"/>
    </row>
    <row r="849" spans="2:9" ht="15.75" customHeight="1" x14ac:dyDescent="0.3">
      <c r="B849" s="76"/>
      <c r="D849" s="77"/>
      <c r="E849" s="77"/>
      <c r="F849" s="77"/>
      <c r="G849" s="78"/>
      <c r="H849" s="78"/>
      <c r="I849" s="77"/>
    </row>
    <row r="850" spans="2:9" ht="15.75" customHeight="1" x14ac:dyDescent="0.3">
      <c r="B850" s="76"/>
      <c r="D850" s="77"/>
      <c r="E850" s="77"/>
      <c r="F850" s="77"/>
      <c r="G850" s="78"/>
      <c r="H850" s="78"/>
      <c r="I850" s="77"/>
    </row>
    <row r="851" spans="2:9" ht="15.75" customHeight="1" x14ac:dyDescent="0.3">
      <c r="B851" s="76"/>
      <c r="D851" s="77"/>
      <c r="E851" s="77"/>
      <c r="F851" s="77"/>
      <c r="G851" s="78"/>
      <c r="H851" s="78"/>
      <c r="I851" s="77"/>
    </row>
    <row r="852" spans="2:9" ht="15.75" customHeight="1" x14ac:dyDescent="0.3">
      <c r="B852" s="76"/>
      <c r="D852" s="77"/>
      <c r="E852" s="77"/>
      <c r="F852" s="77"/>
      <c r="G852" s="78"/>
      <c r="H852" s="78"/>
      <c r="I852" s="77"/>
    </row>
    <row r="853" spans="2:9" ht="15.75" customHeight="1" x14ac:dyDescent="0.3">
      <c r="B853" s="76"/>
      <c r="D853" s="77"/>
      <c r="E853" s="77"/>
      <c r="F853" s="77"/>
      <c r="G853" s="78"/>
      <c r="H853" s="78"/>
      <c r="I853" s="77"/>
    </row>
    <row r="854" spans="2:9" ht="15.75" customHeight="1" x14ac:dyDescent="0.3">
      <c r="B854" s="76"/>
      <c r="D854" s="77"/>
      <c r="E854" s="77"/>
      <c r="F854" s="77"/>
      <c r="G854" s="78"/>
      <c r="H854" s="78"/>
      <c r="I854" s="77"/>
    </row>
    <row r="855" spans="2:9" ht="15.75" customHeight="1" x14ac:dyDescent="0.3">
      <c r="B855" s="76"/>
      <c r="D855" s="77"/>
      <c r="E855" s="77"/>
      <c r="F855" s="77"/>
      <c r="G855" s="78"/>
      <c r="H855" s="78"/>
      <c r="I855" s="77"/>
    </row>
    <row r="856" spans="2:9" ht="15.75" customHeight="1" x14ac:dyDescent="0.3">
      <c r="B856" s="76"/>
      <c r="D856" s="77"/>
      <c r="E856" s="77"/>
      <c r="F856" s="77"/>
      <c r="G856" s="78"/>
      <c r="H856" s="78"/>
      <c r="I856" s="77"/>
    </row>
    <row r="857" spans="2:9" ht="15.75" customHeight="1" x14ac:dyDescent="0.3">
      <c r="B857" s="76"/>
      <c r="D857" s="77"/>
      <c r="E857" s="77"/>
      <c r="F857" s="77"/>
      <c r="G857" s="78"/>
      <c r="H857" s="78"/>
      <c r="I857" s="77"/>
    </row>
    <row r="858" spans="2:9" ht="15.75" customHeight="1" x14ac:dyDescent="0.3">
      <c r="B858" s="76"/>
      <c r="D858" s="77"/>
      <c r="E858" s="77"/>
      <c r="F858" s="77"/>
      <c r="G858" s="78"/>
      <c r="H858" s="78"/>
      <c r="I858" s="77"/>
    </row>
    <row r="859" spans="2:9" ht="15.75" customHeight="1" x14ac:dyDescent="0.3">
      <c r="B859" s="76"/>
      <c r="D859" s="77"/>
      <c r="E859" s="77"/>
      <c r="F859" s="77"/>
      <c r="G859" s="78"/>
      <c r="H859" s="78"/>
      <c r="I859" s="77"/>
    </row>
    <row r="860" spans="2:9" ht="15.75" customHeight="1" x14ac:dyDescent="0.3">
      <c r="B860" s="76"/>
      <c r="D860" s="77"/>
      <c r="E860" s="77"/>
      <c r="F860" s="77"/>
      <c r="G860" s="78"/>
      <c r="H860" s="78"/>
      <c r="I860" s="77"/>
    </row>
    <row r="861" spans="2:9" ht="15.75" customHeight="1" x14ac:dyDescent="0.3">
      <c r="B861" s="76"/>
      <c r="D861" s="77"/>
      <c r="E861" s="77"/>
      <c r="F861" s="77"/>
      <c r="G861" s="78"/>
      <c r="H861" s="78"/>
      <c r="I861" s="77"/>
    </row>
    <row r="862" spans="2:9" ht="15.75" customHeight="1" x14ac:dyDescent="0.3">
      <c r="B862" s="76"/>
      <c r="D862" s="77"/>
      <c r="E862" s="77"/>
      <c r="F862" s="77"/>
      <c r="G862" s="78"/>
      <c r="H862" s="78"/>
      <c r="I862" s="77"/>
    </row>
    <row r="863" spans="2:9" ht="15.75" customHeight="1" x14ac:dyDescent="0.3">
      <c r="B863" s="76"/>
      <c r="D863" s="77"/>
      <c r="E863" s="77"/>
      <c r="F863" s="77"/>
      <c r="G863" s="78"/>
      <c r="H863" s="78"/>
      <c r="I863" s="77"/>
    </row>
    <row r="864" spans="2:9" ht="15.75" customHeight="1" x14ac:dyDescent="0.3">
      <c r="B864" s="76"/>
      <c r="D864" s="77"/>
      <c r="E864" s="77"/>
      <c r="F864" s="77"/>
      <c r="G864" s="78"/>
      <c r="H864" s="78"/>
      <c r="I864" s="77"/>
    </row>
    <row r="865" spans="2:9" ht="15.75" customHeight="1" x14ac:dyDescent="0.3">
      <c r="B865" s="76"/>
      <c r="D865" s="77"/>
      <c r="E865" s="77"/>
      <c r="F865" s="77"/>
      <c r="G865" s="78"/>
      <c r="H865" s="78"/>
      <c r="I865" s="77"/>
    </row>
    <row r="866" spans="2:9" ht="15.75" customHeight="1" x14ac:dyDescent="0.3">
      <c r="B866" s="76"/>
      <c r="D866" s="77"/>
      <c r="E866" s="77"/>
      <c r="F866" s="77"/>
      <c r="G866" s="78"/>
      <c r="H866" s="78"/>
      <c r="I866" s="77"/>
    </row>
    <row r="867" spans="2:9" ht="15.75" customHeight="1" x14ac:dyDescent="0.3">
      <c r="B867" s="76"/>
      <c r="D867" s="77"/>
      <c r="E867" s="77"/>
      <c r="F867" s="77"/>
      <c r="G867" s="78"/>
      <c r="H867" s="78"/>
      <c r="I867" s="77"/>
    </row>
    <row r="868" spans="2:9" ht="15.75" customHeight="1" x14ac:dyDescent="0.3">
      <c r="B868" s="76"/>
      <c r="D868" s="77"/>
      <c r="E868" s="77"/>
      <c r="F868" s="77"/>
      <c r="G868" s="78"/>
      <c r="H868" s="78"/>
      <c r="I868" s="77"/>
    </row>
    <row r="869" spans="2:9" ht="15.75" customHeight="1" x14ac:dyDescent="0.3">
      <c r="B869" s="76"/>
      <c r="D869" s="77"/>
      <c r="E869" s="77"/>
      <c r="F869" s="77"/>
      <c r="G869" s="78"/>
      <c r="H869" s="78"/>
      <c r="I869" s="77"/>
    </row>
    <row r="870" spans="2:9" ht="15.75" customHeight="1" x14ac:dyDescent="0.3">
      <c r="B870" s="76"/>
      <c r="D870" s="77"/>
      <c r="E870" s="77"/>
      <c r="F870" s="77"/>
      <c r="G870" s="78"/>
      <c r="H870" s="78"/>
      <c r="I870" s="77"/>
    </row>
    <row r="871" spans="2:9" ht="15.75" customHeight="1" x14ac:dyDescent="0.3">
      <c r="B871" s="76"/>
      <c r="D871" s="77"/>
      <c r="E871" s="77"/>
      <c r="F871" s="77"/>
      <c r="G871" s="78"/>
      <c r="H871" s="78"/>
      <c r="I871" s="77"/>
    </row>
    <row r="872" spans="2:9" ht="15.75" customHeight="1" x14ac:dyDescent="0.3">
      <c r="B872" s="76"/>
      <c r="D872" s="77"/>
      <c r="E872" s="77"/>
      <c r="F872" s="77"/>
      <c r="G872" s="78"/>
      <c r="H872" s="78"/>
      <c r="I872" s="77"/>
    </row>
    <row r="873" spans="2:9" ht="15.75" customHeight="1" x14ac:dyDescent="0.3">
      <c r="B873" s="76"/>
      <c r="D873" s="77"/>
      <c r="E873" s="77"/>
      <c r="F873" s="77"/>
      <c r="G873" s="78"/>
      <c r="H873" s="78"/>
      <c r="I873" s="77"/>
    </row>
    <row r="874" spans="2:9" ht="15.75" customHeight="1" x14ac:dyDescent="0.3">
      <c r="B874" s="76"/>
      <c r="D874" s="77"/>
      <c r="E874" s="77"/>
      <c r="F874" s="77"/>
      <c r="G874" s="78"/>
      <c r="H874" s="78"/>
      <c r="I874" s="77"/>
    </row>
    <row r="875" spans="2:9" ht="15.75" customHeight="1" x14ac:dyDescent="0.3">
      <c r="B875" s="76"/>
      <c r="D875" s="77"/>
      <c r="E875" s="77"/>
      <c r="F875" s="77"/>
      <c r="G875" s="78"/>
      <c r="H875" s="78"/>
      <c r="I875" s="77"/>
    </row>
  </sheetData>
  <pageMargins left="0.17" right="0.70866141732283505" top="0.24" bottom="0.74803149606299202" header="0" footer="0"/>
  <pageSetup paperSize="9" scale="24" fitToHeight="0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L181"/>
  <sheetViews>
    <sheetView zoomScale="82" zoomScaleNormal="82" workbookViewId="0">
      <pane ySplit="2" topLeftCell="A3" activePane="bottomLeft" state="frozen"/>
      <selection pane="bottomLeft" activeCell="C3" sqref="C3"/>
    </sheetView>
  </sheetViews>
  <sheetFormatPr defaultColWidth="8.58203125" defaultRowHeight="14" x14ac:dyDescent="0.3"/>
  <cols>
    <col min="1" max="1" width="8.58203125" style="133"/>
    <col min="2" max="2" width="9" style="160" customWidth="1"/>
    <col min="3" max="3" width="30.33203125" style="160" bestFit="1" customWidth="1"/>
    <col min="4" max="4" width="15" style="160" customWidth="1"/>
    <col min="5" max="5" width="8.58203125" style="160"/>
    <col min="6" max="6" width="12.58203125" style="160" customWidth="1"/>
    <col min="7" max="7" width="12.08203125" style="160" customWidth="1"/>
    <col min="8" max="8" width="8.58203125" style="156" bestFit="1"/>
    <col min="9" max="9" width="10.83203125" style="156" bestFit="1" customWidth="1"/>
    <col min="10" max="12" width="8.58203125" style="156"/>
    <col min="13" max="16384" width="8.58203125" style="133"/>
  </cols>
  <sheetData>
    <row r="2" spans="1:12" x14ac:dyDescent="0.3">
      <c r="A2" s="161"/>
      <c r="B2" s="161"/>
      <c r="C2" s="161"/>
      <c r="D2" s="161"/>
      <c r="E2" s="161"/>
      <c r="F2" s="161"/>
      <c r="G2" s="161"/>
      <c r="H2" s="157"/>
      <c r="I2" s="157"/>
      <c r="J2" s="133"/>
      <c r="K2" s="133"/>
      <c r="L2" s="133"/>
    </row>
    <row r="3" spans="1:12" x14ac:dyDescent="0.3">
      <c r="A3" s="101"/>
      <c r="B3" s="101"/>
      <c r="C3" s="101"/>
      <c r="D3" s="101"/>
      <c r="E3" s="101"/>
      <c r="F3" s="101"/>
      <c r="G3" s="101"/>
      <c r="H3" s="133"/>
      <c r="I3" s="133"/>
      <c r="J3" s="133"/>
      <c r="K3" s="133"/>
      <c r="L3" s="133"/>
    </row>
    <row r="4" spans="1:12" ht="23.15" customHeight="1" x14ac:dyDescent="0.3">
      <c r="A4" s="101"/>
      <c r="B4" s="162"/>
      <c r="C4" s="101"/>
      <c r="D4" s="101"/>
      <c r="E4" s="101"/>
      <c r="F4" s="163"/>
      <c r="G4" s="163"/>
      <c r="H4" s="133"/>
      <c r="I4" s="133"/>
      <c r="J4" s="133"/>
      <c r="K4" s="133"/>
      <c r="L4" s="133"/>
    </row>
    <row r="5" spans="1:12" ht="23.15" customHeight="1" x14ac:dyDescent="0.3">
      <c r="A5" s="101"/>
      <c r="B5" s="162"/>
      <c r="C5" s="101"/>
      <c r="D5" s="101"/>
      <c r="E5" s="101"/>
      <c r="F5" s="163"/>
      <c r="G5" s="163"/>
      <c r="H5" s="133"/>
      <c r="I5" s="133"/>
      <c r="J5" s="133"/>
      <c r="K5" s="133"/>
      <c r="L5" s="133"/>
    </row>
    <row r="6" spans="1:12" ht="23.15" customHeight="1" x14ac:dyDescent="0.3">
      <c r="A6" s="101"/>
      <c r="B6" s="101"/>
      <c r="C6" s="101"/>
      <c r="D6" s="101"/>
      <c r="E6" s="101"/>
      <c r="F6" s="163"/>
      <c r="G6" s="163"/>
      <c r="H6" s="133"/>
      <c r="I6" s="133"/>
      <c r="J6" s="133"/>
      <c r="K6" s="133"/>
      <c r="L6" s="133"/>
    </row>
    <row r="7" spans="1:12" ht="23.15" customHeight="1" x14ac:dyDescent="0.3">
      <c r="A7" s="101"/>
      <c r="B7" s="162"/>
      <c r="C7" s="101"/>
      <c r="D7" s="101"/>
      <c r="E7" s="101"/>
      <c r="F7" s="163"/>
      <c r="G7" s="163"/>
      <c r="H7" s="133"/>
      <c r="I7" s="133"/>
      <c r="J7" s="133"/>
      <c r="K7" s="133"/>
      <c r="L7" s="133"/>
    </row>
    <row r="8" spans="1:12" ht="23.15" customHeight="1" x14ac:dyDescent="0.3">
      <c r="A8" s="101"/>
      <c r="B8" s="101"/>
      <c r="C8" s="101"/>
      <c r="D8" s="101"/>
      <c r="E8" s="101"/>
      <c r="F8" s="163"/>
      <c r="G8" s="163"/>
    </row>
    <row r="9" spans="1:12" ht="23.15" customHeight="1" x14ac:dyDescent="0.3">
      <c r="A9" s="101"/>
      <c r="B9" s="162"/>
      <c r="C9" s="101"/>
      <c r="D9" s="101"/>
      <c r="E9" s="101"/>
      <c r="F9" s="163"/>
      <c r="G9" s="163"/>
      <c r="H9" s="133"/>
      <c r="I9" s="133"/>
      <c r="J9" s="133"/>
      <c r="K9" s="133"/>
      <c r="L9" s="133"/>
    </row>
    <row r="10" spans="1:12" ht="23.15" customHeight="1" x14ac:dyDescent="0.3">
      <c r="A10" s="101"/>
      <c r="B10" s="162"/>
      <c r="C10" s="101"/>
      <c r="D10" s="101"/>
      <c r="E10" s="101"/>
      <c r="F10" s="163"/>
      <c r="G10" s="163"/>
      <c r="H10" s="133"/>
      <c r="I10" s="133"/>
      <c r="J10" s="133"/>
      <c r="K10" s="133"/>
      <c r="L10" s="133"/>
    </row>
    <row r="11" spans="1:12" ht="23.15" customHeight="1" x14ac:dyDescent="0.3">
      <c r="A11" s="101"/>
      <c r="B11" s="162"/>
      <c r="C11" s="101"/>
      <c r="D11" s="101"/>
      <c r="E11" s="101"/>
      <c r="F11" s="163"/>
      <c r="G11" s="163"/>
      <c r="H11" s="133"/>
      <c r="I11" s="133"/>
      <c r="J11" s="133"/>
      <c r="K11" s="133"/>
      <c r="L11" s="133"/>
    </row>
    <row r="12" spans="1:12" ht="23.15" customHeight="1" x14ac:dyDescent="0.3">
      <c r="A12" s="101"/>
      <c r="B12" s="162"/>
      <c r="C12" s="101"/>
      <c r="D12" s="101"/>
      <c r="E12" s="101"/>
      <c r="F12" s="163"/>
      <c r="G12" s="163"/>
      <c r="H12" s="133"/>
      <c r="I12" s="133"/>
      <c r="J12" s="133"/>
      <c r="K12" s="133"/>
      <c r="L12" s="133"/>
    </row>
    <row r="13" spans="1:12" ht="23.15" customHeight="1" x14ac:dyDescent="0.3">
      <c r="A13" s="101"/>
      <c r="B13" s="162"/>
      <c r="C13" s="101"/>
      <c r="D13" s="101"/>
      <c r="E13" s="101"/>
      <c r="F13" s="163"/>
      <c r="G13" s="163"/>
      <c r="H13" s="133"/>
      <c r="I13" s="133"/>
      <c r="J13" s="133"/>
      <c r="K13" s="133"/>
      <c r="L13" s="133"/>
    </row>
    <row r="14" spans="1:12" ht="23.15" customHeight="1" x14ac:dyDescent="0.3">
      <c r="A14" s="101"/>
      <c r="B14" s="162"/>
      <c r="C14" s="101"/>
      <c r="D14" s="101"/>
      <c r="E14" s="101"/>
      <c r="F14" s="163"/>
      <c r="G14" s="163"/>
      <c r="H14" s="133"/>
      <c r="I14" s="133"/>
      <c r="J14" s="133"/>
      <c r="K14" s="133"/>
      <c r="L14" s="133"/>
    </row>
    <row r="15" spans="1:12" ht="23.15" customHeight="1" x14ac:dyDescent="0.3">
      <c r="A15" s="101"/>
      <c r="B15" s="162"/>
      <c r="C15" s="101"/>
      <c r="D15" s="101"/>
      <c r="E15" s="101"/>
      <c r="F15" s="163"/>
      <c r="G15" s="163"/>
      <c r="H15" s="133"/>
      <c r="I15" s="133"/>
      <c r="J15" s="133"/>
      <c r="K15" s="133"/>
      <c r="L15" s="133"/>
    </row>
    <row r="16" spans="1:12" ht="23.15" customHeight="1" x14ac:dyDescent="0.3">
      <c r="A16" s="101"/>
      <c r="B16" s="101"/>
      <c r="C16" s="101"/>
      <c r="D16" s="101"/>
      <c r="E16" s="101"/>
      <c r="F16" s="163"/>
      <c r="G16" s="163"/>
      <c r="H16" s="133"/>
      <c r="I16" s="133"/>
      <c r="J16" s="133"/>
      <c r="K16" s="133"/>
      <c r="L16" s="133"/>
    </row>
    <row r="17" spans="1:12" ht="23.15" customHeight="1" x14ac:dyDescent="0.3">
      <c r="A17" s="101"/>
      <c r="B17" s="162"/>
      <c r="C17" s="101"/>
      <c r="D17" s="101"/>
      <c r="E17" s="101"/>
      <c r="F17" s="163"/>
      <c r="G17" s="163"/>
      <c r="H17" s="133"/>
      <c r="I17" s="133"/>
      <c r="J17" s="133"/>
      <c r="K17" s="133"/>
      <c r="L17" s="133"/>
    </row>
    <row r="18" spans="1:12" ht="23.15" customHeight="1" x14ac:dyDescent="0.3">
      <c r="A18" s="101"/>
      <c r="B18" s="101"/>
      <c r="C18" s="101"/>
      <c r="D18" s="101"/>
      <c r="E18" s="101"/>
      <c r="F18" s="163"/>
      <c r="G18" s="163"/>
      <c r="H18" s="133"/>
      <c r="I18" s="133"/>
      <c r="J18" s="133"/>
      <c r="K18" s="133"/>
      <c r="L18" s="133"/>
    </row>
    <row r="19" spans="1:12" ht="23.15" customHeight="1" x14ac:dyDescent="0.3">
      <c r="A19" s="101"/>
      <c r="B19" s="162"/>
      <c r="C19" s="101"/>
      <c r="D19" s="101"/>
      <c r="E19" s="101"/>
      <c r="F19" s="163"/>
      <c r="G19" s="163"/>
      <c r="H19" s="133"/>
      <c r="I19" s="133"/>
      <c r="J19" s="133"/>
      <c r="K19" s="133"/>
      <c r="L19" s="133"/>
    </row>
    <row r="20" spans="1:12" ht="23.15" customHeight="1" x14ac:dyDescent="0.3">
      <c r="A20" s="101"/>
      <c r="B20" s="101"/>
      <c r="C20" s="101"/>
      <c r="D20" s="101"/>
      <c r="E20" s="101"/>
      <c r="F20" s="163"/>
      <c r="G20" s="163"/>
      <c r="H20" s="133"/>
      <c r="I20" s="133"/>
      <c r="J20" s="133"/>
      <c r="K20" s="133"/>
      <c r="L20" s="133"/>
    </row>
    <row r="21" spans="1:12" ht="23.15" customHeight="1" x14ac:dyDescent="0.3">
      <c r="A21" s="101"/>
      <c r="B21" s="101"/>
      <c r="C21" s="101"/>
      <c r="D21" s="101"/>
      <c r="E21" s="101"/>
      <c r="F21" s="163"/>
      <c r="G21" s="163"/>
      <c r="H21" s="133"/>
      <c r="I21" s="133"/>
      <c r="J21" s="133"/>
      <c r="K21" s="133"/>
      <c r="L21" s="133"/>
    </row>
    <row r="22" spans="1:12" ht="23.15" customHeight="1" thickBot="1" x14ac:dyDescent="0.35">
      <c r="A22" s="175"/>
      <c r="B22" s="174"/>
      <c r="C22" s="175"/>
      <c r="D22" s="175"/>
      <c r="E22" s="175"/>
      <c r="F22" s="176"/>
      <c r="G22" s="176"/>
      <c r="H22" s="133"/>
      <c r="I22" s="183"/>
      <c r="J22" s="133"/>
      <c r="K22" s="133"/>
      <c r="L22" s="133"/>
    </row>
    <row r="23" spans="1:12" ht="23.15" customHeight="1" thickBot="1" x14ac:dyDescent="0.35">
      <c r="A23" s="181"/>
      <c r="B23" s="180"/>
      <c r="C23" s="180"/>
      <c r="D23" s="180"/>
      <c r="E23" s="184"/>
      <c r="F23" s="180"/>
      <c r="G23" s="177"/>
      <c r="H23" s="177"/>
      <c r="I23" s="182"/>
      <c r="J23" s="133"/>
      <c r="K23" s="133"/>
      <c r="L23" s="133"/>
    </row>
    <row r="24" spans="1:12" ht="23.15" customHeight="1" x14ac:dyDescent="0.3">
      <c r="B24" s="178"/>
      <c r="C24" s="178"/>
      <c r="D24" s="178"/>
      <c r="E24" s="178"/>
      <c r="F24" s="179"/>
      <c r="G24" s="173"/>
      <c r="H24" s="173"/>
      <c r="I24" s="173"/>
      <c r="J24" s="133"/>
      <c r="K24" s="133"/>
      <c r="L24" s="133"/>
    </row>
    <row r="25" spans="1:12" ht="23.15" customHeight="1" x14ac:dyDescent="0.3">
      <c r="A25" s="101"/>
      <c r="B25" s="162"/>
      <c r="C25" s="101"/>
      <c r="D25" s="101"/>
      <c r="E25" s="185"/>
      <c r="F25" s="101"/>
      <c r="G25" s="163"/>
      <c r="H25" s="133"/>
      <c r="I25" s="133"/>
      <c r="J25" s="133"/>
      <c r="K25" s="133"/>
      <c r="L25" s="133"/>
    </row>
    <row r="26" spans="1:12" ht="23.15" customHeight="1" x14ac:dyDescent="0.3">
      <c r="A26" s="101"/>
      <c r="B26" s="162"/>
      <c r="C26" s="101"/>
      <c r="D26" s="101"/>
      <c r="E26" s="101"/>
      <c r="F26" s="101"/>
      <c r="G26" s="163"/>
      <c r="H26" s="133"/>
      <c r="I26" s="133"/>
      <c r="J26" s="133"/>
      <c r="K26" s="133"/>
      <c r="L26" s="133"/>
    </row>
    <row r="27" spans="1:12" ht="23.15" customHeight="1" x14ac:dyDescent="0.3">
      <c r="A27" s="101"/>
      <c r="B27" s="162"/>
      <c r="C27" s="101"/>
      <c r="D27" s="101"/>
      <c r="E27" s="101"/>
      <c r="F27" s="101"/>
      <c r="G27" s="163"/>
      <c r="H27" s="133"/>
      <c r="I27" s="133"/>
      <c r="J27" s="133"/>
      <c r="K27" s="133"/>
      <c r="L27" s="133"/>
    </row>
    <row r="28" spans="1:12" ht="23.15" customHeight="1" x14ac:dyDescent="0.3">
      <c r="A28" s="101"/>
      <c r="B28" s="162"/>
      <c r="C28" s="101"/>
      <c r="D28" s="101"/>
      <c r="E28" s="101"/>
      <c r="F28" s="101"/>
      <c r="G28" s="163"/>
      <c r="H28" s="133"/>
      <c r="I28" s="133"/>
      <c r="J28" s="133"/>
      <c r="K28" s="133"/>
      <c r="L28" s="133"/>
    </row>
    <row r="29" spans="1:12" ht="23.15" customHeight="1" x14ac:dyDescent="0.3">
      <c r="A29" s="101"/>
      <c r="B29" s="162"/>
      <c r="C29" s="101"/>
      <c r="D29" s="101"/>
      <c r="E29" s="101"/>
      <c r="F29" s="101"/>
      <c r="G29" s="163"/>
      <c r="H29" s="133"/>
      <c r="I29" s="133"/>
      <c r="J29" s="133"/>
      <c r="K29" s="133"/>
      <c r="L29" s="133"/>
    </row>
    <row r="30" spans="1:12" ht="23.15" customHeight="1" x14ac:dyDescent="0.3">
      <c r="A30" s="101"/>
      <c r="B30" s="162"/>
      <c r="C30" s="101"/>
      <c r="D30" s="101"/>
      <c r="E30" s="101"/>
      <c r="F30" s="101"/>
      <c r="G30" s="163"/>
      <c r="H30" s="133"/>
      <c r="I30" s="133"/>
      <c r="J30" s="133"/>
      <c r="K30" s="133"/>
      <c r="L30" s="133"/>
    </row>
    <row r="31" spans="1:12" ht="23.15" customHeight="1" x14ac:dyDescent="0.3">
      <c r="A31" s="101"/>
      <c r="B31" s="162"/>
      <c r="C31" s="101"/>
      <c r="D31" s="101"/>
      <c r="E31" s="101"/>
      <c r="F31" s="101"/>
      <c r="G31" s="163"/>
      <c r="H31" s="133"/>
      <c r="I31" s="133"/>
      <c r="J31" s="133"/>
      <c r="K31" s="133"/>
      <c r="L31" s="133"/>
    </row>
    <row r="32" spans="1:12" ht="23.15" customHeight="1" x14ac:dyDescent="0.3">
      <c r="A32" s="101"/>
      <c r="B32" s="162"/>
      <c r="C32" s="101"/>
      <c r="D32" s="101"/>
      <c r="E32" s="101"/>
      <c r="F32" s="101"/>
      <c r="G32" s="163"/>
      <c r="H32" s="133"/>
      <c r="I32" s="133"/>
      <c r="J32" s="133"/>
      <c r="K32" s="133"/>
      <c r="L32" s="133"/>
    </row>
    <row r="33" spans="1:12" ht="23.15" customHeight="1" x14ac:dyDescent="0.3">
      <c r="A33" s="101"/>
      <c r="B33" s="162"/>
      <c r="C33" s="101"/>
      <c r="D33" s="101"/>
      <c r="E33" s="101"/>
      <c r="F33" s="101"/>
      <c r="G33" s="163"/>
      <c r="H33" s="133"/>
      <c r="I33" s="133"/>
      <c r="J33" s="133"/>
      <c r="K33" s="133"/>
      <c r="L33" s="133"/>
    </row>
    <row r="34" spans="1:12" ht="23.15" customHeight="1" x14ac:dyDescent="0.3">
      <c r="A34" s="101"/>
      <c r="B34" s="162"/>
      <c r="C34" s="101"/>
      <c r="D34" s="101"/>
      <c r="E34" s="161"/>
      <c r="F34" s="101"/>
      <c r="G34" s="163"/>
      <c r="H34" s="157"/>
      <c r="I34" s="157"/>
      <c r="J34" s="133"/>
      <c r="K34" s="133"/>
      <c r="L34" s="133"/>
    </row>
    <row r="35" spans="1:12" ht="23.15" customHeight="1" thickBot="1" x14ac:dyDescent="0.35">
      <c r="A35" s="175"/>
      <c r="B35" s="174"/>
      <c r="C35" s="175"/>
      <c r="D35" s="175"/>
      <c r="E35" s="175"/>
      <c r="F35" s="175"/>
      <c r="G35" s="176"/>
      <c r="H35" s="133"/>
      <c r="I35" s="133"/>
      <c r="J35" s="133"/>
      <c r="K35" s="133"/>
      <c r="L35" s="133"/>
    </row>
    <row r="36" spans="1:12" ht="23.15" customHeight="1" thickBot="1" x14ac:dyDescent="0.35">
      <c r="A36" s="191"/>
      <c r="B36" s="191"/>
      <c r="C36" s="191"/>
      <c r="D36" s="191"/>
      <c r="E36" s="190"/>
      <c r="F36" s="191"/>
      <c r="G36" s="190"/>
      <c r="H36" s="191"/>
      <c r="I36" s="182"/>
      <c r="J36" s="133"/>
      <c r="K36" s="133"/>
      <c r="L36" s="133"/>
    </row>
    <row r="37" spans="1:12" x14ac:dyDescent="0.3">
      <c r="H37" s="133"/>
      <c r="I37" s="133"/>
      <c r="J37" s="133"/>
      <c r="K37" s="133"/>
      <c r="L37" s="133"/>
    </row>
    <row r="38" spans="1:12" ht="19.5" customHeight="1" x14ac:dyDescent="0.3">
      <c r="A38" s="101"/>
      <c r="B38" s="162"/>
      <c r="C38" s="101"/>
      <c r="D38" s="101"/>
      <c r="E38" s="101"/>
      <c r="F38" s="101"/>
      <c r="G38" s="163"/>
      <c r="H38" s="133"/>
      <c r="I38" s="195"/>
      <c r="J38" s="133"/>
      <c r="K38" s="133"/>
      <c r="L38" s="133"/>
    </row>
    <row r="39" spans="1:12" ht="19.5" customHeight="1" x14ac:dyDescent="0.3">
      <c r="A39" s="101"/>
      <c r="B39" s="162"/>
      <c r="C39" s="101"/>
      <c r="D39" s="101"/>
      <c r="E39" s="101"/>
      <c r="F39" s="101"/>
      <c r="G39" s="163"/>
      <c r="H39" s="133"/>
      <c r="I39" s="133"/>
      <c r="J39" s="133"/>
      <c r="K39" s="133"/>
      <c r="L39" s="133"/>
    </row>
    <row r="40" spans="1:12" ht="19.5" customHeight="1" x14ac:dyDescent="0.3">
      <c r="A40" s="101"/>
      <c r="B40" s="162"/>
      <c r="C40" s="101"/>
      <c r="D40" s="101"/>
      <c r="E40" s="101"/>
      <c r="F40" s="101"/>
      <c r="G40" s="163"/>
      <c r="H40" s="133"/>
      <c r="I40" s="133"/>
      <c r="J40" s="133"/>
      <c r="K40" s="133"/>
      <c r="L40" s="133"/>
    </row>
    <row r="41" spans="1:12" ht="19.5" customHeight="1" x14ac:dyDescent="0.3">
      <c r="A41" s="101"/>
      <c r="B41" s="162"/>
      <c r="C41" s="101"/>
      <c r="D41" s="101"/>
      <c r="E41" s="101"/>
      <c r="F41" s="101"/>
      <c r="G41" s="163"/>
      <c r="H41" s="133"/>
      <c r="I41" s="133"/>
      <c r="J41" s="133"/>
      <c r="K41" s="133"/>
      <c r="L41" s="133"/>
    </row>
    <row r="42" spans="1:12" ht="19.5" customHeight="1" x14ac:dyDescent="0.3">
      <c r="A42" s="101"/>
      <c r="B42" s="162"/>
      <c r="C42" s="101"/>
      <c r="D42" s="101"/>
      <c r="E42" s="101"/>
      <c r="F42" s="101"/>
      <c r="G42" s="163"/>
      <c r="H42" s="133"/>
      <c r="I42" s="133"/>
      <c r="J42" s="133"/>
      <c r="K42" s="133"/>
      <c r="L42" s="133"/>
    </row>
    <row r="43" spans="1:12" ht="19.5" customHeight="1" x14ac:dyDescent="0.3">
      <c r="A43" s="101"/>
      <c r="B43" s="162"/>
      <c r="C43" s="101"/>
      <c r="D43" s="101"/>
      <c r="E43" s="101"/>
      <c r="F43" s="101"/>
      <c r="G43" s="163"/>
      <c r="H43" s="133"/>
      <c r="I43" s="133"/>
      <c r="J43" s="133"/>
      <c r="K43" s="133"/>
      <c r="L43" s="133"/>
    </row>
    <row r="44" spans="1:12" ht="19.5" customHeight="1" x14ac:dyDescent="0.3">
      <c r="A44" s="101"/>
      <c r="B44" s="162"/>
      <c r="C44" s="192"/>
      <c r="D44" s="101"/>
      <c r="E44" s="101"/>
      <c r="F44" s="101"/>
      <c r="G44" s="163"/>
      <c r="H44" s="133"/>
      <c r="I44" s="133"/>
      <c r="J44" s="133"/>
      <c r="K44" s="133"/>
      <c r="L44" s="133"/>
    </row>
    <row r="45" spans="1:12" ht="19.5" customHeight="1" x14ac:dyDescent="0.3">
      <c r="A45" s="101"/>
      <c r="B45" s="162"/>
      <c r="C45" s="192"/>
      <c r="D45" s="101"/>
      <c r="E45" s="101"/>
      <c r="F45" s="101"/>
      <c r="G45" s="163"/>
      <c r="H45" s="133"/>
      <c r="I45" s="133"/>
      <c r="J45" s="133"/>
      <c r="K45" s="133"/>
      <c r="L45" s="133"/>
    </row>
    <row r="46" spans="1:12" ht="19.5" customHeight="1" x14ac:dyDescent="0.3">
      <c r="A46" s="101"/>
      <c r="B46" s="162"/>
      <c r="C46" s="192"/>
      <c r="D46" s="101"/>
      <c r="E46" s="101"/>
      <c r="F46" s="101"/>
      <c r="G46" s="101"/>
      <c r="H46" s="133"/>
      <c r="I46" s="133"/>
      <c r="J46" s="133"/>
      <c r="K46" s="133"/>
      <c r="L46" s="133"/>
    </row>
    <row r="47" spans="1:12" ht="19.5" customHeight="1" x14ac:dyDescent="0.3">
      <c r="A47" s="101"/>
      <c r="B47" s="162"/>
      <c r="C47" s="192"/>
      <c r="D47" s="101"/>
      <c r="E47" s="101"/>
      <c r="F47" s="101"/>
      <c r="G47" s="101"/>
      <c r="H47" s="133"/>
      <c r="I47" s="133"/>
      <c r="J47" s="133"/>
      <c r="K47" s="133"/>
      <c r="L47" s="133"/>
    </row>
    <row r="48" spans="1:12" ht="19.5" customHeight="1" x14ac:dyDescent="0.3">
      <c r="A48" s="101"/>
      <c r="B48" s="162"/>
      <c r="C48" s="192"/>
      <c r="D48" s="101"/>
      <c r="E48" s="101"/>
      <c r="F48" s="101"/>
      <c r="G48" s="101"/>
      <c r="H48" s="133"/>
      <c r="I48" s="133"/>
      <c r="J48" s="133"/>
      <c r="K48" s="133"/>
      <c r="L48" s="133"/>
    </row>
    <row r="49" spans="1:12" ht="19.5" customHeight="1" x14ac:dyDescent="0.3">
      <c r="A49" s="101"/>
      <c r="B49" s="162"/>
      <c r="C49" s="192"/>
      <c r="D49" s="101"/>
      <c r="E49" s="101"/>
      <c r="F49" s="101"/>
      <c r="G49" s="101"/>
      <c r="H49" s="133"/>
      <c r="I49" s="133"/>
      <c r="J49" s="133"/>
      <c r="K49" s="133"/>
      <c r="L49" s="133"/>
    </row>
    <row r="50" spans="1:12" ht="19.5" customHeight="1" x14ac:dyDescent="0.3">
      <c r="A50" s="101"/>
      <c r="B50" s="162"/>
      <c r="C50" s="192"/>
      <c r="D50" s="101"/>
      <c r="E50" s="101"/>
      <c r="F50" s="101"/>
      <c r="G50" s="101"/>
      <c r="H50" s="133"/>
      <c r="I50" s="133"/>
      <c r="J50" s="133"/>
      <c r="K50" s="133"/>
      <c r="L50" s="133"/>
    </row>
    <row r="51" spans="1:12" ht="19.5" customHeight="1" x14ac:dyDescent="0.3">
      <c r="A51" s="101"/>
      <c r="B51" s="162"/>
      <c r="C51" s="192"/>
      <c r="D51" s="101"/>
      <c r="E51" s="101"/>
      <c r="F51" s="101"/>
      <c r="G51" s="163"/>
      <c r="H51" s="133"/>
    </row>
    <row r="52" spans="1:12" ht="19.5" customHeight="1" x14ac:dyDescent="0.3">
      <c r="A52" s="101"/>
      <c r="B52" s="162"/>
      <c r="C52" s="192"/>
      <c r="D52" s="101"/>
      <c r="E52" s="101"/>
      <c r="F52" s="101"/>
      <c r="G52" s="101"/>
      <c r="H52" s="133"/>
      <c r="I52" s="133"/>
      <c r="J52" s="133"/>
      <c r="K52" s="133"/>
      <c r="L52" s="133"/>
    </row>
    <row r="53" spans="1:12" ht="19.5" customHeight="1" x14ac:dyDescent="0.3">
      <c r="A53" s="101"/>
      <c r="B53" s="162"/>
      <c r="C53" s="192"/>
      <c r="D53" s="101"/>
      <c r="E53" s="101"/>
      <c r="F53" s="101"/>
      <c r="G53" s="163"/>
      <c r="H53" s="163"/>
      <c r="I53" s="133"/>
      <c r="J53" s="133"/>
      <c r="K53" s="133"/>
      <c r="L53" s="133"/>
    </row>
    <row r="54" spans="1:12" x14ac:dyDescent="0.3">
      <c r="H54" s="133"/>
      <c r="I54" s="133"/>
      <c r="J54" s="133"/>
      <c r="K54" s="133"/>
      <c r="L54" s="133"/>
    </row>
    <row r="55" spans="1:12" ht="18.649999999999999" customHeight="1" x14ac:dyDescent="0.3">
      <c r="A55" s="101"/>
      <c r="B55" s="162"/>
      <c r="C55" s="101"/>
      <c r="D55" s="101"/>
      <c r="E55" s="101"/>
      <c r="F55" s="101"/>
      <c r="G55" s="163"/>
      <c r="H55" s="133"/>
      <c r="I55" s="133"/>
      <c r="J55" s="133"/>
      <c r="K55" s="133"/>
      <c r="L55" s="133"/>
    </row>
    <row r="56" spans="1:12" ht="18.649999999999999" customHeight="1" x14ac:dyDescent="0.3">
      <c r="A56" s="101"/>
      <c r="B56" s="162"/>
      <c r="C56" s="101"/>
      <c r="D56" s="101"/>
      <c r="E56" s="101"/>
      <c r="F56" s="101"/>
      <c r="G56" s="163"/>
      <c r="H56" s="133"/>
      <c r="I56" s="133"/>
      <c r="J56" s="133"/>
      <c r="K56" s="133"/>
      <c r="L56" s="133"/>
    </row>
    <row r="57" spans="1:12" ht="18.649999999999999" customHeight="1" x14ac:dyDescent="0.3">
      <c r="A57" s="101"/>
      <c r="B57" s="162"/>
      <c r="C57" s="101"/>
      <c r="D57" s="101"/>
      <c r="E57" s="101"/>
      <c r="F57" s="101"/>
      <c r="G57" s="163"/>
      <c r="H57" s="133"/>
      <c r="I57" s="133"/>
      <c r="J57" s="133"/>
      <c r="K57" s="133"/>
      <c r="L57" s="133"/>
    </row>
    <row r="58" spans="1:12" ht="18.649999999999999" customHeight="1" x14ac:dyDescent="0.3">
      <c r="A58" s="101"/>
      <c r="B58" s="162"/>
      <c r="C58" s="101"/>
      <c r="D58" s="101"/>
      <c r="E58" s="101"/>
      <c r="F58" s="101"/>
      <c r="G58" s="163"/>
      <c r="H58" s="133"/>
      <c r="I58" s="133"/>
      <c r="J58" s="133"/>
      <c r="K58" s="133"/>
      <c r="L58" s="133"/>
    </row>
    <row r="59" spans="1:12" ht="18.649999999999999" customHeight="1" x14ac:dyDescent="0.3">
      <c r="A59" s="101"/>
      <c r="B59" s="162"/>
      <c r="C59" s="101"/>
      <c r="D59" s="101"/>
      <c r="E59" s="101"/>
      <c r="F59" s="101"/>
      <c r="G59" s="163"/>
      <c r="H59" s="133"/>
      <c r="I59" s="133"/>
      <c r="J59" s="133"/>
      <c r="K59" s="133"/>
      <c r="L59" s="133"/>
    </row>
    <row r="60" spans="1:12" ht="18.649999999999999" customHeight="1" x14ac:dyDescent="0.3">
      <c r="A60" s="101"/>
      <c r="B60" s="162"/>
      <c r="C60" s="101"/>
      <c r="D60" s="101"/>
      <c r="E60" s="101"/>
      <c r="F60" s="101"/>
      <c r="G60" s="163"/>
      <c r="H60" s="133"/>
      <c r="I60" s="133"/>
      <c r="J60" s="133"/>
      <c r="K60" s="133"/>
      <c r="L60" s="133"/>
    </row>
    <row r="61" spans="1:12" ht="18.649999999999999" customHeight="1" x14ac:dyDescent="0.3">
      <c r="A61" s="101"/>
      <c r="B61" s="162"/>
      <c r="C61" s="101"/>
      <c r="D61" s="101"/>
      <c r="E61" s="101"/>
      <c r="F61" s="101"/>
      <c r="G61" s="163"/>
      <c r="H61" s="133"/>
      <c r="I61" s="133"/>
      <c r="J61" s="133"/>
      <c r="K61" s="133"/>
      <c r="L61" s="133"/>
    </row>
    <row r="62" spans="1:12" ht="18.649999999999999" customHeight="1" x14ac:dyDescent="0.3">
      <c r="A62" s="101"/>
      <c r="B62" s="162"/>
      <c r="C62" s="101"/>
      <c r="D62" s="101"/>
      <c r="E62" s="101"/>
      <c r="F62" s="101"/>
      <c r="G62" s="163"/>
      <c r="H62" s="133"/>
      <c r="I62" s="133"/>
      <c r="J62" s="133"/>
      <c r="K62" s="133"/>
      <c r="L62" s="133"/>
    </row>
    <row r="63" spans="1:12" ht="18.649999999999999" customHeight="1" x14ac:dyDescent="0.3">
      <c r="A63" s="101"/>
      <c r="B63" s="162"/>
      <c r="C63" s="101"/>
      <c r="D63" s="101"/>
      <c r="E63" s="101"/>
      <c r="F63" s="101"/>
      <c r="G63" s="163"/>
      <c r="H63" s="133"/>
      <c r="I63" s="133"/>
      <c r="J63" s="133"/>
      <c r="K63" s="133"/>
      <c r="L63" s="133"/>
    </row>
    <row r="64" spans="1:12" ht="18.649999999999999" customHeight="1" x14ac:dyDescent="0.3">
      <c r="A64" s="101"/>
      <c r="B64" s="162"/>
      <c r="C64" s="101"/>
      <c r="D64" s="101"/>
      <c r="E64" s="101"/>
      <c r="F64" s="101"/>
      <c r="G64" s="163"/>
      <c r="H64" s="133"/>
      <c r="I64" s="133"/>
      <c r="J64" s="133"/>
      <c r="K64" s="133"/>
      <c r="L64" s="133"/>
    </row>
    <row r="65" spans="1:12" ht="18.649999999999999" customHeight="1" x14ac:dyDescent="0.3">
      <c r="A65" s="101"/>
      <c r="B65" s="162"/>
      <c r="C65" s="101"/>
      <c r="D65" s="101"/>
      <c r="E65" s="101"/>
      <c r="F65" s="101"/>
      <c r="G65" s="101"/>
      <c r="H65" s="133"/>
      <c r="I65" s="133"/>
      <c r="J65" s="133"/>
      <c r="K65" s="133"/>
      <c r="L65" s="133"/>
    </row>
    <row r="66" spans="1:12" ht="18.649999999999999" customHeight="1" x14ac:dyDescent="0.3">
      <c r="A66" s="101"/>
      <c r="B66" s="162"/>
      <c r="C66" s="101"/>
      <c r="D66" s="101"/>
      <c r="E66" s="101"/>
      <c r="F66" s="101"/>
      <c r="G66" s="163"/>
      <c r="H66" s="133"/>
      <c r="I66" s="133"/>
      <c r="J66" s="133"/>
      <c r="K66" s="133"/>
      <c r="L66" s="133"/>
    </row>
    <row r="67" spans="1:12" ht="18.649999999999999" customHeight="1" x14ac:dyDescent="0.3">
      <c r="A67" s="197"/>
      <c r="B67" s="198"/>
      <c r="C67" s="197"/>
      <c r="D67" s="197"/>
      <c r="E67" s="197"/>
      <c r="F67" s="197"/>
      <c r="G67" s="197"/>
      <c r="H67" s="199"/>
      <c r="I67" s="157"/>
      <c r="J67" s="133"/>
      <c r="K67" s="133"/>
      <c r="L67" s="133"/>
    </row>
    <row r="68" spans="1:12" ht="18.649999999999999" customHeight="1" x14ac:dyDescent="0.3">
      <c r="A68" s="197"/>
      <c r="B68" s="197"/>
      <c r="C68" s="197"/>
      <c r="D68" s="197"/>
      <c r="E68" s="197"/>
      <c r="F68" s="197"/>
      <c r="G68" s="197"/>
      <c r="H68" s="133"/>
      <c r="I68" s="133"/>
      <c r="J68" s="133"/>
      <c r="K68" s="202"/>
      <c r="L68" s="133"/>
    </row>
    <row r="69" spans="1:12" ht="18.649999999999999" customHeight="1" x14ac:dyDescent="0.3">
      <c r="A69" s="197"/>
      <c r="B69" s="198"/>
      <c r="C69" s="200"/>
      <c r="D69" s="197"/>
      <c r="E69" s="197"/>
      <c r="F69" s="101"/>
      <c r="G69" s="163"/>
      <c r="H69" s="133"/>
      <c r="I69" s="133"/>
      <c r="J69" s="133"/>
      <c r="K69" s="133"/>
      <c r="L69" s="133"/>
    </row>
    <row r="70" spans="1:12" ht="18.649999999999999" customHeight="1" x14ac:dyDescent="0.3">
      <c r="A70" s="197"/>
      <c r="B70" s="198"/>
      <c r="C70" s="200"/>
      <c r="D70" s="197"/>
      <c r="E70" s="197"/>
      <c r="F70" s="101"/>
      <c r="G70" s="163"/>
      <c r="H70" s="133"/>
      <c r="I70" s="133"/>
      <c r="J70" s="133"/>
      <c r="K70" s="133"/>
      <c r="L70" s="133"/>
    </row>
    <row r="71" spans="1:12" ht="18.649999999999999" customHeight="1" x14ac:dyDescent="0.3">
      <c r="A71" s="197"/>
      <c r="B71" s="198"/>
      <c r="C71" s="201"/>
      <c r="D71" s="197"/>
      <c r="E71" s="197"/>
      <c r="F71" s="101"/>
      <c r="G71" s="163"/>
      <c r="H71" s="133"/>
      <c r="I71" s="133"/>
      <c r="J71" s="133"/>
      <c r="K71" s="133"/>
      <c r="L71" s="133"/>
    </row>
    <row r="72" spans="1:12" ht="18.649999999999999" customHeight="1" x14ac:dyDescent="0.3">
      <c r="A72" s="101"/>
      <c r="B72" s="198"/>
      <c r="C72" s="101"/>
      <c r="D72" s="197"/>
      <c r="E72" s="101"/>
      <c r="F72" s="101"/>
      <c r="G72" s="163"/>
      <c r="H72" s="133"/>
      <c r="I72" s="133"/>
      <c r="J72" s="133"/>
      <c r="K72" s="133"/>
      <c r="L72" s="133"/>
    </row>
    <row r="73" spans="1:12" ht="18.649999999999999" customHeight="1" x14ac:dyDescent="0.3">
      <c r="A73" s="101"/>
      <c r="B73" s="198"/>
      <c r="C73" s="101"/>
      <c r="D73" s="197"/>
      <c r="E73" s="101"/>
      <c r="F73" s="101"/>
      <c r="G73" s="163"/>
      <c r="H73" s="133"/>
      <c r="I73" s="133"/>
      <c r="J73" s="133"/>
      <c r="K73" s="133"/>
      <c r="L73" s="133"/>
    </row>
    <row r="74" spans="1:12" ht="18.649999999999999" customHeight="1" x14ac:dyDescent="0.3">
      <c r="A74" s="101"/>
      <c r="B74" s="198"/>
      <c r="C74" s="101"/>
      <c r="D74" s="197"/>
      <c r="E74" s="101"/>
      <c r="F74" s="101"/>
      <c r="G74" s="163"/>
      <c r="H74" s="133"/>
      <c r="I74" s="133"/>
      <c r="J74" s="133"/>
      <c r="K74" s="133"/>
      <c r="L74" s="133"/>
    </row>
    <row r="75" spans="1:12" ht="18.649999999999999" customHeight="1" x14ac:dyDescent="0.3">
      <c r="A75" s="102"/>
      <c r="B75" s="198"/>
      <c r="C75" s="161"/>
      <c r="D75" s="197"/>
      <c r="E75" s="161"/>
      <c r="F75" s="101"/>
      <c r="G75" s="163"/>
      <c r="H75" s="157"/>
      <c r="I75" s="157"/>
      <c r="J75" s="133"/>
      <c r="K75" s="133"/>
      <c r="L75" s="133"/>
    </row>
    <row r="76" spans="1:12" ht="18.649999999999999" customHeight="1" x14ac:dyDescent="0.3">
      <c r="A76" s="102"/>
      <c r="B76" s="162"/>
      <c r="C76" s="101"/>
      <c r="D76" s="197"/>
      <c r="E76" s="101"/>
      <c r="F76" s="101"/>
      <c r="G76" s="101"/>
      <c r="H76" s="133"/>
      <c r="I76" s="133"/>
      <c r="J76" s="133"/>
      <c r="K76" s="133"/>
      <c r="L76" s="133"/>
    </row>
    <row r="77" spans="1:12" ht="18.649999999999999" customHeight="1" x14ac:dyDescent="0.3">
      <c r="A77" s="102"/>
      <c r="B77" s="162"/>
      <c r="C77" s="101"/>
      <c r="D77" s="197"/>
      <c r="E77" s="101"/>
      <c r="F77" s="101"/>
      <c r="G77" s="101"/>
      <c r="H77" s="195"/>
      <c r="I77" s="133"/>
      <c r="J77" s="157"/>
      <c r="K77" s="133"/>
      <c r="L77" s="133"/>
    </row>
    <row r="78" spans="1:12" ht="18.649999999999999" customHeight="1" x14ac:dyDescent="0.3">
      <c r="A78" s="102"/>
      <c r="B78" s="101"/>
      <c r="C78" s="101"/>
      <c r="D78" s="101"/>
      <c r="E78" s="101"/>
      <c r="F78" s="101"/>
      <c r="G78" s="101"/>
      <c r="H78" s="133"/>
      <c r="I78" s="133"/>
      <c r="J78" s="133"/>
      <c r="K78" s="133"/>
      <c r="L78" s="133"/>
    </row>
    <row r="79" spans="1:12" ht="18.649999999999999" customHeight="1" x14ac:dyDescent="0.3">
      <c r="A79" s="102"/>
      <c r="B79" s="162"/>
      <c r="C79" s="101"/>
      <c r="D79" s="101"/>
      <c r="E79" s="101"/>
      <c r="F79" s="101"/>
      <c r="G79" s="101"/>
      <c r="H79" s="133"/>
      <c r="I79" s="133"/>
      <c r="J79" s="133"/>
      <c r="K79" s="133"/>
      <c r="L79" s="133"/>
    </row>
    <row r="80" spans="1:12" ht="18.649999999999999" customHeight="1" x14ac:dyDescent="0.3">
      <c r="A80" s="102"/>
      <c r="B80" s="161"/>
      <c r="C80" s="210"/>
      <c r="D80" s="210"/>
      <c r="E80" s="210"/>
      <c r="F80" s="210"/>
      <c r="G80" s="210"/>
      <c r="H80" s="157"/>
      <c r="I80" s="157"/>
      <c r="J80" s="133"/>
      <c r="K80" s="133"/>
      <c r="L80" s="133"/>
    </row>
    <row r="81" spans="1:12" ht="18.649999999999999" customHeight="1" x14ac:dyDescent="0.3">
      <c r="A81" s="102"/>
      <c r="B81" s="101"/>
      <c r="C81" s="210"/>
      <c r="D81" s="210"/>
      <c r="E81" s="210"/>
      <c r="F81" s="210"/>
      <c r="G81" s="210"/>
      <c r="H81" s="133"/>
      <c r="I81" s="133"/>
      <c r="J81" s="133"/>
      <c r="K81" s="133"/>
      <c r="L81" s="133"/>
    </row>
    <row r="82" spans="1:12" ht="18.649999999999999" customHeight="1" x14ac:dyDescent="0.3">
      <c r="A82" s="102"/>
      <c r="B82" s="162"/>
      <c r="C82" s="210"/>
      <c r="D82" s="210"/>
      <c r="E82" s="210"/>
      <c r="F82" s="210"/>
      <c r="G82" s="210"/>
      <c r="H82" s="133"/>
      <c r="I82" s="133"/>
      <c r="J82" s="133"/>
      <c r="K82" s="133"/>
      <c r="L82" s="133"/>
    </row>
    <row r="83" spans="1:12" ht="18.649999999999999" customHeight="1" x14ac:dyDescent="0.3">
      <c r="A83" s="102"/>
      <c r="B83" s="161"/>
      <c r="C83" s="210"/>
      <c r="D83" s="210"/>
      <c r="E83" s="210"/>
      <c r="F83" s="210"/>
      <c r="G83" s="210"/>
      <c r="H83" s="157"/>
      <c r="I83" s="157"/>
      <c r="J83" s="133"/>
      <c r="K83" s="133"/>
      <c r="L83" s="133"/>
    </row>
    <row r="84" spans="1:12" ht="18.649999999999999" customHeight="1" x14ac:dyDescent="0.3">
      <c r="A84" s="102"/>
      <c r="B84" s="162"/>
      <c r="C84" s="210"/>
      <c r="D84" s="210"/>
      <c r="E84" s="210"/>
      <c r="F84" s="210"/>
      <c r="G84" s="210"/>
      <c r="H84" s="133"/>
      <c r="I84" s="133"/>
      <c r="J84" s="133"/>
      <c r="K84" s="133"/>
      <c r="L84" s="133"/>
    </row>
    <row r="85" spans="1:12" ht="18.649999999999999" customHeight="1" x14ac:dyDescent="0.3">
      <c r="A85" s="102"/>
      <c r="B85" s="101"/>
      <c r="C85" s="210"/>
      <c r="D85" s="210"/>
      <c r="E85" s="210"/>
      <c r="F85" s="210"/>
      <c r="G85" s="210"/>
      <c r="H85" s="133"/>
      <c r="I85" s="133"/>
      <c r="J85" s="133"/>
      <c r="K85" s="133"/>
      <c r="L85" s="133"/>
    </row>
    <row r="86" spans="1:12" ht="18.649999999999999" customHeight="1" x14ac:dyDescent="0.3">
      <c r="A86" s="102"/>
      <c r="B86" s="101"/>
      <c r="C86" s="210"/>
      <c r="D86" s="210"/>
      <c r="E86" s="210"/>
      <c r="F86" s="210"/>
      <c r="G86" s="210"/>
      <c r="H86" s="133"/>
      <c r="I86" s="133"/>
      <c r="J86" s="133"/>
      <c r="K86" s="133"/>
      <c r="L86" s="133"/>
    </row>
    <row r="87" spans="1:12" ht="18.649999999999999" customHeight="1" x14ac:dyDescent="0.3">
      <c r="A87" s="102"/>
      <c r="B87" s="162"/>
      <c r="C87" s="210"/>
      <c r="D87" s="210"/>
      <c r="E87" s="210"/>
      <c r="F87" s="210"/>
      <c r="G87" s="210"/>
      <c r="H87" s="133"/>
      <c r="I87" s="133"/>
      <c r="J87" s="133"/>
      <c r="K87" s="133"/>
      <c r="L87" s="133"/>
    </row>
    <row r="88" spans="1:12" ht="18.649999999999999" customHeight="1" x14ac:dyDescent="0.3">
      <c r="A88" s="102"/>
      <c r="B88" s="101"/>
      <c r="C88" s="210"/>
      <c r="D88" s="210"/>
      <c r="E88" s="210"/>
      <c r="F88" s="210"/>
      <c r="G88" s="210"/>
      <c r="H88" s="133"/>
      <c r="I88" s="133"/>
      <c r="J88" s="133"/>
      <c r="K88" s="133"/>
      <c r="L88" s="133"/>
    </row>
    <row r="89" spans="1:12" ht="18.649999999999999" customHeight="1" x14ac:dyDescent="0.3">
      <c r="A89" s="102"/>
      <c r="B89" s="101"/>
      <c r="C89" s="210"/>
      <c r="D89" s="210"/>
      <c r="E89" s="210"/>
      <c r="F89" s="210"/>
      <c r="G89" s="210"/>
      <c r="H89" s="133"/>
      <c r="I89" s="133"/>
      <c r="J89" s="157"/>
      <c r="K89" s="133"/>
      <c r="L89" s="133"/>
    </row>
    <row r="90" spans="1:12" ht="18.649999999999999" customHeight="1" x14ac:dyDescent="0.3">
      <c r="A90" s="120"/>
      <c r="B90" s="101"/>
      <c r="C90" s="101"/>
      <c r="D90" s="101"/>
      <c r="E90" s="101"/>
      <c r="F90" s="101"/>
      <c r="G90" s="101"/>
      <c r="H90" s="133"/>
      <c r="I90" s="133"/>
      <c r="J90" s="133"/>
      <c r="K90" s="133"/>
      <c r="L90" s="133"/>
    </row>
    <row r="91" spans="1:12" ht="18.649999999999999" customHeight="1" x14ac:dyDescent="0.3">
      <c r="A91" s="211"/>
      <c r="B91" s="212"/>
      <c r="C91" s="211"/>
      <c r="D91" s="211"/>
      <c r="E91" s="211"/>
      <c r="F91" s="211"/>
      <c r="G91" s="211"/>
      <c r="H91" s="133"/>
      <c r="I91" s="133"/>
      <c r="J91" s="133"/>
      <c r="K91" s="133"/>
      <c r="L91" s="133"/>
    </row>
    <row r="92" spans="1:12" ht="18.649999999999999" customHeight="1" x14ac:dyDescent="0.3">
      <c r="A92" s="211"/>
      <c r="B92" s="211"/>
      <c r="C92" s="211"/>
      <c r="D92" s="211"/>
      <c r="E92" s="211"/>
      <c r="F92" s="211"/>
      <c r="G92" s="211"/>
      <c r="H92" s="133"/>
      <c r="I92" s="133"/>
      <c r="J92" s="133"/>
      <c r="K92" s="133"/>
      <c r="L92" s="133"/>
    </row>
    <row r="93" spans="1:12" ht="18.649999999999999" customHeight="1" x14ac:dyDescent="0.3">
      <c r="A93" s="211"/>
      <c r="B93" s="211"/>
      <c r="C93" s="211"/>
      <c r="D93" s="211"/>
      <c r="E93" s="211"/>
      <c r="F93" s="211"/>
      <c r="G93" s="211"/>
      <c r="H93" s="133"/>
      <c r="I93" s="133"/>
      <c r="J93" s="133"/>
      <c r="K93" s="133"/>
      <c r="L93" s="133"/>
    </row>
    <row r="94" spans="1:12" ht="18.649999999999999" customHeight="1" x14ac:dyDescent="0.3">
      <c r="A94" s="211"/>
      <c r="B94" s="212"/>
      <c r="C94" s="211"/>
      <c r="D94" s="211"/>
      <c r="E94" s="211"/>
      <c r="F94" s="211"/>
      <c r="G94" s="211"/>
      <c r="H94" s="133"/>
      <c r="I94" s="133"/>
      <c r="J94" s="133"/>
      <c r="K94" s="133"/>
      <c r="L94" s="133"/>
    </row>
    <row r="95" spans="1:12" ht="18.649999999999999" customHeight="1" x14ac:dyDescent="0.3">
      <c r="A95" s="211"/>
      <c r="B95" s="212"/>
      <c r="C95" s="211"/>
      <c r="D95" s="211"/>
      <c r="E95" s="211"/>
      <c r="F95" s="211"/>
      <c r="G95" s="211"/>
      <c r="H95" s="133"/>
      <c r="I95" s="133"/>
      <c r="J95" s="133"/>
      <c r="K95" s="133"/>
      <c r="L95" s="133"/>
    </row>
    <row r="96" spans="1:12" ht="18.649999999999999" customHeight="1" x14ac:dyDescent="0.3">
      <c r="A96" s="211"/>
      <c r="B96" s="211"/>
      <c r="C96" s="211"/>
      <c r="D96" s="211"/>
      <c r="E96" s="211"/>
      <c r="F96" s="211"/>
      <c r="G96" s="211"/>
      <c r="H96" s="157"/>
      <c r="I96" s="157"/>
      <c r="J96" s="133"/>
      <c r="K96" s="133"/>
      <c r="L96" s="133"/>
    </row>
    <row r="97" spans="1:12" ht="18.649999999999999" customHeight="1" x14ac:dyDescent="0.3">
      <c r="A97" s="211"/>
      <c r="B97" s="212"/>
      <c r="C97" s="211"/>
      <c r="D97" s="211"/>
      <c r="E97" s="211"/>
      <c r="F97" s="211"/>
      <c r="G97" s="211"/>
      <c r="H97" s="133"/>
      <c r="I97" s="133"/>
      <c r="J97" s="133"/>
      <c r="K97" s="133"/>
      <c r="L97" s="133"/>
    </row>
    <row r="98" spans="1:12" ht="18.649999999999999" customHeight="1" x14ac:dyDescent="0.3">
      <c r="A98" s="211"/>
      <c r="B98" s="211"/>
      <c r="C98" s="211"/>
      <c r="D98" s="211"/>
      <c r="E98" s="211"/>
      <c r="F98" s="211"/>
      <c r="G98" s="211"/>
    </row>
    <row r="99" spans="1:12" ht="18.649999999999999" customHeight="1" x14ac:dyDescent="0.3">
      <c r="A99" s="211"/>
      <c r="B99" s="212"/>
      <c r="C99" s="213"/>
      <c r="D99" s="211"/>
      <c r="E99" s="211"/>
      <c r="F99" s="211"/>
      <c r="G99" s="211"/>
      <c r="H99" s="133"/>
      <c r="I99" s="133"/>
      <c r="J99" s="133"/>
      <c r="K99" s="133"/>
      <c r="L99" s="133"/>
    </row>
    <row r="100" spans="1:12" ht="18.649999999999999" customHeight="1" x14ac:dyDescent="0.3">
      <c r="A100" s="211"/>
      <c r="B100" s="211"/>
      <c r="C100" s="213"/>
      <c r="D100" s="211"/>
      <c r="E100" s="211"/>
      <c r="F100" s="211"/>
      <c r="G100" s="211"/>
      <c r="H100" s="133"/>
      <c r="I100" s="133"/>
      <c r="J100" s="133"/>
      <c r="K100" s="133"/>
      <c r="L100" s="133"/>
    </row>
    <row r="101" spans="1:12" ht="18.649999999999999" customHeight="1" x14ac:dyDescent="0.3">
      <c r="A101" s="211"/>
      <c r="B101" s="211"/>
      <c r="C101" s="213"/>
      <c r="D101" s="211"/>
      <c r="E101" s="211"/>
      <c r="F101" s="211"/>
      <c r="G101" s="211"/>
      <c r="H101" s="133"/>
      <c r="I101" s="133"/>
      <c r="J101" s="133"/>
      <c r="K101" s="133"/>
      <c r="L101" s="133"/>
    </row>
    <row r="102" spans="1:12" ht="18.649999999999999" customHeight="1" x14ac:dyDescent="0.3">
      <c r="A102" s="211"/>
      <c r="B102" s="211"/>
      <c r="C102" s="213"/>
      <c r="D102" s="211"/>
      <c r="E102" s="211"/>
      <c r="F102" s="211"/>
      <c r="G102" s="211"/>
      <c r="H102" s="157"/>
      <c r="I102" s="157"/>
      <c r="J102" s="133"/>
      <c r="K102" s="133"/>
      <c r="L102" s="133"/>
    </row>
    <row r="103" spans="1:12" ht="18.649999999999999" customHeight="1" x14ac:dyDescent="0.3">
      <c r="A103" s="211"/>
      <c r="B103" s="212"/>
      <c r="C103" s="213"/>
      <c r="D103" s="213"/>
      <c r="E103" s="211"/>
      <c r="F103" s="211"/>
      <c r="G103" s="211"/>
    </row>
    <row r="104" spans="1:12" ht="18.649999999999999" customHeight="1" x14ac:dyDescent="0.3">
      <c r="A104" s="211"/>
      <c r="B104" s="211"/>
      <c r="C104" s="213"/>
      <c r="D104" s="213"/>
      <c r="E104" s="211"/>
      <c r="F104" s="211"/>
      <c r="G104" s="211"/>
      <c r="H104" s="133"/>
      <c r="I104" s="133"/>
      <c r="J104" s="133"/>
      <c r="K104" s="133"/>
      <c r="L104" s="133"/>
    </row>
    <row r="105" spans="1:12" ht="18.649999999999999" customHeight="1" x14ac:dyDescent="0.3">
      <c r="A105" s="211"/>
      <c r="B105" s="211"/>
      <c r="C105" s="213"/>
      <c r="D105" s="213"/>
      <c r="E105" s="211"/>
      <c r="F105" s="211"/>
      <c r="G105" s="211"/>
      <c r="K105" s="133"/>
      <c r="L105" s="133"/>
    </row>
    <row r="106" spans="1:12" ht="18.649999999999999" customHeight="1" x14ac:dyDescent="0.3">
      <c r="A106" s="211"/>
      <c r="B106" s="211"/>
      <c r="C106" s="211"/>
      <c r="D106" s="211"/>
      <c r="E106" s="211"/>
      <c r="F106" s="211"/>
      <c r="G106" s="211"/>
      <c r="H106" s="133"/>
      <c r="I106" s="133"/>
      <c r="J106" s="133"/>
      <c r="K106" s="133"/>
      <c r="L106" s="133"/>
    </row>
    <row r="107" spans="1:12" ht="18.649999999999999" customHeight="1" x14ac:dyDescent="0.3">
      <c r="A107" s="211"/>
      <c r="B107" s="212"/>
      <c r="C107" s="219"/>
      <c r="D107" s="211"/>
      <c r="E107" s="211"/>
      <c r="F107" s="211"/>
      <c r="G107" s="211"/>
      <c r="H107" s="133"/>
      <c r="I107" s="133"/>
      <c r="J107" s="133"/>
      <c r="K107" s="133"/>
      <c r="L107" s="133"/>
    </row>
    <row r="108" spans="1:12" ht="18.649999999999999" customHeight="1" x14ac:dyDescent="0.3">
      <c r="A108" s="211"/>
      <c r="B108" s="212"/>
      <c r="C108" s="219"/>
      <c r="D108" s="211"/>
      <c r="E108" s="211"/>
      <c r="F108" s="211"/>
      <c r="G108" s="211"/>
      <c r="H108" s="133"/>
      <c r="I108" s="133"/>
      <c r="J108" s="133"/>
      <c r="K108" s="133"/>
      <c r="L108" s="133"/>
    </row>
    <row r="109" spans="1:12" ht="18.649999999999999" customHeight="1" x14ac:dyDescent="0.3">
      <c r="A109" s="211"/>
      <c r="B109" s="211"/>
      <c r="C109" s="219"/>
      <c r="D109" s="211"/>
      <c r="E109" s="211"/>
      <c r="F109" s="211"/>
      <c r="G109" s="211"/>
      <c r="H109" s="133"/>
      <c r="I109" s="133"/>
      <c r="J109" s="133"/>
      <c r="K109" s="133"/>
      <c r="L109" s="133"/>
    </row>
    <row r="110" spans="1:12" ht="18.649999999999999" customHeight="1" x14ac:dyDescent="0.3">
      <c r="A110" s="211"/>
      <c r="B110" s="212"/>
      <c r="C110" s="219"/>
      <c r="D110" s="211"/>
      <c r="E110" s="211"/>
      <c r="F110" s="211"/>
      <c r="G110" s="211"/>
      <c r="H110" s="133"/>
      <c r="I110" s="133"/>
      <c r="J110" s="133"/>
      <c r="K110" s="133"/>
      <c r="L110" s="133"/>
    </row>
    <row r="111" spans="1:12" ht="18.649999999999999" customHeight="1" x14ac:dyDescent="0.3">
      <c r="A111" s="211"/>
      <c r="B111" s="211"/>
      <c r="C111" s="219"/>
      <c r="D111" s="219"/>
      <c r="E111" s="211"/>
      <c r="F111" s="211"/>
      <c r="G111" s="211"/>
      <c r="I111" s="133"/>
      <c r="J111" s="133"/>
      <c r="K111" s="133"/>
      <c r="L111" s="133"/>
    </row>
    <row r="112" spans="1:12" ht="18.649999999999999" customHeight="1" x14ac:dyDescent="0.3">
      <c r="A112" s="211"/>
      <c r="B112" s="211"/>
      <c r="C112" s="211"/>
      <c r="D112" s="211"/>
      <c r="E112" s="211"/>
      <c r="F112" s="211"/>
      <c r="G112" s="211"/>
      <c r="H112" s="133"/>
      <c r="I112" s="133"/>
      <c r="J112" s="133"/>
      <c r="K112" s="133"/>
      <c r="L112" s="133"/>
    </row>
    <row r="113" spans="1:12" ht="18.649999999999999" customHeight="1" x14ac:dyDescent="0.3">
      <c r="A113" s="211"/>
      <c r="B113" s="211"/>
      <c r="C113" s="211"/>
      <c r="D113" s="211"/>
      <c r="E113" s="211"/>
      <c r="F113" s="211"/>
      <c r="G113" s="211"/>
      <c r="H113" s="133"/>
      <c r="I113" s="133"/>
      <c r="J113" s="133"/>
      <c r="K113" s="133"/>
      <c r="L113" s="133"/>
    </row>
    <row r="114" spans="1:12" ht="18.649999999999999" customHeight="1" x14ac:dyDescent="0.3">
      <c r="A114" s="211"/>
      <c r="B114" s="211"/>
      <c r="C114" s="211"/>
      <c r="D114" s="211"/>
      <c r="E114" s="211"/>
      <c r="F114" s="211"/>
      <c r="G114" s="211"/>
      <c r="H114" s="133"/>
      <c r="I114" s="133"/>
      <c r="J114" s="133"/>
      <c r="K114" s="133"/>
      <c r="L114" s="133"/>
    </row>
    <row r="115" spans="1:12" ht="18.649999999999999" customHeight="1" x14ac:dyDescent="0.3">
      <c r="A115" s="211"/>
      <c r="B115" s="211"/>
      <c r="C115" s="211"/>
      <c r="D115" s="211"/>
      <c r="E115" s="211"/>
      <c r="F115" s="211"/>
      <c r="G115" s="211"/>
      <c r="H115" s="157"/>
      <c r="I115" s="157"/>
      <c r="J115" s="133"/>
      <c r="K115" s="133"/>
      <c r="L115" s="133"/>
    </row>
    <row r="116" spans="1:12" ht="18.649999999999999" customHeight="1" x14ac:dyDescent="0.3">
      <c r="A116" s="211"/>
      <c r="B116" s="211"/>
      <c r="C116" s="211"/>
      <c r="D116" s="211"/>
      <c r="E116" s="211"/>
      <c r="F116" s="211"/>
      <c r="G116" s="211"/>
      <c r="H116" s="133"/>
      <c r="I116" s="133"/>
      <c r="J116" s="133"/>
      <c r="K116" s="133"/>
      <c r="L116" s="133"/>
    </row>
    <row r="117" spans="1:12" ht="18.649999999999999" customHeight="1" x14ac:dyDescent="0.3">
      <c r="A117" s="211"/>
      <c r="B117" s="211"/>
      <c r="C117" s="211"/>
      <c r="D117" s="211"/>
      <c r="E117" s="211"/>
      <c r="F117" s="211"/>
      <c r="G117" s="211"/>
      <c r="H117" s="133"/>
      <c r="I117" s="133"/>
      <c r="J117" s="133"/>
      <c r="K117" s="133"/>
      <c r="L117" s="133"/>
    </row>
    <row r="118" spans="1:12" ht="18.649999999999999" customHeight="1" x14ac:dyDescent="0.3">
      <c r="A118" s="211"/>
      <c r="B118" s="211"/>
      <c r="C118" s="211"/>
      <c r="D118" s="211"/>
      <c r="E118" s="211"/>
      <c r="F118" s="211"/>
      <c r="G118" s="211"/>
      <c r="H118" s="133"/>
      <c r="I118" s="133"/>
      <c r="J118" s="133"/>
      <c r="K118" s="133"/>
      <c r="L118" s="133"/>
    </row>
    <row r="119" spans="1:12" ht="18.649999999999999" customHeight="1" x14ac:dyDescent="0.3">
      <c r="A119" s="211"/>
      <c r="B119" s="211"/>
      <c r="C119" s="211"/>
      <c r="D119" s="211"/>
      <c r="E119" s="211"/>
      <c r="F119" s="211"/>
      <c r="G119" s="211"/>
      <c r="H119" s="133"/>
      <c r="I119" s="133"/>
      <c r="J119" s="133"/>
      <c r="K119" s="133"/>
      <c r="L119" s="133"/>
    </row>
    <row r="120" spans="1:12" ht="18.649999999999999" customHeight="1" x14ac:dyDescent="0.3">
      <c r="A120" s="211"/>
      <c r="B120" s="211"/>
      <c r="C120" s="211"/>
      <c r="D120" s="211"/>
      <c r="E120" s="211"/>
      <c r="F120" s="211"/>
      <c r="G120" s="211"/>
      <c r="H120" s="133"/>
      <c r="I120" s="133"/>
      <c r="J120" s="133"/>
      <c r="K120" s="133"/>
      <c r="L120" s="133"/>
    </row>
    <row r="121" spans="1:12" ht="18.649999999999999" customHeight="1" x14ac:dyDescent="0.3">
      <c r="A121" s="211"/>
      <c r="B121" s="211"/>
      <c r="C121" s="211"/>
      <c r="D121" s="211"/>
      <c r="E121" s="211"/>
      <c r="F121" s="211"/>
      <c r="G121" s="211"/>
      <c r="H121" s="133"/>
      <c r="I121" s="133"/>
      <c r="J121" s="133"/>
      <c r="K121" s="133"/>
      <c r="L121" s="133"/>
    </row>
    <row r="122" spans="1:12" ht="18.649999999999999" customHeight="1" x14ac:dyDescent="0.3">
      <c r="A122" s="211"/>
      <c r="B122" s="211"/>
      <c r="C122" s="211"/>
      <c r="D122" s="211"/>
      <c r="E122" s="211"/>
      <c r="F122" s="211"/>
      <c r="G122" s="211"/>
      <c r="H122" s="133"/>
      <c r="I122" s="133"/>
      <c r="J122" s="133"/>
      <c r="K122" s="133"/>
      <c r="L122" s="133"/>
    </row>
    <row r="123" spans="1:12" ht="18.649999999999999" customHeight="1" x14ac:dyDescent="0.3">
      <c r="A123" s="211"/>
      <c r="B123" s="211"/>
      <c r="C123" s="211"/>
      <c r="D123" s="211"/>
      <c r="E123" s="211"/>
      <c r="F123" s="211"/>
      <c r="G123" s="211"/>
      <c r="H123" s="133"/>
      <c r="I123" s="133"/>
      <c r="J123" s="133"/>
      <c r="K123" s="133"/>
      <c r="L123" s="133"/>
    </row>
    <row r="124" spans="1:12" ht="18.649999999999999" customHeight="1" x14ac:dyDescent="0.3">
      <c r="A124" s="211"/>
      <c r="B124" s="211"/>
      <c r="C124" s="211"/>
      <c r="D124" s="211"/>
      <c r="E124" s="211"/>
      <c r="F124" s="211"/>
      <c r="G124" s="211"/>
      <c r="H124" s="133"/>
      <c r="I124" s="133"/>
      <c r="J124" s="133"/>
      <c r="K124" s="133"/>
      <c r="L124" s="133"/>
    </row>
    <row r="125" spans="1:12" ht="18.649999999999999" customHeight="1" x14ac:dyDescent="0.3">
      <c r="A125" s="120"/>
      <c r="B125" s="101"/>
      <c r="C125" s="101"/>
      <c r="D125" s="101"/>
      <c r="E125" s="101"/>
      <c r="F125" s="101"/>
      <c r="G125" s="101"/>
      <c r="H125" s="133"/>
      <c r="I125" s="133"/>
      <c r="J125" s="133"/>
      <c r="K125" s="133"/>
      <c r="L125" s="133"/>
    </row>
    <row r="126" spans="1:12" ht="18.649999999999999" customHeight="1" x14ac:dyDescent="0.3">
      <c r="A126" s="120"/>
      <c r="B126" s="101"/>
      <c r="C126" s="101"/>
      <c r="D126" s="101"/>
      <c r="E126" s="101"/>
      <c r="F126" s="101"/>
      <c r="G126" s="101"/>
      <c r="H126" s="133"/>
      <c r="I126" s="133"/>
      <c r="J126" s="133"/>
      <c r="K126" s="133"/>
      <c r="L126" s="133"/>
    </row>
    <row r="127" spans="1:12" ht="18.649999999999999" customHeight="1" x14ac:dyDescent="0.3">
      <c r="A127" s="120"/>
      <c r="B127" s="101"/>
      <c r="C127" s="101"/>
      <c r="D127" s="101"/>
      <c r="E127" s="101"/>
      <c r="F127" s="101"/>
      <c r="G127" s="101"/>
      <c r="H127" s="133"/>
      <c r="I127" s="133"/>
      <c r="J127" s="133"/>
      <c r="K127" s="133"/>
      <c r="L127" s="133"/>
    </row>
    <row r="128" spans="1:12" ht="18.649999999999999" customHeight="1" x14ac:dyDescent="0.3">
      <c r="A128" s="120"/>
      <c r="B128" s="101"/>
      <c r="C128" s="101"/>
      <c r="D128" s="101"/>
      <c r="E128" s="101"/>
      <c r="F128" s="101"/>
      <c r="G128" s="101"/>
      <c r="H128" s="133"/>
      <c r="I128" s="133"/>
      <c r="J128" s="133"/>
      <c r="K128" s="133"/>
      <c r="L128" s="133"/>
    </row>
    <row r="129" spans="1:12" ht="18.649999999999999" customHeight="1" x14ac:dyDescent="0.3">
      <c r="A129" s="120"/>
      <c r="B129" s="101"/>
      <c r="C129" s="101"/>
      <c r="D129" s="101"/>
      <c r="E129" s="101"/>
      <c r="F129" s="101"/>
      <c r="G129" s="101"/>
      <c r="H129" s="133"/>
      <c r="I129" s="133"/>
      <c r="J129" s="133"/>
      <c r="K129" s="133"/>
      <c r="L129" s="133"/>
    </row>
    <row r="130" spans="1:12" ht="18.649999999999999" customHeight="1" x14ac:dyDescent="0.3">
      <c r="A130" s="120"/>
      <c r="B130" s="101"/>
      <c r="C130" s="101"/>
      <c r="D130" s="101"/>
      <c r="E130" s="101"/>
      <c r="F130" s="101"/>
      <c r="G130" s="101"/>
      <c r="H130" s="133"/>
      <c r="I130" s="133"/>
      <c r="J130" s="133"/>
      <c r="K130" s="133"/>
      <c r="L130" s="133"/>
    </row>
    <row r="131" spans="1:12" ht="18.649999999999999" customHeight="1" x14ac:dyDescent="0.3">
      <c r="A131" s="120"/>
      <c r="B131" s="101"/>
      <c r="C131" s="101"/>
      <c r="D131" s="101"/>
      <c r="E131" s="101"/>
      <c r="F131" s="101"/>
      <c r="G131" s="101"/>
    </row>
    <row r="132" spans="1:12" ht="18.649999999999999" customHeight="1" x14ac:dyDescent="0.3">
      <c r="A132" s="120"/>
      <c r="B132" s="101"/>
      <c r="C132" s="101"/>
      <c r="D132" s="101"/>
      <c r="E132" s="101"/>
      <c r="F132" s="101"/>
      <c r="G132" s="101"/>
      <c r="H132" s="133"/>
      <c r="I132" s="133"/>
      <c r="J132" s="133"/>
      <c r="K132" s="133"/>
      <c r="L132" s="133"/>
    </row>
    <row r="133" spans="1:12" ht="18.649999999999999" customHeight="1" x14ac:dyDescent="0.3">
      <c r="A133" s="120"/>
      <c r="B133" s="101"/>
      <c r="C133" s="101"/>
      <c r="D133" s="101"/>
      <c r="E133" s="101"/>
      <c r="F133" s="101"/>
      <c r="G133" s="101"/>
      <c r="H133" s="133"/>
      <c r="I133" s="133"/>
      <c r="J133" s="133"/>
      <c r="K133" s="133"/>
      <c r="L133" s="133"/>
    </row>
    <row r="134" spans="1:12" ht="18.649999999999999" customHeight="1" x14ac:dyDescent="0.3">
      <c r="A134" s="120"/>
      <c r="B134" s="101"/>
      <c r="C134" s="101"/>
      <c r="D134" s="101"/>
      <c r="E134" s="101"/>
      <c r="F134" s="101"/>
      <c r="G134" s="101"/>
      <c r="H134" s="133"/>
      <c r="I134" s="133"/>
      <c r="J134" s="133"/>
      <c r="K134" s="133"/>
      <c r="L134" s="133"/>
    </row>
    <row r="135" spans="1:12" x14ac:dyDescent="0.3">
      <c r="H135" s="133"/>
      <c r="I135" s="133"/>
      <c r="J135" s="133"/>
      <c r="K135" s="133"/>
      <c r="L135" s="133"/>
    </row>
    <row r="136" spans="1:12" x14ac:dyDescent="0.3">
      <c r="H136" s="133"/>
      <c r="I136" s="133"/>
      <c r="J136" s="133"/>
      <c r="K136" s="133"/>
      <c r="L136" s="133"/>
    </row>
    <row r="138" spans="1:12" x14ac:dyDescent="0.3">
      <c r="H138" s="133"/>
      <c r="I138" s="133"/>
      <c r="J138" s="133"/>
      <c r="K138" s="133"/>
      <c r="L138" s="133"/>
    </row>
    <row r="139" spans="1:12" x14ac:dyDescent="0.3">
      <c r="H139" s="133"/>
      <c r="I139" s="133"/>
      <c r="J139" s="133"/>
      <c r="K139" s="133"/>
      <c r="L139" s="133"/>
    </row>
    <row r="140" spans="1:12" x14ac:dyDescent="0.3">
      <c r="B140" s="159"/>
      <c r="C140" s="159"/>
      <c r="D140" s="159"/>
      <c r="E140" s="159"/>
      <c r="F140" s="159"/>
      <c r="G140" s="159"/>
      <c r="H140" s="157"/>
      <c r="I140" s="157"/>
      <c r="J140" s="133"/>
      <c r="K140" s="133"/>
      <c r="L140" s="133"/>
    </row>
    <row r="141" spans="1:12" x14ac:dyDescent="0.3">
      <c r="H141" s="133"/>
      <c r="I141" s="133"/>
      <c r="J141" s="133"/>
      <c r="K141" s="133"/>
      <c r="L141" s="133"/>
    </row>
    <row r="142" spans="1:12" x14ac:dyDescent="0.3">
      <c r="H142" s="133"/>
      <c r="I142" s="133"/>
      <c r="J142" s="133"/>
      <c r="K142" s="133"/>
      <c r="L142" s="133"/>
    </row>
    <row r="144" spans="1:12" x14ac:dyDescent="0.3">
      <c r="H144" s="133"/>
      <c r="I144" s="133"/>
      <c r="J144" s="133"/>
      <c r="K144" s="133"/>
      <c r="L144" s="133"/>
    </row>
    <row r="145" spans="2:12" x14ac:dyDescent="0.3">
      <c r="H145" s="133"/>
      <c r="I145" s="133"/>
      <c r="J145" s="133"/>
      <c r="K145" s="133"/>
      <c r="L145" s="133"/>
    </row>
    <row r="146" spans="2:12" x14ac:dyDescent="0.3">
      <c r="B146" s="159"/>
      <c r="C146" s="159"/>
      <c r="D146" s="159"/>
      <c r="E146" s="159"/>
      <c r="F146" s="159"/>
      <c r="G146" s="159"/>
      <c r="H146" s="157"/>
      <c r="I146" s="157"/>
      <c r="J146" s="133"/>
      <c r="K146" s="133"/>
      <c r="L146" s="133"/>
    </row>
    <row r="148" spans="2:12" x14ac:dyDescent="0.3">
      <c r="H148" s="133"/>
      <c r="I148" s="133"/>
      <c r="J148" s="133"/>
      <c r="K148" s="133"/>
      <c r="L148" s="133"/>
    </row>
    <row r="149" spans="2:12" x14ac:dyDescent="0.3">
      <c r="B149" s="159"/>
      <c r="C149" s="159"/>
      <c r="D149" s="159"/>
      <c r="E149" s="159"/>
      <c r="F149" s="159"/>
      <c r="G149" s="159"/>
      <c r="H149" s="157"/>
      <c r="I149" s="157"/>
      <c r="J149" s="133"/>
      <c r="K149" s="133"/>
      <c r="L149" s="133"/>
    </row>
    <row r="151" spans="2:12" x14ac:dyDescent="0.3">
      <c r="H151" s="133"/>
      <c r="I151" s="133"/>
      <c r="J151" s="133"/>
      <c r="K151" s="133"/>
      <c r="L151" s="133"/>
    </row>
    <row r="152" spans="2:12" x14ac:dyDescent="0.3">
      <c r="H152" s="133"/>
      <c r="I152" s="133"/>
      <c r="J152" s="133"/>
      <c r="K152" s="133"/>
      <c r="L152" s="133"/>
    </row>
    <row r="153" spans="2:12" x14ac:dyDescent="0.3">
      <c r="B153" s="159"/>
      <c r="C153" s="159"/>
      <c r="D153" s="159"/>
      <c r="E153" s="159"/>
      <c r="F153" s="159"/>
      <c r="G153" s="159"/>
      <c r="H153" s="157"/>
      <c r="I153" s="157"/>
      <c r="J153" s="133"/>
      <c r="K153" s="133"/>
      <c r="L153" s="133"/>
    </row>
    <row r="154" spans="2:12" x14ac:dyDescent="0.3">
      <c r="H154" s="133"/>
      <c r="I154" s="133"/>
      <c r="J154" s="133"/>
      <c r="K154" s="133"/>
      <c r="L154" s="133"/>
    </row>
    <row r="155" spans="2:12" x14ac:dyDescent="0.3">
      <c r="H155" s="133"/>
      <c r="I155" s="133"/>
      <c r="J155" s="133"/>
      <c r="K155" s="133"/>
      <c r="L155" s="133"/>
    </row>
    <row r="156" spans="2:12" x14ac:dyDescent="0.3">
      <c r="B156" s="159"/>
      <c r="C156" s="159"/>
      <c r="D156" s="159"/>
      <c r="E156" s="159"/>
      <c r="F156" s="159"/>
      <c r="G156" s="159"/>
      <c r="H156" s="157"/>
      <c r="I156" s="157"/>
      <c r="J156" s="133"/>
      <c r="K156" s="133"/>
      <c r="L156" s="133"/>
    </row>
    <row r="158" spans="2:12" x14ac:dyDescent="0.3">
      <c r="H158" s="133"/>
      <c r="I158" s="133"/>
      <c r="J158" s="133"/>
      <c r="K158" s="133"/>
      <c r="L158" s="133"/>
    </row>
    <row r="159" spans="2:12" x14ac:dyDescent="0.3">
      <c r="B159" s="159"/>
      <c r="C159" s="159"/>
      <c r="D159" s="159"/>
      <c r="E159" s="159"/>
      <c r="F159" s="159"/>
      <c r="G159" s="159"/>
      <c r="H159" s="157"/>
      <c r="I159" s="157"/>
      <c r="J159" s="133"/>
      <c r="K159" s="133"/>
      <c r="L159" s="133"/>
    </row>
    <row r="161" spans="2:12" x14ac:dyDescent="0.3">
      <c r="H161" s="133"/>
      <c r="I161" s="133"/>
      <c r="J161" s="133"/>
      <c r="K161" s="133"/>
      <c r="L161" s="133"/>
    </row>
    <row r="162" spans="2:12" x14ac:dyDescent="0.3">
      <c r="H162" s="133"/>
      <c r="I162" s="133"/>
      <c r="J162" s="133"/>
      <c r="K162" s="133"/>
      <c r="L162" s="133"/>
    </row>
    <row r="163" spans="2:12" x14ac:dyDescent="0.3">
      <c r="H163" s="133"/>
      <c r="I163" s="133"/>
      <c r="J163" s="133"/>
      <c r="K163" s="133"/>
      <c r="L163" s="133"/>
    </row>
    <row r="164" spans="2:12" x14ac:dyDescent="0.3">
      <c r="H164" s="133"/>
      <c r="I164" s="133"/>
      <c r="J164" s="133"/>
      <c r="K164" s="133"/>
      <c r="L164" s="133"/>
    </row>
    <row r="165" spans="2:12" x14ac:dyDescent="0.3">
      <c r="B165" s="159"/>
      <c r="C165" s="159"/>
      <c r="D165" s="159"/>
      <c r="E165" s="159"/>
      <c r="F165" s="159"/>
      <c r="G165" s="159"/>
      <c r="H165" s="157"/>
      <c r="I165" s="157"/>
      <c r="J165" s="133"/>
      <c r="K165" s="133"/>
      <c r="L165" s="133"/>
    </row>
    <row r="167" spans="2:12" x14ac:dyDescent="0.3">
      <c r="H167" s="133"/>
      <c r="I167" s="133"/>
      <c r="J167" s="133"/>
      <c r="K167" s="133"/>
      <c r="L167" s="133"/>
    </row>
    <row r="168" spans="2:12" x14ac:dyDescent="0.3">
      <c r="B168" s="159"/>
      <c r="C168" s="159"/>
      <c r="D168" s="159"/>
      <c r="E168" s="159"/>
      <c r="F168" s="159"/>
      <c r="G168" s="159"/>
      <c r="H168" s="157"/>
      <c r="I168" s="157"/>
      <c r="J168" s="133"/>
      <c r="K168" s="133"/>
      <c r="L168" s="133"/>
    </row>
    <row r="169" spans="2:12" x14ac:dyDescent="0.3">
      <c r="H169" s="133"/>
      <c r="I169" s="133"/>
      <c r="J169" s="133"/>
      <c r="K169" s="133"/>
      <c r="L169" s="133"/>
    </row>
    <row r="170" spans="2:12" x14ac:dyDescent="0.3">
      <c r="H170" s="133"/>
      <c r="I170" s="133"/>
      <c r="J170" s="133"/>
      <c r="K170" s="133"/>
      <c r="L170" s="133"/>
    </row>
    <row r="171" spans="2:12" x14ac:dyDescent="0.3">
      <c r="H171" s="133"/>
      <c r="I171" s="133"/>
      <c r="J171" s="133"/>
      <c r="K171" s="133"/>
      <c r="L171" s="133"/>
    </row>
    <row r="172" spans="2:12" x14ac:dyDescent="0.3">
      <c r="B172" s="159"/>
      <c r="C172" s="159"/>
      <c r="D172" s="159"/>
      <c r="E172" s="159"/>
      <c r="F172" s="159"/>
      <c r="G172" s="159"/>
      <c r="H172" s="157"/>
      <c r="I172" s="157"/>
      <c r="J172" s="133"/>
      <c r="K172" s="133"/>
      <c r="L172" s="133"/>
    </row>
    <row r="173" spans="2:12" x14ac:dyDescent="0.3">
      <c r="H173" s="133"/>
      <c r="I173" s="133"/>
      <c r="J173" s="133"/>
      <c r="K173" s="133"/>
      <c r="L173" s="133"/>
    </row>
    <row r="174" spans="2:12" x14ac:dyDescent="0.3">
      <c r="H174" s="133"/>
      <c r="I174" s="133"/>
      <c r="J174" s="133"/>
      <c r="K174" s="133"/>
      <c r="L174" s="133"/>
    </row>
    <row r="175" spans="2:12" x14ac:dyDescent="0.3">
      <c r="H175" s="133"/>
      <c r="I175" s="133"/>
      <c r="J175" s="133"/>
      <c r="K175" s="133"/>
      <c r="L175" s="133"/>
    </row>
    <row r="176" spans="2:12" x14ac:dyDescent="0.3">
      <c r="H176" s="133"/>
      <c r="I176" s="133"/>
      <c r="J176" s="133"/>
      <c r="K176" s="133"/>
      <c r="L176" s="133"/>
    </row>
    <row r="177" spans="2:12" x14ac:dyDescent="0.3">
      <c r="H177" s="133"/>
      <c r="I177" s="133"/>
      <c r="J177" s="133"/>
      <c r="K177" s="133"/>
      <c r="L177" s="133"/>
    </row>
    <row r="178" spans="2:12" x14ac:dyDescent="0.3">
      <c r="B178" s="159"/>
      <c r="C178" s="159"/>
      <c r="D178" s="159"/>
      <c r="E178" s="159"/>
      <c r="F178" s="159"/>
      <c r="G178" s="159"/>
      <c r="H178" s="157"/>
      <c r="I178" s="157"/>
      <c r="J178" s="133"/>
      <c r="K178" s="133"/>
      <c r="L178" s="133"/>
    </row>
    <row r="179" spans="2:12" x14ac:dyDescent="0.3">
      <c r="H179" s="133"/>
      <c r="I179" s="133"/>
      <c r="J179" s="133"/>
      <c r="K179" s="133"/>
      <c r="L179" s="133"/>
    </row>
    <row r="180" spans="2:12" x14ac:dyDescent="0.3">
      <c r="H180" s="133"/>
      <c r="I180" s="133"/>
      <c r="J180" s="133"/>
      <c r="K180" s="133"/>
      <c r="L180" s="133"/>
    </row>
    <row r="181" spans="2:12" x14ac:dyDescent="0.3">
      <c r="B181" s="159"/>
      <c r="C181" s="159"/>
      <c r="D181" s="159"/>
      <c r="E181" s="159"/>
      <c r="F181" s="159"/>
      <c r="G181" s="159"/>
      <c r="H181" s="158"/>
      <c r="I181" s="158"/>
    </row>
  </sheetData>
  <pageMargins left="0.27" right="0.21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daily aawak</vt:lpstr>
      <vt:lpstr>INWARDDATA</vt:lpstr>
      <vt:lpstr>GRADING PACKING</vt:lpstr>
      <vt:lpstr>Sheet1</vt:lpstr>
      <vt:lpstr>PACKING</vt:lpstr>
      <vt:lpstr>Database</vt:lpstr>
      <vt:lpstr>RATHI SHIFTING</vt:lpstr>
      <vt:lpstr>FARMERS</vt:lpstr>
      <vt:lpstr>'GRADING PACKING'!Print_Area</vt:lpstr>
      <vt:lpstr>PACKING!Z_068D8CBF_3728_43F8_A6F5_B19A96B9F559_.wvu.Cols</vt:lpstr>
      <vt:lpstr>'GRADING PACKING'!Z_068D8CBF_3728_43F8_A6F5_B19A96B9F559_.wvu.Rows</vt:lpstr>
      <vt:lpstr>PACKING!Z_068D8CBF_3728_43F8_A6F5_B19A96B9F559_.wvu.Rows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</dc:creator>
  <cp:lastModifiedBy>Sarang Khadikar</cp:lastModifiedBy>
  <cp:lastPrinted>2026-04-16T09:58:13Z</cp:lastPrinted>
  <dcterms:created xsi:type="dcterms:W3CDTF">2016-06-29T05:10:53Z</dcterms:created>
  <dcterms:modified xsi:type="dcterms:W3CDTF">2026-04-22T07:10:52Z</dcterms:modified>
</cp:coreProperties>
</file>